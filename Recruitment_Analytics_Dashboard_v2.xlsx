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202300"/>
  <mc:AlternateContent xmlns:mc="http://schemas.openxmlformats.org/markup-compatibility/2006">
    <mc:Choice Requires="x15">
      <x15ac:absPath xmlns:x15ac="http://schemas.microsoft.com/office/spreadsheetml/2010/11/ac" url="https://datamonkey890.sharepoint.com/sites/DataMonkey/Shared Documents/01 - Data Monkey Company Folder/01 - Referrals/04 - Reports/"/>
    </mc:Choice>
  </mc:AlternateContent>
  <xr:revisionPtr revIDLastSave="3754" documentId="13_ncr:1_{B85B5AC7-0959-41AF-B637-10D2A6A81A9D}" xr6:coauthVersionLast="47" xr6:coauthVersionMax="47" xr10:uidLastSave="{139BC59D-0EA7-4961-BFAF-5067132B7006}"/>
  <bookViews>
    <workbookView xWindow="-110" yWindow="-110" windowWidth="19420" windowHeight="10300" firstSheet="2" activeTab="3" xr2:uid="{56CDBA4F-233C-4897-A11D-48E9506E1B84}"/>
  </bookViews>
  <sheets>
    <sheet name="Dashboard" sheetId="5" state="hidden" r:id="rId1"/>
    <sheet name="Backend Pivots" sheetId="7" state="hidden" r:id="rId2"/>
    <sheet name="Dashboard Data" sheetId="4" r:id="rId3"/>
    <sheet name="Candidate Tracker" sheetId="1" r:id="rId4"/>
    <sheet name="Job Specs" sheetId="6" state="hidden" r:id="rId5"/>
    <sheet name="Status Definitions" sheetId="2" r:id="rId6"/>
    <sheet name="User Guide" sheetId="9" state="hidden" r:id="rId7"/>
  </sheets>
  <definedNames>
    <definedName name="_xlchart.v2.0" hidden="1">'Backend Pivots'!$M$4:$M$9</definedName>
    <definedName name="_xlchart.v2.1" hidden="1">'Backend Pivots'!$N$3</definedName>
    <definedName name="_xlchart.v2.2" hidden="1">'Backend Pivots'!$N$4:$N$9</definedName>
    <definedName name="ExternalData_1" localSheetId="4" hidden="1">'Job Specs'!$A$1:$G$245</definedName>
    <definedName name="_xlnm.Print_Titles" localSheetId="3">'Candidate Tracker'!$1:$1</definedName>
    <definedName name="Slicer_Days__Dat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7" l="1"/>
  <c r="N8" i="7"/>
  <c r="N7" i="7"/>
  <c r="N6" i="7"/>
  <c r="N4" i="7"/>
  <c r="N9" i="7"/>
  <c r="B7" i="5"/>
  <c r="B8" i="5"/>
  <c r="B5" i="5"/>
  <c r="E5" i="5"/>
  <c r="H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3F3052-C67D-4008-9C91-854E8602D6EF}" keepAlive="1" name="Query - JobSpecs_Source" description="Connection to the 'JobSpecs_Source' query in the workbook." type="5" refreshedVersion="8" background="1" refreshOnLoad="1" saveData="1">
    <dbPr connection="Provider=Microsoft.Mashup.OleDb.1;Data Source=$Workbook$;Location=JobSpecs_Source;Extended Properties=&quot;&quot;" command="SELECT * FROM [JobSpecs_Source]"/>
  </connection>
</connections>
</file>

<file path=xl/sharedStrings.xml><?xml version="1.0" encoding="utf-8"?>
<sst xmlns="http://schemas.openxmlformats.org/spreadsheetml/2006/main" count="5161" uniqueCount="2035">
  <si>
    <t>#</t>
  </si>
  <si>
    <t>Candidate Number</t>
  </si>
  <si>
    <t>Name</t>
  </si>
  <si>
    <t>DataBase or Not</t>
  </si>
  <si>
    <t>ZEN102</t>
  </si>
  <si>
    <t>Qenehelo Matjama</t>
  </si>
  <si>
    <t>New</t>
  </si>
  <si>
    <t>Email Adress</t>
  </si>
  <si>
    <t>qenehelomatjama@gmail.com</t>
  </si>
  <si>
    <t>Krishnakumar Sanjeeviraj</t>
  </si>
  <si>
    <t>Kumar0072007@gmail.com</t>
  </si>
  <si>
    <t>Hlulani Mashaba</t>
  </si>
  <si>
    <t>On DDB</t>
  </si>
  <si>
    <t>Tinashe Chinyati</t>
  </si>
  <si>
    <t>chinyatitb1@gmail.com</t>
  </si>
  <si>
    <t>mthapelo907@gmail.com</t>
  </si>
  <si>
    <t>Thapelo Moloto</t>
  </si>
  <si>
    <t>skhumlotshwa@gmail.com</t>
  </si>
  <si>
    <t>Sikhumbuzo Donwald Mlotshwa</t>
  </si>
  <si>
    <t>Dileep Naik</t>
  </si>
  <si>
    <t>dileepsureshnaik@gmail.com</t>
  </si>
  <si>
    <t>Prince Baloyi</t>
  </si>
  <si>
    <t>jpbaloyi1@gmail.com</t>
  </si>
  <si>
    <t>Kabelo Theledi</t>
  </si>
  <si>
    <t>princethld@gmail.com</t>
  </si>
  <si>
    <t>Ignasio Dondo</t>
  </si>
  <si>
    <t>ZEN119</t>
  </si>
  <si>
    <t>imdondo@gmail.com</t>
  </si>
  <si>
    <t>tapsshore@gmail.com</t>
  </si>
  <si>
    <t>Tapiwanashe Shoshore</t>
  </si>
  <si>
    <t>Rambabu Tadepalli</t>
  </si>
  <si>
    <t>ram.t.babu@gmail.com</t>
  </si>
  <si>
    <t>vinaysairamvadlamuri@gmail.com</t>
  </si>
  <si>
    <t>Vinay SaiRam</t>
  </si>
  <si>
    <t>Sudheer Beemireddy</t>
  </si>
  <si>
    <t>sudheer.bhemireddy@gmail.com</t>
  </si>
  <si>
    <t>Candidate wants R680 p/h which is over Budget</t>
  </si>
  <si>
    <t>Candidate wants R650 p/h starting which is over Budget</t>
  </si>
  <si>
    <t>mashaba167@gmail.com</t>
  </si>
  <si>
    <t>No answer to Email or Phone Call</t>
  </si>
  <si>
    <t>Candidate is currnetly on R780 per hour - Over Budget</t>
  </si>
  <si>
    <t>Ryan Masimba Tapfumaneyi</t>
  </si>
  <si>
    <t>rm.tapfumaneyi@gmail.com</t>
  </si>
  <si>
    <t>Date</t>
  </si>
  <si>
    <t>Status</t>
  </si>
  <si>
    <t>Comment</t>
  </si>
  <si>
    <t>Description</t>
  </si>
  <si>
    <t>00 - Headhunted</t>
  </si>
  <si>
    <t>01 - Email</t>
  </si>
  <si>
    <t>01 - Phone call</t>
  </si>
  <si>
    <t>The candidate is not intertesred in the job opportunity and would not like to proceed further as it does not align with what they are currently seeking.</t>
  </si>
  <si>
    <t>The candidate is intertesred in the job opportunity and would like to proceed further.</t>
  </si>
  <si>
    <t>03 - Screening call</t>
  </si>
  <si>
    <t>04 - Submitted</t>
  </si>
  <si>
    <t>00 - No Response</t>
  </si>
  <si>
    <t>The candidate did not reply to any emails or accept any calls from our consultants.</t>
  </si>
  <si>
    <t>ZEN049</t>
  </si>
  <si>
    <t>Senior .NET Engineer</t>
  </si>
  <si>
    <t>ZEN088</t>
  </si>
  <si>
    <t>Automation Tester – Playwright</t>
  </si>
  <si>
    <t>ZEN098</t>
  </si>
  <si>
    <t>ZEN100</t>
  </si>
  <si>
    <t>Azure Data Engineer</t>
  </si>
  <si>
    <t>ZEN103</t>
  </si>
  <si>
    <t>Senior .NET Developer - Azure DevOps</t>
  </si>
  <si>
    <t>ZEN105</t>
  </si>
  <si>
    <t>ZEN108</t>
  </si>
  <si>
    <t>Application Support Engineer - RRR</t>
  </si>
  <si>
    <t>ZEN109</t>
  </si>
  <si>
    <t>Application Support Engineer - TSA (FAME, Angular + Java)</t>
  </si>
  <si>
    <t>ZEN114</t>
  </si>
  <si>
    <t>Senior Software Developer</t>
  </si>
  <si>
    <t>ZEN116</t>
  </si>
  <si>
    <t>Business Architect</t>
  </si>
  <si>
    <t>DOL003</t>
  </si>
  <si>
    <t>ZEN117</t>
  </si>
  <si>
    <t>ZEN118</t>
  </si>
  <si>
    <t xml:space="preserve">Automation Tester – UFT &amp; C# </t>
  </si>
  <si>
    <t>Full Stack Java Developer</t>
  </si>
  <si>
    <t>Grand Total</t>
  </si>
  <si>
    <t>02 - Interested</t>
  </si>
  <si>
    <t>Contract is too short for candidate</t>
  </si>
  <si>
    <t>ZEN122</t>
  </si>
  <si>
    <t>Tinashe Mzondiwa</t>
  </si>
  <si>
    <t>tinashemzondiwa@gmail.com</t>
  </si>
  <si>
    <t>tsiga.george@drivetrek.co.za</t>
  </si>
  <si>
    <t>George Tsiga</t>
  </si>
  <si>
    <t>manyethlogi@gmail.com</t>
  </si>
  <si>
    <t>Tlhogi Manye</t>
  </si>
  <si>
    <t>warrenmtawu@gmail.com</t>
  </si>
  <si>
    <t>fundilemasumpa@gmail.com</t>
  </si>
  <si>
    <t>Fundile Masumpa</t>
  </si>
  <si>
    <t>Shepherd Siduli</t>
  </si>
  <si>
    <t>Abdoul Ouattara</t>
  </si>
  <si>
    <t>Warren Mtawu</t>
  </si>
  <si>
    <t>Manpreet Singh Mall</t>
  </si>
  <si>
    <t>Banele Simelane</t>
  </si>
  <si>
    <t>banelebin0@gmail.com</t>
  </si>
  <si>
    <t>manpreetsingh2991@gmail.com</t>
  </si>
  <si>
    <t>abdoulk@outlook.com</t>
  </si>
  <si>
    <t>shepherdsiduli@gmail.com</t>
  </si>
  <si>
    <t>ZEN121</t>
  </si>
  <si>
    <t>Augustine Anosike</t>
  </si>
  <si>
    <t>Muzi Kubeka</t>
  </si>
  <si>
    <t>Kim Birk</t>
  </si>
  <si>
    <t>Naveen Kumar</t>
  </si>
  <si>
    <t>anosike23a@gmail.com</t>
  </si>
  <si>
    <t>mailto:muzikhubeka@gmail.com</t>
  </si>
  <si>
    <t>kimbirk26@gmail.com</t>
  </si>
  <si>
    <t>gnk.java@gmail.com</t>
  </si>
  <si>
    <t>heinrich.glover@hotmail.com</t>
  </si>
  <si>
    <t>dennisluke11@gmail.com</t>
  </si>
  <si>
    <t>bless.mukuru@gmail.com</t>
  </si>
  <si>
    <t>wernerjnkr@gmail.com</t>
  </si>
  <si>
    <t>jacb277@gmail.com</t>
  </si>
  <si>
    <t>mazandie@gmail.com</t>
  </si>
  <si>
    <t>mapongavincent4@gmail.com</t>
  </si>
  <si>
    <t>rajaonarivelo.mh@gmail.com</t>
  </si>
  <si>
    <t>?</t>
  </si>
  <si>
    <t>mounikachows111@gmail.com</t>
  </si>
  <si>
    <t>ndiphiwe.nombula@gmail.com</t>
  </si>
  <si>
    <t>aqwasey@gmail.com</t>
  </si>
  <si>
    <t>hopemosidi39@gmail.com</t>
  </si>
  <si>
    <t>neomaduma@gmail.com</t>
  </si>
  <si>
    <t>tumomp91@gmail.com</t>
  </si>
  <si>
    <t>Heinrich Glover</t>
  </si>
  <si>
    <t>Dennies Luke</t>
  </si>
  <si>
    <t>Bless Chiura</t>
  </si>
  <si>
    <t>Werner Jonker</t>
  </si>
  <si>
    <t>Jacques Jakobus</t>
  </si>
  <si>
    <t>Zandile Ngxumza</t>
  </si>
  <si>
    <t>Vincent Maponga</t>
  </si>
  <si>
    <t>Mounka Chigurupati</t>
  </si>
  <si>
    <t>Ndiphiwe Nombula</t>
  </si>
  <si>
    <t>Isaac Amoah</t>
  </si>
  <si>
    <t>Khumo Mosidi</t>
  </si>
  <si>
    <t>Kutlo Maduma</t>
  </si>
  <si>
    <t>Tumo Maraisane</t>
  </si>
  <si>
    <t>Siphamandla Zungu</t>
  </si>
  <si>
    <t>Kavya Shettigara</t>
  </si>
  <si>
    <t>Themba Msiza</t>
  </si>
  <si>
    <t>Shaun Reed</t>
  </si>
  <si>
    <t>shaunreed116@outlook.com</t>
  </si>
  <si>
    <t>tfmzworld@gmail.com</t>
  </si>
  <si>
    <t>shettigar1989kavya@gmail.com</t>
  </si>
  <si>
    <t>sphamn@gmail.com</t>
  </si>
  <si>
    <t>owenshiri@gmail.com</t>
  </si>
  <si>
    <t xml:space="preserve">Owen Shiri </t>
  </si>
  <si>
    <t>vgk2020@yahoo.com</t>
  </si>
  <si>
    <t>Gopikrishna Vallabhaneni</t>
  </si>
  <si>
    <t>bheki.nzuza@hotmail.com</t>
  </si>
  <si>
    <t>Bhekithemba Nzuza</t>
  </si>
  <si>
    <t>Candidate does not want Hybrid work only remote</t>
  </si>
  <si>
    <t>khumzzz@gmail.com</t>
  </si>
  <si>
    <t>Yande Kapembwa Mwale</t>
  </si>
  <si>
    <t>Ruthvik K</t>
  </si>
  <si>
    <t>Tebogo Mathibela</t>
  </si>
  <si>
    <t>Chwayita Dayile</t>
  </si>
  <si>
    <t>Fhatuwani Masala</t>
  </si>
  <si>
    <t>fhatuwanimasala@gmail.com</t>
  </si>
  <si>
    <t>chwayita.dayile787@gmail.com</t>
  </si>
  <si>
    <t>tmathibela8@gmail.com</t>
  </si>
  <si>
    <t>mail2ruthvik2103@gmail.com</t>
  </si>
  <si>
    <t>ymwale@gmail.com</t>
  </si>
  <si>
    <t>Xolani Mthimkhulu</t>
  </si>
  <si>
    <t>techxolani@gmail.com</t>
  </si>
  <si>
    <t>Thabiso Ramolobeng</t>
  </si>
  <si>
    <t>Dennis Luke Owuor</t>
  </si>
  <si>
    <t>Zama Onceya</t>
  </si>
  <si>
    <t>thabisoramolobeng@gmail.com</t>
  </si>
  <si>
    <t>deklerkliezl@gmail.com</t>
  </si>
  <si>
    <t>Mpho Ndlela</t>
  </si>
  <si>
    <t>Blake Brent</t>
  </si>
  <si>
    <t>Silethemba Dube</t>
  </si>
  <si>
    <t>sledube@gmail.com</t>
  </si>
  <si>
    <t>mpho.c.ndlela@gmail.com</t>
  </si>
  <si>
    <t>dev.blakebrent@gmail.com</t>
  </si>
  <si>
    <t>Anudeep Bathula</t>
  </si>
  <si>
    <t>bathulanudeep@gmail.com</t>
  </si>
  <si>
    <t>Mutyala Reddy</t>
  </si>
  <si>
    <t xml:space="preserve">pveerabs@gmail.com </t>
  </si>
  <si>
    <t>Abdoul Karime Ouattara</t>
  </si>
  <si>
    <t>ZEN126</t>
  </si>
  <si>
    <t>nilesh8538@gmail.com</t>
  </si>
  <si>
    <t>jyotsnamayeepurohit87@gmail.com</t>
  </si>
  <si>
    <t>Jyotsnamayee Purohit</t>
  </si>
  <si>
    <t>davymbaimbai@gmail.com</t>
  </si>
  <si>
    <t>David Mbaimbai</t>
  </si>
  <si>
    <t>ZEN124</t>
  </si>
  <si>
    <t>Srikanth A</t>
  </si>
  <si>
    <t>srikanth.sa.devops@gmail.com</t>
  </si>
  <si>
    <t>Siraj Shaik</t>
  </si>
  <si>
    <t>shaikintiyazdevopseng@gmail.com</t>
  </si>
  <si>
    <t>Srikanth Cherupally</t>
  </si>
  <si>
    <t>csree4@gmail.com</t>
  </si>
  <si>
    <t>Allan Dzingo</t>
  </si>
  <si>
    <t>allandzingo@gmail.com</t>
  </si>
  <si>
    <t>Bala</t>
  </si>
  <si>
    <t>Balaabhi001@gmail.com</t>
  </si>
  <si>
    <t>Ofentse Maphakela</t>
  </si>
  <si>
    <t>omaphakela@gmail.com</t>
  </si>
  <si>
    <t>Prasanna Kumar</t>
  </si>
  <si>
    <t>cherukumallaprasannakumar@gmail.com</t>
  </si>
  <si>
    <t>Raghavaraju Raju</t>
  </si>
  <si>
    <t>raghavaraju1996@gmail.com</t>
  </si>
  <si>
    <t>Vamsi Krishna</t>
  </si>
  <si>
    <t>vamsikrishna.da15@gmail.com</t>
  </si>
  <si>
    <t>Yashwanth</t>
  </si>
  <si>
    <t>yashwanthdevops0818@gmail.com</t>
  </si>
  <si>
    <t>Ash Alex</t>
  </si>
  <si>
    <t>ashllybr01@gmail.com</t>
  </si>
  <si>
    <t>kranthiv340@gmail.com</t>
  </si>
  <si>
    <t>simonmathelela@gmail.com'</t>
  </si>
  <si>
    <t>nakkinalokesh07@gmail.com</t>
  </si>
  <si>
    <t>proeshoko@gmail.com</t>
  </si>
  <si>
    <t>tokocha81@gmail.com</t>
  </si>
  <si>
    <t>msfurusa@gmail.com</t>
  </si>
  <si>
    <t>valentino.nsukuzonke@gmail.com</t>
  </si>
  <si>
    <t>subroyenindran@gmail.com</t>
  </si>
  <si>
    <t>mathewstjale@gmail.com</t>
  </si>
  <si>
    <t>pretorius.riaan@gmail.com</t>
  </si>
  <si>
    <t>padamarajuashok@gmail.com</t>
  </si>
  <si>
    <t>player.ibrahim00@gmail.com</t>
  </si>
  <si>
    <t>Kranthi V</t>
  </si>
  <si>
    <t>Simon Mathelela</t>
  </si>
  <si>
    <t>Lokesh Nakkina</t>
  </si>
  <si>
    <t>Prosper Shoko</t>
  </si>
  <si>
    <t>Tokologo Chabalala</t>
  </si>
  <si>
    <t>Milton Furusa</t>
  </si>
  <si>
    <t>Valentine Nsukuzonke</t>
  </si>
  <si>
    <t>Indran Subroyen</t>
  </si>
  <si>
    <t>Mathews Tjale</t>
  </si>
  <si>
    <t>Riaan Pretorius</t>
  </si>
  <si>
    <t>Padmaraju Raju</t>
  </si>
  <si>
    <t>Ibrahim Abdullahi</t>
  </si>
  <si>
    <t>Nyiko Ngobeni</t>
  </si>
  <si>
    <t>nyiko.ngobeni2020@gmail.com</t>
  </si>
  <si>
    <t>jobinjohnyp@gmail.com</t>
  </si>
  <si>
    <t>tate.audrie.charks@gmail.com</t>
  </si>
  <si>
    <t>goldenchimsy@gmail.com</t>
  </si>
  <si>
    <t>polyape@gmail.com</t>
  </si>
  <si>
    <t>ZEN125</t>
  </si>
  <si>
    <t>markus.liebenberg7@gmail.com</t>
  </si>
  <si>
    <t>vincentmpho80@gmail.com</t>
  </si>
  <si>
    <t>butawauf@gmail.com</t>
  </si>
  <si>
    <t>imuteremuka@yahoo.com</t>
  </si>
  <si>
    <t>rayudunmc@gmail.com</t>
  </si>
  <si>
    <t>emtoriti@gmail.com</t>
  </si>
  <si>
    <t>jarredthomas101@gmail.com</t>
  </si>
  <si>
    <t>oconnell.jacques@gmail.com</t>
  </si>
  <si>
    <t>kfmuya@gmail.com</t>
  </si>
  <si>
    <t>ZEN123</t>
  </si>
  <si>
    <t>sikhanyiselemfumbesi.sm@gmail.com</t>
  </si>
  <si>
    <t>Adkins.Devon@hotmail.com</t>
  </si>
  <si>
    <t xml:space="preserve">clementcd@gmail.com </t>
  </si>
  <si>
    <t>Jobin Johny</t>
  </si>
  <si>
    <t>Tatenda Audrey Chanakira</t>
  </si>
  <si>
    <t>Tapfuma Golden Chimusinde</t>
  </si>
  <si>
    <t>Daniel Senga</t>
  </si>
  <si>
    <t>Markus Liebenberg</t>
  </si>
  <si>
    <t>Vincent Mpho Riba</t>
  </si>
  <si>
    <t>Ishmael Devison Muttermuka</t>
  </si>
  <si>
    <t>Mutoriti Eliot</t>
  </si>
  <si>
    <t>Jarred Thomas</t>
  </si>
  <si>
    <t>Jacques O Connel</t>
  </si>
  <si>
    <t>Kevin Kapinga Muya</t>
  </si>
  <si>
    <t>Mfumbesi Sikhanyisele</t>
  </si>
  <si>
    <t>Devon Patrick Adkins</t>
  </si>
  <si>
    <t>Clemtn Tshivhase</t>
  </si>
  <si>
    <t>Nithin Rayudu</t>
  </si>
  <si>
    <t>Candidate is not in SA And does not have legal documentation</t>
  </si>
  <si>
    <t>Simbarashe Makura</t>
  </si>
  <si>
    <t>simba.makura@gmail.com</t>
  </si>
  <si>
    <t>SAM001</t>
  </si>
  <si>
    <t>Jonathan Cubitt</t>
  </si>
  <si>
    <t>jcubitt2.fb@gmail.com</t>
  </si>
  <si>
    <t>Njabulo Ayanda Shabalala</t>
  </si>
  <si>
    <t>njabuloshabalala@gmail.com</t>
  </si>
  <si>
    <t>Cedrick Ramuada</t>
  </si>
  <si>
    <t>vramuada@gmail.com</t>
  </si>
  <si>
    <t>Mokhuoane Mocwana</t>
  </si>
  <si>
    <t>mokhuoane@gmail.com</t>
  </si>
  <si>
    <t>Siyabonga Zondi</t>
  </si>
  <si>
    <t>swzondi22@gmail.com</t>
  </si>
  <si>
    <t>Thobani Mngoma</t>
  </si>
  <si>
    <t>tmmngoma@gmail.com</t>
  </si>
  <si>
    <t>Michael Homera</t>
  </si>
  <si>
    <t>homeranm@gmail.com</t>
  </si>
  <si>
    <t>Akhona Nqiwa</t>
  </si>
  <si>
    <t>akhonanqiwa@gmail.com</t>
  </si>
  <si>
    <t>Only interested In Permanent roles</t>
  </si>
  <si>
    <t>Sthembiso Mjoko</t>
  </si>
  <si>
    <t>sjmjoko@gmail.com</t>
  </si>
  <si>
    <t>Alida Meira</t>
  </si>
  <si>
    <t>alida.meira@outlook.com</t>
  </si>
  <si>
    <t>She doesn’t have Oracle experience which is Mandatory</t>
  </si>
  <si>
    <t>Munashe Hondo</t>
  </si>
  <si>
    <t xml:space="preserve">staying in Witbank at the moment and 3 days to Sandton might be inconvenient </t>
  </si>
  <si>
    <t xml:space="preserve"> munashehondo@gmail.com</t>
  </si>
  <si>
    <t>Elias Dan Phiri</t>
  </si>
  <si>
    <t xml:space="preserve"> eliasdphiri217@gmail.com</t>
  </si>
  <si>
    <t>Abhishek Kumar</t>
  </si>
  <si>
    <t>kumaracloud27@gmail.com</t>
  </si>
  <si>
    <t>Rethabile Mafata</t>
  </si>
  <si>
    <t>rethamaf@gmail.com</t>
  </si>
  <si>
    <t xml:space="preserve">Mighty Kekana </t>
  </si>
  <si>
    <t xml:space="preserve"> mightytselana@gmail.com</t>
  </si>
  <si>
    <t>Not suitable</t>
  </si>
  <si>
    <t>Jacob Mashape Legong</t>
  </si>
  <si>
    <t>legongjacob@gmail.com</t>
  </si>
  <si>
    <t>Gerald Mtetwa</t>
  </si>
  <si>
    <t>mtetwagerald50@gmail.com</t>
  </si>
  <si>
    <t>Francois Gouws</t>
  </si>
  <si>
    <t>gouwsf7@gmail.com</t>
  </si>
  <si>
    <t>mightytselana@gmail.com</t>
  </si>
  <si>
    <t>eliasdphiri217@gmail.com</t>
  </si>
  <si>
    <t>shri.yuvi17@gmail.com</t>
  </si>
  <si>
    <t>akariyyahlevy@yahoo.co.za</t>
  </si>
  <si>
    <t>Chharish199515@gmail.com</t>
  </si>
  <si>
    <t>muppallapraveen.bi@gmail.com</t>
  </si>
  <si>
    <t>aparnasagis@gmail.com</t>
  </si>
  <si>
    <t>kelvin.sipeyiye@gmail.com</t>
  </si>
  <si>
    <t>fikilemdiniso2@gmail.com</t>
  </si>
  <si>
    <t>padi.thabiso@yahoo.com</t>
  </si>
  <si>
    <t>Praveen Kumar Srivastav</t>
  </si>
  <si>
    <t>Zakariyyah Levy</t>
  </si>
  <si>
    <t>02 - Not Interested</t>
  </si>
  <si>
    <t xml:space="preserve">Fikile Mdiniso </t>
  </si>
  <si>
    <t>Sena Herbert Tamakloe</t>
  </si>
  <si>
    <t>senahubert@gmail.com</t>
  </si>
  <si>
    <t>Thabiso Padi</t>
  </si>
  <si>
    <t>Nicholas Gopolang Motlhoki</t>
  </si>
  <si>
    <t>Nicholas.Motlhoki@gmail.com</t>
  </si>
  <si>
    <t>Praveen Muppalla</t>
  </si>
  <si>
    <t>Harish CH</t>
  </si>
  <si>
    <t>Macdonald Mofokeng</t>
  </si>
  <si>
    <t>fkmac001@gmail.com</t>
  </si>
  <si>
    <t>Kelvin Kuzdzai Sipeyiye</t>
  </si>
  <si>
    <t xml:space="preserve">Aparna Sagi </t>
  </si>
  <si>
    <t xml:space="preserve">shettigar1989kavya@gmail.com </t>
  </si>
  <si>
    <t xml:space="preserve">mtho.dlaminie@gmail.com </t>
  </si>
  <si>
    <t>mmuqattash@gmail.com</t>
  </si>
  <si>
    <t xml:space="preserve">khozaeddy@gmail.com </t>
  </si>
  <si>
    <t>sujathateetla@gmail.com</t>
  </si>
  <si>
    <t>maleboprecious@gmail.com</t>
  </si>
  <si>
    <t>Mthobisi Dlamini</t>
  </si>
  <si>
    <t>Madi Muqattash</t>
  </si>
  <si>
    <t>Nequito Eddy Khoza</t>
  </si>
  <si>
    <t>Sujatha Gundampadu</t>
  </si>
  <si>
    <t>Molebogeng Maine</t>
  </si>
  <si>
    <t xml:space="preserve">thulanindl@hotmail.com </t>
  </si>
  <si>
    <t>dvumbi@gmail.com</t>
  </si>
  <si>
    <t>emails2yashwanth@gmail.com</t>
  </si>
  <si>
    <t xml:space="preserve">vgk2020@yahoo.com </t>
  </si>
  <si>
    <t>jyothinukala.cloud@gmail.com</t>
  </si>
  <si>
    <t>Thulani Ndlovu</t>
  </si>
  <si>
    <t>Donny Vumbi</t>
  </si>
  <si>
    <t>Yothi Puli</t>
  </si>
  <si>
    <t>mohammedtitus@gmail.com</t>
  </si>
  <si>
    <t xml:space="preserve"> shiyaamvh@cpconsulting.co.za</t>
  </si>
  <si>
    <t>shanker8683@gmail.com</t>
  </si>
  <si>
    <t>Mohammed Titus</t>
  </si>
  <si>
    <t>Mfundiso Mnotoza</t>
  </si>
  <si>
    <t>Shiva Shanker Belluri</t>
  </si>
  <si>
    <t>ZEN129</t>
  </si>
  <si>
    <t>Pascal Londani Radzilani</t>
  </si>
  <si>
    <t>pradzilani9@gmail.com</t>
  </si>
  <si>
    <t>Dennis Mosehla</t>
  </si>
  <si>
    <t>dennis.mosehla@gmail.com</t>
  </si>
  <si>
    <t>Preetamsingh Bismohun</t>
  </si>
  <si>
    <t>preetamsinghbismohun@yahoo.com</t>
  </si>
  <si>
    <t>Kaelin Pather</t>
  </si>
  <si>
    <t>patherkaelin@gmail.com</t>
  </si>
  <si>
    <t>Charl du Toit</t>
  </si>
  <si>
    <t>charl.dutoit85@gmail.com</t>
  </si>
  <si>
    <t>Percy Keetse</t>
  </si>
  <si>
    <t>Mpkeetse@gmail.com</t>
  </si>
  <si>
    <t>Mahlatse Mogano</t>
  </si>
  <si>
    <t>MahlatseMogano@ymail.com</t>
  </si>
  <si>
    <t>Junior Zwelethu Skosana</t>
  </si>
  <si>
    <t>juniorskosana15@gmail.com</t>
  </si>
  <si>
    <t>Candidate is in Cape Town and is unable to relocate</t>
  </si>
  <si>
    <t>Warren Ramgath</t>
  </si>
  <si>
    <t>wramgath@gmail.com</t>
  </si>
  <si>
    <t>Nhlanhla Ngoveni</t>
  </si>
  <si>
    <t>nlngoveni@gmail.com</t>
  </si>
  <si>
    <t>Sandisiwevutula28@gmail.com</t>
  </si>
  <si>
    <t>leonard.van.onselen@gmail.com</t>
  </si>
  <si>
    <t>Sandisiwe Vutula</t>
  </si>
  <si>
    <t>Brian Nkosi</t>
  </si>
  <si>
    <t>briannbnkosi@gmail.com</t>
  </si>
  <si>
    <t>Leo Van Onselen</t>
  </si>
  <si>
    <t xml:space="preserve">Ndivhuwo Nthangeni </t>
  </si>
  <si>
    <t xml:space="preserve">ndivhuwomokwelela@gmail.com </t>
  </si>
  <si>
    <t>Pavan Patke</t>
  </si>
  <si>
    <t>pavan.patke@gmail.com</t>
  </si>
  <si>
    <t>Candidate is in Cape Town and is unable to relocate and is above budget on R1044 p/h</t>
  </si>
  <si>
    <t>Candidate is not in the market currently</t>
  </si>
  <si>
    <t>Candidate is overbudget and is only open to perm roles that are not work from office daily</t>
  </si>
  <si>
    <t>Phone again Thursday - 26 March 2026</t>
  </si>
  <si>
    <t>Candidate only wants remote or Hybrod roles</t>
  </si>
  <si>
    <t>0659639035 righiem@gmail.com</t>
  </si>
  <si>
    <t>Thabang Righie Mohlosana</t>
  </si>
  <si>
    <t xml:space="preserve"> vepursaicharan@gmail.com</t>
  </si>
  <si>
    <t>SaiCharan Vepur</t>
  </si>
  <si>
    <t>Murton Peters</t>
  </si>
  <si>
    <t>murton.peters@gmail.com</t>
  </si>
  <si>
    <t>Tukello Mathole</t>
  </si>
  <si>
    <t>matholecristian@gmail.com</t>
  </si>
  <si>
    <t>Neo Keaobaka Thobejane</t>
  </si>
  <si>
    <t>neo.thobz@gmail.com</t>
  </si>
  <si>
    <t>Khaliq Phasha</t>
  </si>
  <si>
    <t>abdul.sfinfo@gmail.com</t>
  </si>
  <si>
    <t>Rabbi Mathake</t>
  </si>
  <si>
    <t>rabbimathake@gmail.com</t>
  </si>
  <si>
    <t>leemfeka01@gmail.com</t>
  </si>
  <si>
    <t>Lindani Mfeka</t>
  </si>
  <si>
    <t>Mthokozisi Ngwenya</t>
  </si>
  <si>
    <t>mthokozie@gmail.com</t>
  </si>
  <si>
    <t>Takudzwa Tongoona</t>
  </si>
  <si>
    <t>tongoonat@outlook.com</t>
  </si>
  <si>
    <t>Malefane Mokhahle</t>
  </si>
  <si>
    <t>jonasemokhahle@gmail.com</t>
  </si>
  <si>
    <t>Nevinson Moyo</t>
  </si>
  <si>
    <t>nevinson@outlook.com</t>
  </si>
  <si>
    <t>Abraham Sibusiso Muziwakhile Dlamini</t>
  </si>
  <si>
    <t>ZEN130</t>
  </si>
  <si>
    <t>dlaminis79@gmail.com</t>
  </si>
  <si>
    <t>Venkaiah Inampudi</t>
  </si>
  <si>
    <t>vcinampudi@gmail.com</t>
  </si>
  <si>
    <t>Mahesh Kalluri</t>
  </si>
  <si>
    <t>maheshkalluri.rsa@gmail.com</t>
  </si>
  <si>
    <t>Prince Mafolo</t>
  </si>
  <si>
    <t>mochabo.mafolo@gmail.com</t>
  </si>
  <si>
    <t>Thabiso Makgotloe</t>
  </si>
  <si>
    <t>thasomk@gmail.com</t>
  </si>
  <si>
    <t>Phillip Makhate</t>
  </si>
  <si>
    <t>makhates@gmail.com</t>
  </si>
  <si>
    <t>Gregory Zwane</t>
  </si>
  <si>
    <t>gregzwane@gmail.com</t>
  </si>
  <si>
    <t>Shiva Krishna Budda</t>
  </si>
  <si>
    <t>shivakrishnabudda@gmail.com</t>
  </si>
  <si>
    <t>Anil Gillela</t>
  </si>
  <si>
    <t>gillellaanil@gmail.com</t>
  </si>
  <si>
    <t>Vinoth Kumar</t>
  </si>
  <si>
    <t>iamvinoth21@gmail.com</t>
  </si>
  <si>
    <t>Azeez Salawu</t>
  </si>
  <si>
    <t>azeezsalawu3@icloud.com</t>
  </si>
  <si>
    <t>Abongile Maso</t>
  </si>
  <si>
    <t>abongile.maso@gmail.com</t>
  </si>
  <si>
    <t>Jerry Moloi</t>
  </si>
  <si>
    <t>matsemelamoloi@gmail.com</t>
  </si>
  <si>
    <t>Hunadi Mapulane</t>
  </si>
  <si>
    <t>hmapulane@gmail.com</t>
  </si>
  <si>
    <t>Given Nengwane</t>
  </si>
  <si>
    <t>aleng104@gmail.com</t>
  </si>
  <si>
    <t>Thato Qhusheka</t>
  </si>
  <si>
    <t>thatoqhusheka@gmail.com</t>
  </si>
  <si>
    <t>Thembelani Shezi</t>
  </si>
  <si>
    <t>thembelani045@gmail.com</t>
  </si>
  <si>
    <t>Jerry Komane</t>
  </si>
  <si>
    <t>Jerrykomane0@gmail.com</t>
  </si>
  <si>
    <t>Osia Mahawani</t>
  </si>
  <si>
    <t>mahawaniosia@gmail.com</t>
  </si>
  <si>
    <t>zridley005@gmail.com</t>
  </si>
  <si>
    <t>Ashley.neshitopeni@gmail.com</t>
  </si>
  <si>
    <t>venkatravulapalli@gmail.com</t>
  </si>
  <si>
    <t>madanuabhilash1@gmail.com</t>
  </si>
  <si>
    <t xml:space="preserve"> simikahledlomo@gmail.com</t>
  </si>
  <si>
    <t xml:space="preserve"> Phumudzo Mamphaga</t>
  </si>
  <si>
    <t>Ashley Neshitopeni</t>
  </si>
  <si>
    <t>Venkat Ravulapalli</t>
  </si>
  <si>
    <t>Mochabo Prince Mafolo</t>
  </si>
  <si>
    <t>Abhilash Madanu</t>
  </si>
  <si>
    <t xml:space="preserve">Anil Gillela </t>
  </si>
  <si>
    <t xml:space="preserve"> Simikshle Dlomo</t>
  </si>
  <si>
    <t xml:space="preserve"> khozaeddy@gmail.com</t>
  </si>
  <si>
    <t>musawenkosi.mahlangu07@gmail.com</t>
  </si>
  <si>
    <t>sbumakebz@gmail.com</t>
  </si>
  <si>
    <t xml:space="preserve"> Ignasio Dondo</t>
  </si>
  <si>
    <t xml:space="preserve"> Nequito Eddy Khoza</t>
  </si>
  <si>
    <t>Musawenkosi Mahlangu</t>
  </si>
  <si>
    <t>Sibusiso Makebesana</t>
  </si>
  <si>
    <t xml:space="preserve">Candidate is not wiling to relocate </t>
  </si>
  <si>
    <t>Miracle Malitsha</t>
  </si>
  <si>
    <t>malitsha.miracle@gmail.com</t>
  </si>
  <si>
    <t>Madhuri Kurmapu</t>
  </si>
  <si>
    <t xml:space="preserve">kurmapumadhuri.ba@gmail.com </t>
  </si>
  <si>
    <t>Hlavutelo Advocate Ngobeni</t>
  </si>
  <si>
    <t>hlavutelomdu@gmail.com</t>
  </si>
  <si>
    <t>Senzo Mbuzwa</t>
  </si>
  <si>
    <t>senzombuzwa42@gmail.com</t>
  </si>
  <si>
    <t>Chandu Gorantla</t>
  </si>
  <si>
    <t>gcgorantla4747@gmail.com</t>
  </si>
  <si>
    <t>Sean Botha</t>
  </si>
  <si>
    <t>Sean.botha722@gmail.com</t>
  </si>
  <si>
    <t>Gift Sebonyane</t>
  </si>
  <si>
    <t>sebonyaneg@gmail.com</t>
  </si>
  <si>
    <t>Kresen Chetty</t>
  </si>
  <si>
    <t>Kresen.c@gmail.com</t>
  </si>
  <si>
    <t>Significantly below required experience (4 vs 7–10 years)</t>
  </si>
  <si>
    <t>Shruthi Boregowda</t>
  </si>
  <si>
    <t>shruthimbgowda23@gmail.com</t>
  </si>
  <si>
    <t>Odwa Mtsaka</t>
  </si>
  <si>
    <t>oddizzo@gmail.com</t>
  </si>
  <si>
    <t>Candidate is on R750 per hour which is over budget</t>
  </si>
  <si>
    <t>Anesu Chiodza</t>
  </si>
  <si>
    <t>anesuchiodza@gmail.com</t>
  </si>
  <si>
    <t>Mahlatse Moneiwa</t>
  </si>
  <si>
    <t>mahlatsemoses@gmail.com</t>
  </si>
  <si>
    <t>Shubnam Pillay</t>
  </si>
  <si>
    <t xml:space="preserve">elchapoveron@gmail.com </t>
  </si>
  <si>
    <t>Giovanni Tyers</t>
  </si>
  <si>
    <t>giovanni.tyers@gmail.com</t>
  </si>
  <si>
    <t>John-Paul Masembe</t>
  </si>
  <si>
    <t>johnmasembe17@gmail.com</t>
  </si>
  <si>
    <t>Rofhiwa Musandiwa</t>
  </si>
  <si>
    <t>rofhmus@gmail.com</t>
  </si>
  <si>
    <t>Noah Emmanuel Nyatlo</t>
  </si>
  <si>
    <t>nyatlon@gmail.com</t>
  </si>
  <si>
    <t>❌ Not Suitable</t>
  </si>
  <si>
    <t>78% ⚠️ Borderline Submit</t>
  </si>
  <si>
    <t>72% ⚠️ Borderline / Not Recommended</t>
  </si>
  <si>
    <t>ZEN127</t>
  </si>
  <si>
    <t>simphiwemthanti76@gmail.com</t>
  </si>
  <si>
    <t>vinod.meda999@gmail.com</t>
  </si>
  <si>
    <t>madondoephraim@gmail.com</t>
  </si>
  <si>
    <t>musa.ngobenim@gmail.com</t>
  </si>
  <si>
    <t>robert.ndlala@gmail.com</t>
  </si>
  <si>
    <t xml:space="preserve">dmatangany@gmail.com </t>
  </si>
  <si>
    <t>nkwejustice@gmail.com</t>
  </si>
  <si>
    <t>gouthamlinga90@gmail.com</t>
  </si>
  <si>
    <t xml:space="preserve">wmokwele@yahoo.com </t>
  </si>
  <si>
    <t>boitumelotshehla@gmail.com</t>
  </si>
  <si>
    <t>andries.spies@gmail.com</t>
  </si>
  <si>
    <t>Malesela Mokwele</t>
  </si>
  <si>
    <t>Bahle Ntshayisa</t>
  </si>
  <si>
    <t>Andries Spies</t>
  </si>
  <si>
    <t>totsikayi@gmail.com</t>
  </si>
  <si>
    <t>masande.kendle@gmail.com</t>
  </si>
  <si>
    <t>asja.solomons1@gmail.com |</t>
  </si>
  <si>
    <t>Tapiwa Tsikayi</t>
  </si>
  <si>
    <t>Masande Kendle</t>
  </si>
  <si>
    <t xml:space="preserve">Sasja Solomons </t>
  </si>
  <si>
    <t xml:space="preserve"> Anil Gillela</t>
  </si>
  <si>
    <t>Mpho Mathipa</t>
  </si>
  <si>
    <t>mathipamphothomas@gmail.com</t>
  </si>
  <si>
    <t xml:space="preserve"> mauricetnkuna@gmail.com</t>
  </si>
  <si>
    <t>Tshepo Nkuna</t>
  </si>
  <si>
    <t>n</t>
  </si>
  <si>
    <t>Emmanuel Msimango</t>
  </si>
  <si>
    <t>ZEN133</t>
  </si>
  <si>
    <t>emmanuel.msimango@gmail.com</t>
  </si>
  <si>
    <t>Andrew Hawadi</t>
  </si>
  <si>
    <t>ahawadi@gmail.com</t>
  </si>
  <si>
    <t>Karabo Monageng</t>
  </si>
  <si>
    <t>kmonageng@gmail.com</t>
  </si>
  <si>
    <t>Terence Baloyi</t>
  </si>
  <si>
    <t>cube.musa@gmail.com</t>
  </si>
  <si>
    <t>treasure.nkonyana@gmail.com</t>
  </si>
  <si>
    <t>Treasure Nkonyana</t>
  </si>
  <si>
    <t>Cebisa Kgopa</t>
  </si>
  <si>
    <t>cebisa.kgopa32@gmail.com</t>
  </si>
  <si>
    <t>sravichandra0@gmail.com</t>
  </si>
  <si>
    <t>Ravi Chandra Singu</t>
  </si>
  <si>
    <t>Jurgen Hanekom</t>
  </si>
  <si>
    <t>hanekoms@gmail.com</t>
  </si>
  <si>
    <t>Thato Mabeleng</t>
  </si>
  <si>
    <t>tlmabeleng@gmail.com</t>
  </si>
  <si>
    <t>Nequito Khoza</t>
  </si>
  <si>
    <t>khozaeddy@gmail.com</t>
  </si>
  <si>
    <t>Shireesha Reddy</t>
  </si>
  <si>
    <t>shireeshachittireddy0711@gmail.com</t>
  </si>
  <si>
    <t>Uttam Kumar Paul</t>
  </si>
  <si>
    <t>uttampaul2002@gmail.com</t>
  </si>
  <si>
    <t>Venkat Potu</t>
  </si>
  <si>
    <t>potu32@gmail.com</t>
  </si>
  <si>
    <t>Daniel Qhobosheane</t>
  </si>
  <si>
    <t>Qhobosheanedan@gmail.com</t>
  </si>
  <si>
    <t>Bennett Seodi Mafeka</t>
  </si>
  <si>
    <t>Godwill Makhubela</t>
  </si>
  <si>
    <t>Phillip Rasethe</t>
  </si>
  <si>
    <t>phillip.rasethe@gmail.com</t>
  </si>
  <si>
    <t>godwill.makhubela@gmail.com</t>
  </si>
  <si>
    <t>mafekabs@gmail.com</t>
  </si>
  <si>
    <t>Tonderai Muchada</t>
  </si>
  <si>
    <t>Rowen Hama</t>
  </si>
  <si>
    <t>Zainadine Abdulcadre</t>
  </si>
  <si>
    <t>Aubrey Nyelele</t>
  </si>
  <si>
    <t>Juan du Preez</t>
  </si>
  <si>
    <t>Thapelo Agus</t>
  </si>
  <si>
    <t>Ernest Mashele</t>
  </si>
  <si>
    <t>tonderaimuchada@gmail.com</t>
  </si>
  <si>
    <t>rowenhama@gmail.com</t>
  </si>
  <si>
    <t>zainadineduarte@gmail.com</t>
  </si>
  <si>
    <t>aubreyn64@gmail.com</t>
  </si>
  <si>
    <t>attentionjuan@gmail.com</t>
  </si>
  <si>
    <t>thapelo.agus@gmail.com</t>
  </si>
  <si>
    <t>ernest.mashele@gmail.com</t>
  </si>
  <si>
    <t xml:space="preserve">mathesswaran@gmail.com </t>
  </si>
  <si>
    <t>tthamtham@icloud.com</t>
  </si>
  <si>
    <t>dylanvr@live.com</t>
  </si>
  <si>
    <t xml:space="preserve"> mkhabela.n@gmail.com</t>
  </si>
  <si>
    <t>seth.raman@outlook.com</t>
  </si>
  <si>
    <t>charlesmosoeu@gmail.com</t>
  </si>
  <si>
    <t>Matheswaran Palanisamy</t>
  </si>
  <si>
    <t>Thami Nkosi</t>
  </si>
  <si>
    <t>Dylan van Rensburg</t>
  </si>
  <si>
    <t>Nhlakanipho Mkhabela</t>
  </si>
  <si>
    <t>Seth Raman</t>
  </si>
  <si>
    <t>Charles Mosoeu</t>
  </si>
  <si>
    <t>pallavi10aggarwal@gmail.com</t>
  </si>
  <si>
    <t>opmnisi@gmail.com</t>
  </si>
  <si>
    <t>steven.foukaridis@gmail.com</t>
  </si>
  <si>
    <t>mpkeetse@gmail.com</t>
  </si>
  <si>
    <t xml:space="preserve"> Palavvi Aggarwal</t>
  </si>
  <si>
    <t>Onanie Perseverance Mnisi</t>
  </si>
  <si>
    <t>Stefanus Foukaridis</t>
  </si>
  <si>
    <t xml:space="preserve">Naveen kumar </t>
  </si>
  <si>
    <t>Surprise Maimane</t>
  </si>
  <si>
    <t>surprino@gmail.com</t>
  </si>
  <si>
    <t>Thanyani Selby Mulelu</t>
  </si>
  <si>
    <t>smulelu@icloud.com</t>
  </si>
  <si>
    <t>Mfoniso Ossom</t>
  </si>
  <si>
    <t>mfoniso@gmail.com</t>
  </si>
  <si>
    <t>He has already been contacted by someone from Zensar and he looking for remote roles only</t>
  </si>
  <si>
    <t xml:space="preserve">Marshall Chabanga </t>
  </si>
  <si>
    <t xml:space="preserve">marshallchabanga@gmail.com </t>
  </si>
  <si>
    <t>Pontsho Maheso</t>
  </si>
  <si>
    <t>pontshomaheso@gmail.com</t>
  </si>
  <si>
    <t>Choene Chokoe</t>
  </si>
  <si>
    <t>chokoe.choene@outlook.com</t>
  </si>
  <si>
    <t>currently in Cape town</t>
  </si>
  <si>
    <t>Buhle Taleni</t>
  </si>
  <si>
    <t>buhle.taleni@gmail.com</t>
  </si>
  <si>
    <t>ZEN136</t>
  </si>
  <si>
    <t>Nhamoinesu Tinosekwa</t>
  </si>
  <si>
    <t>ntinosekwa@gmail.com</t>
  </si>
  <si>
    <t>Godfrey Mathipa</t>
  </si>
  <si>
    <t>mathipa.godfrey@gmail.com</t>
  </si>
  <si>
    <t>Ronald Nene</t>
  </si>
  <si>
    <t>ronaldnn9@gmail.com</t>
  </si>
  <si>
    <t>Sibongakonke Shange</t>
  </si>
  <si>
    <t>sbongakonke.shange@gmail.com</t>
  </si>
  <si>
    <t>Vukani Xulu</t>
  </si>
  <si>
    <t>cosmos.xulu@yahoo.com</t>
  </si>
  <si>
    <t>Joshua Segal</t>
  </si>
  <si>
    <t>joshuasegal4@gmail.com</t>
  </si>
  <si>
    <t>ZEN138</t>
  </si>
  <si>
    <t>Manas Maboka</t>
  </si>
  <si>
    <t>mabokamanas@gmail.com</t>
  </si>
  <si>
    <t>Shintal Jamge</t>
  </si>
  <si>
    <t>sjamge@gmail.com</t>
  </si>
  <si>
    <t>Chandra Lankey</t>
  </si>
  <si>
    <t xml:space="preserve">chandra_sekharraj@yahoo.co.in </t>
  </si>
  <si>
    <t>Nicholas Motlhoki</t>
  </si>
  <si>
    <t>Brij Yadav</t>
  </si>
  <si>
    <t>brijkishoronline@gmail.com</t>
  </si>
  <si>
    <t xml:space="preserve"> Ashley Neshitopeni</t>
  </si>
  <si>
    <t>SAM002</t>
  </si>
  <si>
    <t>Gugu De Almeida</t>
  </si>
  <si>
    <t>Thato Miyen</t>
  </si>
  <si>
    <t>Nitasha Bissoonath</t>
  </si>
  <si>
    <t>Matthew Lowe</t>
  </si>
  <si>
    <t>Tolulope Patrick</t>
  </si>
  <si>
    <t>saintpatrick692@gmail.com</t>
  </si>
  <si>
    <t>matthewlowe1998@gmail.com</t>
  </si>
  <si>
    <t>nitashab4@gmail.com</t>
  </si>
  <si>
    <t>tatmiyen@gmail.com</t>
  </si>
  <si>
    <t>gugumazibuko341@gmail.com</t>
  </si>
  <si>
    <t>Johannes Ditshego</t>
  </si>
  <si>
    <t>Motsamayi Mokwatedi</t>
  </si>
  <si>
    <t>Mutshinyalo Netsianda</t>
  </si>
  <si>
    <t>Ntombizonke Mpono</t>
  </si>
  <si>
    <t>mazonkana2@gmail.com</t>
  </si>
  <si>
    <t>mi.netsianda@outlook.com</t>
  </si>
  <si>
    <t>Motsamayi@gmail.com</t>
  </si>
  <si>
    <t>johannes.ditshego@gmail.com</t>
  </si>
  <si>
    <t>Role Closed</t>
  </si>
  <si>
    <t>he is looking for remote roles</t>
  </si>
  <si>
    <t xml:space="preserve">nkosimorris7@gmail.com </t>
  </si>
  <si>
    <t>Morris Nkosi</t>
  </si>
  <si>
    <t>David Lekhooa</t>
  </si>
  <si>
    <t>d.m.lekhooa@gmail.com</t>
  </si>
  <si>
    <t>Valerie Mbuli</t>
  </si>
  <si>
    <t xml:space="preserve">veembulival@gmail.com </t>
  </si>
  <si>
    <t>Baitshoki Kubu</t>
  </si>
  <si>
    <t>biologicaltk@gmail.com</t>
  </si>
  <si>
    <t>Only Business analyst not Data Analyst</t>
  </si>
  <si>
    <t>Already  been contacted by another vendor for the same role</t>
  </si>
  <si>
    <t>he is unable to relocate</t>
  </si>
  <si>
    <t>julianknight089@gmail.com</t>
  </si>
  <si>
    <t>Julian Knight</t>
  </si>
  <si>
    <t>Neelash Goolab</t>
  </si>
  <si>
    <t>Sujal Mishra</t>
  </si>
  <si>
    <t>Bruce Shikwambana</t>
  </si>
  <si>
    <t>Elizabeth Wright</t>
  </si>
  <si>
    <t>goolab.neelash@gmail.com</t>
  </si>
  <si>
    <t>mishra.sujal06@gmail.com</t>
  </si>
  <si>
    <t>shikwambanabruce@gmail.com</t>
  </si>
  <si>
    <t>wright.elsabe@gmail.com</t>
  </si>
  <si>
    <t>Kuda Chikukwa</t>
  </si>
  <si>
    <t>Thabile Mofokeng</t>
  </si>
  <si>
    <t>Theshen Reddy</t>
  </si>
  <si>
    <t>Lucia Ndlovu</t>
  </si>
  <si>
    <t>kchikwas@gmail.com</t>
  </si>
  <si>
    <t>sameerhawa786@gmail.com</t>
  </si>
  <si>
    <t>theshenreddy@gmail.com</t>
  </si>
  <si>
    <t>Vonnyndlovu2@gmail.com</t>
  </si>
  <si>
    <t>Fhumulani Matahela</t>
  </si>
  <si>
    <t>matahelafm@gmail.com</t>
  </si>
  <si>
    <t>ZEN141</t>
  </si>
  <si>
    <t>SAM003</t>
  </si>
  <si>
    <t>Dylan-van-Rensburg_</t>
  </si>
  <si>
    <t>only wants  remote roles</t>
  </si>
  <si>
    <t>Kelvin Kudzai Sipeyiye</t>
  </si>
  <si>
    <t>No email</t>
  </si>
  <si>
    <t xml:space="preserve"> kelvin.sipeyiye@gmail.com</t>
  </si>
  <si>
    <t>Sameer Ibrahim</t>
  </si>
  <si>
    <t>Liz Allen</t>
  </si>
  <si>
    <t>lizthaliaallen@gmail.com</t>
  </si>
  <si>
    <t>Candidate is on R650 p/h which is over budget</t>
  </si>
  <si>
    <t>Ray Matlala</t>
  </si>
  <si>
    <t xml:space="preserve">raym@rainbowbt.co.za </t>
  </si>
  <si>
    <t>Nileshkumar Prajapati</t>
  </si>
  <si>
    <t xml:space="preserve"> kmonageng@gmail.com </t>
  </si>
  <si>
    <t>Cant take a 6 Month contract</t>
  </si>
  <si>
    <t>Eternity Moabi</t>
  </si>
  <si>
    <t>Taurai Mpala</t>
  </si>
  <si>
    <t>Tejesvini Sharma</t>
  </si>
  <si>
    <t>Gondai Siwela</t>
  </si>
  <si>
    <t>Samkelo Tshabalala</t>
  </si>
  <si>
    <t>Busisiwe Makhura</t>
  </si>
  <si>
    <t>Eternitym722@gmail.com</t>
  </si>
  <si>
    <t>tauraicm@yahoo.com</t>
  </si>
  <si>
    <t>stejesvini@gmail.com</t>
  </si>
  <si>
    <t>samutshaba@gmail.com</t>
  </si>
  <si>
    <t>busisiwe.makhura@gmail.com</t>
  </si>
  <si>
    <t>gondaisiwela@gmail.com</t>
  </si>
  <si>
    <t>Roelof du Plooy</t>
  </si>
  <si>
    <t>Francois van der Merwe</t>
  </si>
  <si>
    <t>Lundi Dondolo</t>
  </si>
  <si>
    <t>Sphumelele Matshivha</t>
  </si>
  <si>
    <t>Hope Madywabe</t>
  </si>
  <si>
    <t>Renier Richter</t>
  </si>
  <si>
    <t>renier@procureconnect.co.za</t>
  </si>
  <si>
    <t>hope.madywabe@gmail.com</t>
  </si>
  <si>
    <t>sphumelelenomalady@gmail.com</t>
  </si>
  <si>
    <t>Ldondolo@gmail.com</t>
  </si>
  <si>
    <t>francoisvdm100@gmail.com</t>
  </si>
  <si>
    <t>RoelofJacobus.Duplooy@oldmutual.com</t>
  </si>
  <si>
    <t>George Lehlohonono Ntshweng</t>
  </si>
  <si>
    <t>ZEN142</t>
  </si>
  <si>
    <t>Gntshweng@gmail.com</t>
  </si>
  <si>
    <t>mbalied@gmail.com</t>
  </si>
  <si>
    <t>Nkosikhona Mbali Dlamini</t>
  </si>
  <si>
    <t>Kingdom Mangwende</t>
  </si>
  <si>
    <t>Albert Mabweazara</t>
  </si>
  <si>
    <t xml:space="preserve">6dbgain@gmail.com   </t>
  </si>
  <si>
    <t xml:space="preserve"> k.chief01@gmail.com </t>
  </si>
  <si>
    <t>Has a Credit Dispute</t>
  </si>
  <si>
    <t>ZEN143</t>
  </si>
  <si>
    <t>ausnoku@yahoo.co.uk</t>
  </si>
  <si>
    <t>jimmahlangu@yahoo.co.za</t>
  </si>
  <si>
    <t xml:space="preserve">kauneo04@gmail.com </t>
  </si>
  <si>
    <t>smahlangu07@gmail.com</t>
  </si>
  <si>
    <t xml:space="preserve">Ayanda.dladla@hotmail.com </t>
  </si>
  <si>
    <t>christophermaluleka@gmail.com</t>
  </si>
  <si>
    <t>Austine Ruwona</t>
  </si>
  <si>
    <t>Jim Themba Mahlangu</t>
  </si>
  <si>
    <t>Neo Kau</t>
  </si>
  <si>
    <t>Sipho Mahlangu</t>
  </si>
  <si>
    <t>Ayanda Dladla</t>
  </si>
  <si>
    <t>Christoper Maluleka</t>
  </si>
  <si>
    <t>Mulalo Justice Tshiambaro</t>
  </si>
  <si>
    <t>Mulalojusticetshiambaro@gmail.com</t>
  </si>
  <si>
    <t>Faheem Suleman</t>
  </si>
  <si>
    <t xml:space="preserve">faheem55@gmail.com </t>
  </si>
  <si>
    <t>Xhasiwe Bella Moqekwa</t>
  </si>
  <si>
    <t xml:space="preserve">xhasiwe@gmail.com </t>
  </si>
  <si>
    <t>Clifford  Ralikhwatha</t>
  </si>
  <si>
    <t>Survs21@gmail.com</t>
  </si>
  <si>
    <t>Ntibileng Moloi</t>
  </si>
  <si>
    <t>ntibilengm@gmail.com</t>
  </si>
  <si>
    <t>Hhrishkesh</t>
  </si>
  <si>
    <t>hrishikesh.bit72@gmail.com</t>
  </si>
  <si>
    <t>Tafadzwa Chuchu</t>
  </si>
  <si>
    <t>tmandeyachuchu@gmail.com</t>
  </si>
  <si>
    <t>Carlton Musuka</t>
  </si>
  <si>
    <t>kudakwashemusuka@gmail.com</t>
  </si>
  <si>
    <t>bmukandiwa@outlook.com</t>
  </si>
  <si>
    <t>Brian Mukandiwa</t>
  </si>
  <si>
    <t>Jerome Govender</t>
  </si>
  <si>
    <t>ZEN144</t>
  </si>
  <si>
    <t>govenderjerome85@gmail.com</t>
  </si>
  <si>
    <t xml:space="preserve">eliasdphiri217@gmail.com </t>
  </si>
  <si>
    <t>Kevin Nayagar</t>
  </si>
  <si>
    <t>kevin.nayagar@gmail.com</t>
  </si>
  <si>
    <t>Neill Verreynne</t>
  </si>
  <si>
    <t>nremnant4u@gmail.com</t>
  </si>
  <si>
    <t>Steven Murhula Kaho</t>
  </si>
  <si>
    <t>engstevo@gmail.com</t>
  </si>
  <si>
    <t>Luke Simbabure</t>
  </si>
  <si>
    <t>lukesimb@gmail.com</t>
  </si>
  <si>
    <t>Yande Mwale</t>
  </si>
  <si>
    <t>ZEN128</t>
  </si>
  <si>
    <t>Kyle Mudaly</t>
  </si>
  <si>
    <t>Sphiwe Masilela</t>
  </si>
  <si>
    <t>Kyle.mudaly@gmail.com</t>
  </si>
  <si>
    <t>masilsj@outlook.com</t>
  </si>
  <si>
    <t>Taib Metedad</t>
  </si>
  <si>
    <t>Themba Mabuza</t>
  </si>
  <si>
    <t>Khuthele Manakaza</t>
  </si>
  <si>
    <t>khuthelemanakaza@gmail.com</t>
  </si>
  <si>
    <t>Thembagmabuza@gmail.com</t>
  </si>
  <si>
    <t>taib.metedad@gmail.com</t>
  </si>
  <si>
    <t>Radhika Pather</t>
  </si>
  <si>
    <t>Avuyile Malotana</t>
  </si>
  <si>
    <t>rads456@gmail.com</t>
  </si>
  <si>
    <t>vlvsmalotana@gmail.com</t>
  </si>
  <si>
    <t>Panashe Masocha</t>
  </si>
  <si>
    <t>ZEN146</t>
  </si>
  <si>
    <t>panashemasocha@gmail.com</t>
  </si>
  <si>
    <t>Khande Sandeep</t>
  </si>
  <si>
    <t xml:space="preserve">sandeepkhande02@gmail.com </t>
  </si>
  <si>
    <t>xolani@gmail.com</t>
  </si>
  <si>
    <t>tgnkuna768@gmail.com</t>
  </si>
  <si>
    <t>Tsholofelo Nkuna</t>
  </si>
  <si>
    <t>Mondo Sibeko</t>
  </si>
  <si>
    <t>mondicesibeko@gmail.com</t>
  </si>
  <si>
    <t>Moraswi Maja</t>
  </si>
  <si>
    <t>maja.moraswi@gmail.com</t>
  </si>
  <si>
    <t xml:space="preserve"> Gcobani Mkontwana</t>
  </si>
  <si>
    <t>ggcobani@gmail.com</t>
  </si>
  <si>
    <t xml:space="preserve"> Fhatuwani Lancelot Tshikota</t>
  </si>
  <si>
    <t>dvanskot@gmail.com</t>
  </si>
  <si>
    <t>Okuhle Somlota</t>
  </si>
  <si>
    <t>Anele Zungu</t>
  </si>
  <si>
    <t>somlotaokuhle@gmail.com</t>
  </si>
  <si>
    <t>anelezungu34@icloud.com</t>
  </si>
  <si>
    <t>Mawande Mdolo</t>
  </si>
  <si>
    <t>Simanga Khoza</t>
  </si>
  <si>
    <t>Nicholas Smith</t>
  </si>
  <si>
    <t>Phumlani Mthembu</t>
  </si>
  <si>
    <t>asandamdolo09@gmail.com</t>
  </si>
  <si>
    <t>h3khoza@gmail.com</t>
  </si>
  <si>
    <t>nicholassmithzar@gmail.com</t>
  </si>
  <si>
    <t>mthembup69@gmail.com</t>
  </si>
  <si>
    <t>Hope Mosidi</t>
  </si>
  <si>
    <t>Gloria Fulele</t>
  </si>
  <si>
    <t>Rahul Parathnandh</t>
  </si>
  <si>
    <t>Emmanuel Maneswa</t>
  </si>
  <si>
    <t>gloria.fulele@gmail.com</t>
  </si>
  <si>
    <t>parathnandh@gmail.com</t>
  </si>
  <si>
    <t>emmanuelmaneswa@gmail.com</t>
  </si>
  <si>
    <t>priviemm@yahoo.co.uk</t>
  </si>
  <si>
    <t>ZEN149</t>
  </si>
  <si>
    <t xml:space="preserve"> Privilege Mutangiri</t>
  </si>
  <si>
    <t xml:space="preserve">Vamshi Koyala </t>
  </si>
  <si>
    <t>vamshikoyala128@gmail.com</t>
  </si>
  <si>
    <t>Lokesh Ravilla</t>
  </si>
  <si>
    <t xml:space="preserve"> Lravilla@outlook.com </t>
  </si>
  <si>
    <t>Sinovuyo Lumka</t>
  </si>
  <si>
    <t>lumkasinovuyo@gmail.com</t>
  </si>
  <si>
    <t>Kennedy Chengeta</t>
  </si>
  <si>
    <t>Patrick Muotoh</t>
  </si>
  <si>
    <t>Ananth Samudrala</t>
  </si>
  <si>
    <t>Bennett Mafeka</t>
  </si>
  <si>
    <t>kennedychengeta@gmail.com</t>
  </si>
  <si>
    <t>nduka.muotoh@gmail.com</t>
  </si>
  <si>
    <t>samudralas@gmail.com</t>
  </si>
  <si>
    <t>Sidhartha Philander</t>
  </si>
  <si>
    <t>Sibusiso Chris Mnisi</t>
  </si>
  <si>
    <t>Stephen Cloete</t>
  </si>
  <si>
    <t>smcloete@outlook.com</t>
  </si>
  <si>
    <t>sidharthaphilander@live.com</t>
  </si>
  <si>
    <t>magezatandla@gmail.com</t>
  </si>
  <si>
    <t>081 761 0150</t>
  </si>
  <si>
    <t xml:space="preserve"> Patrick Muotoh</t>
  </si>
  <si>
    <t>Meldrick Collen Mashau</t>
  </si>
  <si>
    <t>Charmayne Tempel</t>
  </si>
  <si>
    <t>Mahlatse Chokoe</t>
  </si>
  <si>
    <t>Grant Basson</t>
  </si>
  <si>
    <t>collenmash3@gmail.com</t>
  </si>
  <si>
    <t>raym@rainbowbt.co.za</t>
  </si>
  <si>
    <t>charmaynet@gmail.com</t>
  </si>
  <si>
    <t>Mahlatsemc@gmail.com</t>
  </si>
  <si>
    <t>g.d.basson@gmail.com</t>
  </si>
  <si>
    <t>Takudzwa Muperi</t>
  </si>
  <si>
    <t>ZEN148</t>
  </si>
  <si>
    <t>tmpery@gmail.com</t>
  </si>
  <si>
    <t>happybugga.com@gmail.com</t>
  </si>
  <si>
    <t xml:space="preserve">Musa Baloyi </t>
  </si>
  <si>
    <t>mosram2@gmail.com</t>
  </si>
  <si>
    <t>Masese Molefe</t>
  </si>
  <si>
    <t>sesemolefe@gmail.com</t>
  </si>
  <si>
    <t>Moshe Rampedi</t>
  </si>
  <si>
    <t>Not In the market</t>
  </si>
  <si>
    <t>Benson Takarinda</t>
  </si>
  <si>
    <t>bensontaks@gmail.com</t>
  </si>
  <si>
    <t>Looking perm roles only</t>
  </si>
  <si>
    <t>Venkatesh Paruchuri</t>
  </si>
  <si>
    <t xml:space="preserve">Paruchuri646@gmail.com </t>
  </si>
  <si>
    <t>Nizet Ewulu</t>
  </si>
  <si>
    <t>kaytan15ewulu@gmail.com</t>
  </si>
  <si>
    <t>Zared Ngila Nkuna</t>
  </si>
  <si>
    <t>zarednkuna8@gmail.com</t>
  </si>
  <si>
    <t>Brian Mathunyane</t>
  </si>
  <si>
    <t>brianmathunyane@gmail.com</t>
  </si>
  <si>
    <t>Banele Ntuli</t>
  </si>
  <si>
    <t>kamohelontuli@gmail.com</t>
  </si>
  <si>
    <t>Rorisang Madonko</t>
  </si>
  <si>
    <t>rori.madonko@gmail.com</t>
  </si>
  <si>
    <t>sandeepkhande02@gmail.com</t>
  </si>
  <si>
    <t>Balukiye Mashego</t>
  </si>
  <si>
    <t>balukiyemm@gmail.com</t>
  </si>
  <si>
    <t>Andre Nienaber</t>
  </si>
  <si>
    <t>nienaber79@gmail.com</t>
  </si>
  <si>
    <t>Mayank Rajput</t>
  </si>
  <si>
    <t>mayankrajput01@gmail.com</t>
  </si>
  <si>
    <t>Kudakwashe Nheyera</t>
  </si>
  <si>
    <t>kmnheyera@gmail.com</t>
  </si>
  <si>
    <t>Philip Venter</t>
  </si>
  <si>
    <t>philventer15@gmail.com</t>
  </si>
  <si>
    <t>Simphiwe Vilankulu</t>
  </si>
  <si>
    <t>VilankuluSimphiwe@gmail.com</t>
  </si>
  <si>
    <t>Kgaogelo Tshabalala</t>
  </si>
  <si>
    <t>fortunatekgaogelo@gmail.com</t>
  </si>
  <si>
    <t>Siyabonga Mbambo</t>
  </si>
  <si>
    <t>mbambosiyabonga@gmail.com</t>
  </si>
  <si>
    <t>Mola Tshepo Kingsley</t>
  </si>
  <si>
    <t>Molatshepo04@gmail.com</t>
  </si>
  <si>
    <t>Gilbert Mufuka</t>
  </si>
  <si>
    <t>gilbert.s.mufuka@gmail.com</t>
  </si>
  <si>
    <t>Tsungai Kaviya</t>
  </si>
  <si>
    <t>tsungai.kaviya@gmail.com</t>
  </si>
  <si>
    <t>Poojashree Dhananjaya</t>
  </si>
  <si>
    <t>poojashree7770@gmail.com</t>
  </si>
  <si>
    <t>Sainty Mpheroane</t>
  </si>
  <si>
    <t>mpheroanesainty21@gmail.com</t>
  </si>
  <si>
    <t>Stephan Gunter</t>
  </si>
  <si>
    <t>stephangunter.sfg@gmail.com</t>
  </si>
  <si>
    <t>Bongeka Khwalo</t>
  </si>
  <si>
    <t>bongeka.khwalo@gmail.com</t>
  </si>
  <si>
    <t>skillopp05@gmail.com</t>
  </si>
  <si>
    <t xml:space="preserve">mthokozie@gmail.com </t>
  </si>
  <si>
    <t>sggoosen3@gmail.com</t>
  </si>
  <si>
    <t>vasavirayudu17@gmail.com</t>
  </si>
  <si>
    <t>zakithisthoko@gmail.com</t>
  </si>
  <si>
    <t>bltejasri.09@gmail.com</t>
  </si>
  <si>
    <t>Jyothi Nukala</t>
  </si>
  <si>
    <t>Michael Mujabi</t>
  </si>
  <si>
    <t>Ntokozo Ngwenya</t>
  </si>
  <si>
    <t>Stephan Goosen</t>
  </si>
  <si>
    <t>Vasavi Rayudu</t>
  </si>
  <si>
    <t>Zakithi Dlomo</t>
  </si>
  <si>
    <t>Lakshmi Tejasri</t>
  </si>
  <si>
    <t>mjizocele@gmail.com</t>
  </si>
  <si>
    <t>leonet001@outlook.com</t>
  </si>
  <si>
    <t>mositoolebogeng@gmail.com</t>
  </si>
  <si>
    <t>mrkvanzyl@gmail.com</t>
  </si>
  <si>
    <t>Jabulani Cele</t>
  </si>
  <si>
    <t>Leo Netshifhefhe</t>
  </si>
  <si>
    <t xml:space="preserve"> Olebogeng Queeneth Mosito</t>
  </si>
  <si>
    <t>Kevin Van Zyl</t>
  </si>
  <si>
    <t xml:space="preserve"> Nicholas Smith</t>
  </si>
  <si>
    <t>Simikahle Dlomo</t>
  </si>
  <si>
    <t>simikahledlomo@gmail.com</t>
  </si>
  <si>
    <t>bandymyeni@gmail.com</t>
  </si>
  <si>
    <t>Bandile Myeni</t>
  </si>
  <si>
    <t>Mlungisi-Mbele</t>
  </si>
  <si>
    <t xml:space="preserve">mlu.mbele@gmail.com </t>
  </si>
  <si>
    <t xml:space="preserve"> ridwankhan2109@gmail.com </t>
  </si>
  <si>
    <t>ZEN137</t>
  </si>
  <si>
    <t>Ridwaan Khan</t>
  </si>
  <si>
    <t>Nomore Chikonyora</t>
  </si>
  <si>
    <t>nchikonyora@gmail.com</t>
  </si>
  <si>
    <t>kennethrido@gmail.com</t>
  </si>
  <si>
    <t>Kenneth Kwinda</t>
  </si>
  <si>
    <t>Raja Gangavarapu</t>
  </si>
  <si>
    <t>rajkumargv@gmail.com</t>
  </si>
  <si>
    <t>Srikanth Mathireddy</t>
  </si>
  <si>
    <t>mathireddy.srikanth@gmail.com</t>
  </si>
  <si>
    <t>Zama Qithi</t>
  </si>
  <si>
    <t>Aobakwe Gaborone</t>
  </si>
  <si>
    <t>Beatka Spence</t>
  </si>
  <si>
    <t>beebs.spence@gmail.com</t>
  </si>
  <si>
    <t>Gaboronea@gmail.com</t>
  </si>
  <si>
    <t>qithizama@gmail.com</t>
  </si>
  <si>
    <t>Madeleine Bihina</t>
  </si>
  <si>
    <t>Moshe Maleka</t>
  </si>
  <si>
    <t>Moses Matsina</t>
  </si>
  <si>
    <t>Mfezeko Sodawe</t>
  </si>
  <si>
    <t>sodawemfezeko@gmail.com</t>
  </si>
  <si>
    <t>Moses.matsina@gmail.com</t>
  </si>
  <si>
    <t>moshemaleka@yahoo.com</t>
  </si>
  <si>
    <t>mbihina@yahoo.fr</t>
  </si>
  <si>
    <t>Kevin Harilal</t>
  </si>
  <si>
    <t>Jurie Ferreira</t>
  </si>
  <si>
    <t>Warric Ritchie</t>
  </si>
  <si>
    <t>Phatudi Phago</t>
  </si>
  <si>
    <t>Kevin.Harilal@gmail.com</t>
  </si>
  <si>
    <t>JurieF04@gmail.com</t>
  </si>
  <si>
    <t>warricritchie@gmail.com</t>
  </si>
  <si>
    <t>phatudiphago@gmail.com</t>
  </si>
  <si>
    <t xml:space="preserve">Wynand du Plessis </t>
  </si>
  <si>
    <t>wynand1979@outlook.com</t>
  </si>
  <si>
    <t xml:space="preserve">nagamsai32@gmail.com </t>
  </si>
  <si>
    <t xml:space="preserve">Prasad Reddy Nagam </t>
  </si>
  <si>
    <t>Ravinaga K</t>
  </si>
  <si>
    <t>ravinbk26@gmail.com</t>
  </si>
  <si>
    <t xml:space="preserve">Lebogang Ditibane </t>
  </si>
  <si>
    <t>lditibane@gmail.com</t>
  </si>
  <si>
    <t>Jennifer Kelebogile Boom</t>
  </si>
  <si>
    <t>Jenniferbm8@gmail.com</t>
  </si>
  <si>
    <t>Siphoandries92@gmail.com</t>
  </si>
  <si>
    <t>Sipho Maphosa</t>
  </si>
  <si>
    <t>Based in Capetown and will relocate if contract was longer</t>
  </si>
  <si>
    <t>mbaziira2003@yahoo.com</t>
  </si>
  <si>
    <t>ZEN140</t>
  </si>
  <si>
    <t>Muzamiru  Mbaziira</t>
  </si>
  <si>
    <t>manasa.rekapalli999@gmail.com</t>
  </si>
  <si>
    <t>Manasa Rekapalli</t>
  </si>
  <si>
    <t>Tsepo Felix Morafo</t>
  </si>
  <si>
    <t xml:space="preserve">niftycasper@gmail.com </t>
  </si>
  <si>
    <t xml:space="preserve">ramnatdi@gmail.com </t>
  </si>
  <si>
    <t>Divar Ramnath</t>
  </si>
  <si>
    <t>Surprise Maimane</t>
  </si>
  <si>
    <t>Corne Jooste</t>
  </si>
  <si>
    <t>Tsepo Morafo</t>
  </si>
  <si>
    <t>joostecj7@gmail.com</t>
  </si>
  <si>
    <t>niftycasper@gmail.com</t>
  </si>
  <si>
    <t>ethan.jappie@gmail.com</t>
  </si>
  <si>
    <t>Ethan Jappie</t>
  </si>
  <si>
    <t>Thabo Matsie</t>
  </si>
  <si>
    <t>Timothy Kruger</t>
  </si>
  <si>
    <t>Maropeng Mabina</t>
  </si>
  <si>
    <t>tmatsie@gmail.com</t>
  </si>
  <si>
    <t>timothyc.kruger@gmail.com</t>
  </si>
  <si>
    <t>maropengmabina24@gmail.com</t>
  </si>
  <si>
    <t>Bharath Katipally</t>
  </si>
  <si>
    <t xml:space="preserve">katipallybharath88@gmail.com  </t>
  </si>
  <si>
    <t xml:space="preserve">Robson Beans </t>
  </si>
  <si>
    <t>beansrobson@gmail.com</t>
  </si>
  <si>
    <t>s.segatlaka@gmail.com</t>
  </si>
  <si>
    <t>Selebogo Segatlaka</t>
  </si>
  <si>
    <t>Prince Joseph</t>
  </si>
  <si>
    <t>ndalapj@gmail.com</t>
  </si>
  <si>
    <t>Kau Endric Molepo</t>
  </si>
  <si>
    <t>kau.endric@gmail.com</t>
  </si>
  <si>
    <t>Pradeep Siripurapu</t>
  </si>
  <si>
    <t xml:space="preserve">pradeepchowdary47@gmail.com </t>
  </si>
  <si>
    <t>Andani Juanita Munonde</t>
  </si>
  <si>
    <t>juanmissyam@gmail.com</t>
  </si>
  <si>
    <t>ZEN150</t>
  </si>
  <si>
    <t>Bongani Nkomo</t>
  </si>
  <si>
    <t>Katlego Mabala</t>
  </si>
  <si>
    <t>Aman Mia</t>
  </si>
  <si>
    <t>Nhlamulo Mnisi</t>
  </si>
  <si>
    <t>Hapton Chinyama</t>
  </si>
  <si>
    <t>Simphiwe Mthimunye</t>
  </si>
  <si>
    <t>nk.mnisi@gmail.com</t>
  </si>
  <si>
    <t>zeenatmia1@hotmail.com</t>
  </si>
  <si>
    <t>B.nkomo808@gmail.com</t>
  </si>
  <si>
    <t>katlegomabala0121@gmail.com</t>
  </si>
  <si>
    <t>hapton.hh@gmail.com</t>
  </si>
  <si>
    <t>90mdas@gmail.com</t>
  </si>
  <si>
    <t>Steven Murhula Kahomboshi</t>
  </si>
  <si>
    <t>Andrew Schleiss</t>
  </si>
  <si>
    <t>Sivan Naidoo</t>
  </si>
  <si>
    <t>Nkosinathi Mbambo</t>
  </si>
  <si>
    <t>Tibor Olah</t>
  </si>
  <si>
    <t>andrew.d.q.s@gmail.com</t>
  </si>
  <si>
    <t>sivan.naidoo@aicatalyststudio.co.za</t>
  </si>
  <si>
    <t>nmbambo@protonmail.com</t>
  </si>
  <si>
    <t>tibor710222@gmail.com</t>
  </si>
  <si>
    <t>Khumo Mogorosi</t>
  </si>
  <si>
    <t>khumomogorosi@gmail.com</t>
  </si>
  <si>
    <t>Ndumiso Mathe</t>
  </si>
  <si>
    <t>quizgn@gmail.com</t>
  </si>
  <si>
    <t xml:space="preserve"> Gabriel Maphanga</t>
  </si>
  <si>
    <t>gabrielmaphang@gmail.com</t>
  </si>
  <si>
    <t>sakwiyatashinga@gmail.com</t>
  </si>
  <si>
    <t>Tashinga Sakwiya</t>
  </si>
  <si>
    <t>Tshepo Malesela</t>
  </si>
  <si>
    <t>tmalesela31@gmail.com</t>
  </si>
  <si>
    <t>crown.angulo@gmail.com</t>
  </si>
  <si>
    <t>Crown Ndlala</t>
  </si>
  <si>
    <t xml:space="preserve"> stshedaz@gmail.com</t>
  </si>
  <si>
    <t>Tshepo Sehloho</t>
  </si>
  <si>
    <t>Recently started a new role</t>
  </si>
  <si>
    <t>ZEN151</t>
  </si>
  <si>
    <t>Nodumo Silimela</t>
  </si>
  <si>
    <t>Sasja Solomons</t>
  </si>
  <si>
    <t>Sakumzi Mpushe</t>
  </si>
  <si>
    <t>Eza Motolwana</t>
  </si>
  <si>
    <t>Likhit Addala</t>
  </si>
  <si>
    <t>Kgomotso Masokojwane</t>
  </si>
  <si>
    <t>Manuela Chadreque</t>
  </si>
  <si>
    <t>Durga Prasad</t>
  </si>
  <si>
    <t>clairesilimela@gmail.com</t>
  </si>
  <si>
    <t>sasja.solomons1@gmail.com</t>
  </si>
  <si>
    <t>sakumzi.mpushe@gmail.com</t>
  </si>
  <si>
    <t>eza.mabona@gmail.com</t>
  </si>
  <si>
    <t>likhitvarma97@gmail.com</t>
  </si>
  <si>
    <t>kgomotso.mas@gmail.com</t>
  </si>
  <si>
    <t>manuelachadreque@gmail.com</t>
  </si>
  <si>
    <t>durgaprasadbi32@gmail.com</t>
  </si>
  <si>
    <t xml:space="preserve">staniemazhokota@gmail.com </t>
  </si>
  <si>
    <t>Stanley Mazhokota</t>
  </si>
  <si>
    <t xml:space="preserve">chteja4286@gmail.com </t>
  </si>
  <si>
    <t xml:space="preserve">Teja Chinnabathini </t>
  </si>
  <si>
    <t xml:space="preserve">Tawanda Mkutuma </t>
  </si>
  <si>
    <t>tawmyk@gmail.com</t>
  </si>
  <si>
    <t xml:space="preserve">wendywestnomusa@gmail.com </t>
  </si>
  <si>
    <t xml:space="preserve">Nomusa Wendy Khuboni </t>
  </si>
  <si>
    <t xml:space="preserve">annette.colbran@gmail.com </t>
  </si>
  <si>
    <t xml:space="preserve">Annette Colbran </t>
  </si>
  <si>
    <t xml:space="preserve">makalelatm@gmail.com </t>
  </si>
  <si>
    <t xml:space="preserve">Thabang Makalela </t>
  </si>
  <si>
    <t xml:space="preserve"> thejackvanzyl@gmail.com </t>
  </si>
  <si>
    <t xml:space="preserve">Jack Van Zyl </t>
  </si>
  <si>
    <t>Candidate cannot relocate and looking for remote roles</t>
  </si>
  <si>
    <t>Mandla Nkosi</t>
  </si>
  <si>
    <t>mandlankosinkosi@gmail.com</t>
  </si>
  <si>
    <t>otshepegilempa@gmail.com</t>
  </si>
  <si>
    <t>Otshepegile Mpa</t>
  </si>
  <si>
    <t>Has limited exposure to mandatory requirements</t>
  </si>
  <si>
    <t>no longer interested.</t>
  </si>
  <si>
    <t xml:space="preserve">Andile Sefiri Skosana </t>
  </si>
  <si>
    <t xml:space="preserve">msikamhlanga@gmail.com </t>
  </si>
  <si>
    <t>paveng@gmail.com</t>
  </si>
  <si>
    <t>Paven Govender</t>
  </si>
  <si>
    <t xml:space="preserve">olatundeola@hotmail.com </t>
  </si>
  <si>
    <t>Olatunde Ola</t>
  </si>
  <si>
    <t xml:space="preserve">senahubert@gmail.com </t>
  </si>
  <si>
    <t>Ismond Mokwena</t>
  </si>
  <si>
    <t>ZEN152</t>
  </si>
  <si>
    <t>ismondmokwena@gmail.com</t>
  </si>
  <si>
    <t>Matimu Ndlovu</t>
  </si>
  <si>
    <t xml:space="preserve">matimu.ndlovu@gmail.com </t>
  </si>
  <si>
    <t>Mzwandile Khumalo</t>
  </si>
  <si>
    <t>mrzwai.khumalo505@gmail.com</t>
  </si>
  <si>
    <t xml:space="preserve">Godfrey Tshikungulu </t>
  </si>
  <si>
    <t xml:space="preserve">jakalude@yahoo.com </t>
  </si>
  <si>
    <t>Shakila begam</t>
  </si>
  <si>
    <t>shakiweblinks@gmail.com</t>
  </si>
  <si>
    <t>Karthik Shaganti</t>
  </si>
  <si>
    <t>ZEN104</t>
  </si>
  <si>
    <t>kumarshaganti9@gmail.com</t>
  </si>
  <si>
    <t>Pitso Excellent Mofokeng</t>
  </si>
  <si>
    <t>pitso.mofokeng89@gmail.com</t>
  </si>
  <si>
    <t>Current rate - R850</t>
  </si>
  <si>
    <t>webstarsiyabonga@gmail.com</t>
  </si>
  <si>
    <t>Siyabonga Webstar Maseko</t>
  </si>
  <si>
    <t>Labius Ramono Disemelo</t>
  </si>
  <si>
    <t>rldisemelo@gmail.com</t>
  </si>
  <si>
    <t>Aluwani Matshili</t>
  </si>
  <si>
    <t>Sai Tej Kommineni</t>
  </si>
  <si>
    <t>Logan Naidoo</t>
  </si>
  <si>
    <t>Tshepo Phora</t>
  </si>
  <si>
    <t>Kevin Taylor</t>
  </si>
  <si>
    <t>Tashiel Haryparsat</t>
  </si>
  <si>
    <t>Sonia Negondeni</t>
  </si>
  <si>
    <t>Vuthlari Baloyi</t>
  </si>
  <si>
    <t>Langford Manyau</t>
  </si>
  <si>
    <t>Thapelo Mekwa</t>
  </si>
  <si>
    <t>Humphrey Dave</t>
  </si>
  <si>
    <t>Samson Onikosi</t>
  </si>
  <si>
    <t>Rayleen Padayachee</t>
  </si>
  <si>
    <t>Fikile Mdiniso</t>
  </si>
  <si>
    <t>Khulekani Mnguni</t>
  </si>
  <si>
    <t>Peba Malefo</t>
  </si>
  <si>
    <t>Mzingise Ralarala</t>
  </si>
  <si>
    <t>Shane Molale</t>
  </si>
  <si>
    <t>Maggy Chavalala</t>
  </si>
  <si>
    <t>Danelle Kok</t>
  </si>
  <si>
    <t>Nomusa Sithole</t>
  </si>
  <si>
    <t>aluwani.matshili@outlook.com</t>
  </si>
  <si>
    <t>kommineni.saitej@gmail.com</t>
  </si>
  <si>
    <t>logonnaidoo0@gmail.com</t>
  </si>
  <si>
    <t>small.tshepo@gmail.com</t>
  </si>
  <si>
    <t>kevintaylor12121212@gmail.com</t>
  </si>
  <si>
    <t>tashiel.haryparsat@gmail.com</t>
  </si>
  <si>
    <t>negondeni.sonia@gmail.com</t>
  </si>
  <si>
    <t>vuthlari.baloyi1@gmail.com</t>
  </si>
  <si>
    <t>Langfordm3@gmail.com</t>
  </si>
  <si>
    <t>thapelom@mactechit.co.za</t>
  </si>
  <si>
    <t>hamudave@gmail.com</t>
  </si>
  <si>
    <t>sam.onikosi@gmail.com</t>
  </si>
  <si>
    <t>raylspada@gmail.com</t>
  </si>
  <si>
    <t>mngunikhulekani@yahoo.com</t>
  </si>
  <si>
    <t>psmalefo@gmail.com</t>
  </si>
  <si>
    <t>rmzido@live.com</t>
  </si>
  <si>
    <t>shanemolale@gmail.com</t>
  </si>
  <si>
    <t>maggy.bouwer@gmail.com</t>
  </si>
  <si>
    <t>danellekok@gmail.com</t>
  </si>
  <si>
    <t>Jobezama@ymail.com</t>
  </si>
  <si>
    <t>KTS001</t>
  </si>
  <si>
    <t>CH. Pramod</t>
  </si>
  <si>
    <t>pramod.itlead@gmail.com</t>
  </si>
  <si>
    <t>Yeshni Govender</t>
  </si>
  <si>
    <t>yeshnigovender@gmail.com</t>
  </si>
  <si>
    <t>Mfanafuthi Perfect Khumalo</t>
  </si>
  <si>
    <t>Mfanafuthi.khumalo@nhlakaniphoservices.co.za</t>
  </si>
  <si>
    <t>DOESNT WANT TO BE SUBMITED TO ZENSAR FOR ANY ROLES DUE TO PERSONAL REASONS.</t>
  </si>
  <si>
    <t>Curre Rate R750</t>
  </si>
  <si>
    <t>ramyakrishna.bhoopathi@gmail.com</t>
  </si>
  <si>
    <t>ZEN130 &amp; 90</t>
  </si>
  <si>
    <t>Ramya Bhoopathi</t>
  </si>
  <si>
    <t>Shailaja Naikwadi</t>
  </si>
  <si>
    <t>ZEN156</t>
  </si>
  <si>
    <t>shaila.n1402@gmail.com</t>
  </si>
  <si>
    <t>Tasha van Niekerk</t>
  </si>
  <si>
    <t>tasha.a.vanniekerk@gmail.com</t>
  </si>
  <si>
    <t>Tiyiselani Rikhamba</t>
  </si>
  <si>
    <t>andrewrikhamba@gmail.com</t>
  </si>
  <si>
    <t>Nqobile Moyo</t>
  </si>
  <si>
    <t>Mboniseni Thethwayo</t>
  </si>
  <si>
    <t>mboniseh@gmail.com</t>
  </si>
  <si>
    <t>Leonard Masina</t>
  </si>
  <si>
    <t>molemo.masina@gmail.com</t>
  </si>
  <si>
    <t>ZEN157</t>
  </si>
  <si>
    <t>ZEN162</t>
  </si>
  <si>
    <t>nqobilemoyo43@gmail.com</t>
  </si>
  <si>
    <t>elie.mundeke@hotmail.com</t>
  </si>
  <si>
    <t>Shankar Kumar</t>
  </si>
  <si>
    <t>shankarkumar.s@gmail.com</t>
  </si>
  <si>
    <t>2024xolani@gmail.com</t>
  </si>
  <si>
    <t>macshap04@gmail.com</t>
  </si>
  <si>
    <t>Elie Mbuyamba</t>
  </si>
  <si>
    <t>Sunil Donny Singh</t>
  </si>
  <si>
    <t>d.singh.zn@gmail.com</t>
  </si>
  <si>
    <t>ngwanoo@gmail.com</t>
  </si>
  <si>
    <t>Looking for more senior role and does not want to work with Sambe Consulting</t>
  </si>
  <si>
    <t>Phumlane Maseko</t>
  </si>
  <si>
    <t>pcom86@gmail.com</t>
  </si>
  <si>
    <t>Polireddy Akula</t>
  </si>
  <si>
    <t>polireddya@gmail.com</t>
  </si>
  <si>
    <t>Ngoie Yannick</t>
  </si>
  <si>
    <t>tokembengoie@gmail.com</t>
  </si>
  <si>
    <t>nlulama@gmail.com</t>
  </si>
  <si>
    <t xml:space="preserve"> Lulama Ndukwana</t>
  </si>
  <si>
    <t>Samruddhi Nangare</t>
  </si>
  <si>
    <t>samruddhinangare@gmail.com</t>
  </si>
  <si>
    <t>Joseph Chiwara</t>
  </si>
  <si>
    <t>chiwarajosephi@gmail.com</t>
  </si>
  <si>
    <t>Oupa Mpe</t>
  </si>
  <si>
    <t>Davison Matanga-Nyidze</t>
  </si>
  <si>
    <t>Goutham Linga</t>
  </si>
  <si>
    <t>Navaneeth B</t>
  </si>
  <si>
    <t>navaneethb2803@gmail.com</t>
  </si>
  <si>
    <t>Prathyusha Talluri</t>
  </si>
  <si>
    <t>prathyushatalluri98@gmail.com</t>
  </si>
  <si>
    <t>Dennis Saka</t>
  </si>
  <si>
    <t>den.saka@gmail.com</t>
  </si>
  <si>
    <t>Matimba Sydney Chauke</t>
  </si>
  <si>
    <t>chaukems@gmail.com</t>
  </si>
  <si>
    <t>Craig Barsdorff</t>
  </si>
  <si>
    <t>craig701028@gmail.com</t>
  </si>
  <si>
    <t>Thokozani Thabede</t>
  </si>
  <si>
    <t>thokozanithabede@gmail.com</t>
  </si>
  <si>
    <t>Pfano Sigama</t>
  </si>
  <si>
    <t>pfanosigama8@gmail.com</t>
  </si>
  <si>
    <t>Nkwe Justice Mapoulo</t>
  </si>
  <si>
    <t>Tanya Erumeh</t>
  </si>
  <si>
    <t>tanyaerumeh@gmail.com</t>
  </si>
  <si>
    <t>sarath.kalangi@gmail.com</t>
  </si>
  <si>
    <t>Subramanyam Kalangi</t>
  </si>
  <si>
    <t>Moeketse Mafahla</t>
  </si>
  <si>
    <t>Keegan Chetty</t>
  </si>
  <si>
    <t>keegan.chettyz@gmail.com</t>
  </si>
  <si>
    <t>Wisani Ndhukula</t>
  </si>
  <si>
    <t>ocashn@gmail.com</t>
  </si>
  <si>
    <t>Thami Tulo</t>
  </si>
  <si>
    <t>thami.tulo@gmail.com</t>
  </si>
  <si>
    <t>Batanai Gwanyanya</t>
  </si>
  <si>
    <t>batanai.gw@gmail.com</t>
  </si>
  <si>
    <t>innocent.javas@gmail.com</t>
  </si>
  <si>
    <t>Tshepo Serumula</t>
  </si>
  <si>
    <t>tshepoelifa238@gmail.com</t>
  </si>
  <si>
    <t>Sabelo Simelane</t>
  </si>
  <si>
    <t>sabelosimelane09@gmail.com</t>
  </si>
  <si>
    <t>Thendo Matshisevhe</t>
  </si>
  <si>
    <t>thendomatshisevhe@gmail.com</t>
  </si>
  <si>
    <t>Mohamed Karreem</t>
  </si>
  <si>
    <t>mz.karreem@gmail.com</t>
  </si>
  <si>
    <t>Sibongile Hlatshwayo</t>
  </si>
  <si>
    <t>ignatiahlatshwayo1@gmail.com</t>
  </si>
  <si>
    <t>BBD004</t>
  </si>
  <si>
    <t>Michelle Khusu</t>
  </si>
  <si>
    <t>mkhusu@gmail.com</t>
  </si>
  <si>
    <t>Mosebu Maake</t>
  </si>
  <si>
    <t>mosebum@yahoo.co.za</t>
  </si>
  <si>
    <t>Lufuno Ramadwa</t>
  </si>
  <si>
    <t>Ramadwa88@gmail.com</t>
  </si>
  <si>
    <t>Skumbuzo Kumalo</t>
  </si>
  <si>
    <t>kumalosl@hotmail.com</t>
  </si>
  <si>
    <t>David Mokgolela</t>
  </si>
  <si>
    <t>tebogomokgolela@gmail.com</t>
  </si>
  <si>
    <t>Chithra Venkatakrishnan</t>
  </si>
  <si>
    <t>chitra.it@gmail.com</t>
  </si>
  <si>
    <t>Fortune Mogoeng</t>
  </si>
  <si>
    <t>Fortunemogoeng@gmail.com</t>
  </si>
  <si>
    <t>Daniel Phohu</t>
  </si>
  <si>
    <t>daniel.phohu@gmail.com</t>
  </si>
  <si>
    <t>Marilese Le Riche</t>
  </si>
  <si>
    <t>marilese.leriche@gmail.com</t>
  </si>
  <si>
    <t>lrtmalohle@gmail.com</t>
  </si>
  <si>
    <t>Lerato Isabella Malohle</t>
  </si>
  <si>
    <t xml:space="preserve"> Ranganayaki Sermoria </t>
  </si>
  <si>
    <t xml:space="preserve">rsermoria@gmail.com </t>
  </si>
  <si>
    <t>GRI009</t>
  </si>
  <si>
    <t>Kalyan Bathina</t>
  </si>
  <si>
    <t>bathinakalyan25@gmail.com</t>
  </si>
  <si>
    <t>Lisita Mwepu</t>
  </si>
  <si>
    <t>lisita.mwepu@hotmail.com</t>
  </si>
  <si>
    <t>Tawanda Mkutuma</t>
  </si>
  <si>
    <t xml:space="preserve">Tonderai Mudehwe </t>
  </si>
  <si>
    <t>tonde.mudehwe@gmail.com</t>
  </si>
  <si>
    <t>Ankababu Pendyala</t>
  </si>
  <si>
    <t>babu.coding1@gmail.com</t>
  </si>
  <si>
    <t xml:space="preserve">Sampath Polishetty  </t>
  </si>
  <si>
    <t>sampath.polishetty@gmail.com</t>
  </si>
  <si>
    <t>Lokesh unnam</t>
  </si>
  <si>
    <t>lokeshunnam.spark@gmail.com</t>
  </si>
  <si>
    <t>Shashidhar Reddy</t>
  </si>
  <si>
    <t>shashireddy40@gmail.com</t>
  </si>
  <si>
    <t>Vimalkumar Angalakurthy</t>
  </si>
  <si>
    <t>vimalkumar.datasteer@gmail.com</t>
  </si>
  <si>
    <t>Candidate Count</t>
  </si>
  <si>
    <t>2026/04/06 - 2026/04/12</t>
  </si>
  <si>
    <t>Recruitment Dashboard</t>
  </si>
  <si>
    <t>KPIs</t>
  </si>
  <si>
    <t>Total Headhunted Candidates</t>
  </si>
  <si>
    <t>No Response %</t>
  </si>
  <si>
    <t>Submission Conversion %</t>
  </si>
  <si>
    <t>2026/04/20 - 2026/04/26</t>
  </si>
  <si>
    <t>2026/04/27 - 2026/05/03</t>
  </si>
  <si>
    <t>2026/04/13 - 2026/04/19</t>
  </si>
  <si>
    <t>2026/03/30 - 2026/04/05</t>
  </si>
  <si>
    <t>2026/03/02 - 2026/03/08</t>
  </si>
  <si>
    <t>2026/03/09 - 2026/03/15</t>
  </si>
  <si>
    <t>2026/03/16 - 2026/03/22</t>
  </si>
  <si>
    <t>2026/03/23 - 2026/03/29</t>
  </si>
  <si>
    <t>Count of Name</t>
  </si>
  <si>
    <t>Week</t>
  </si>
  <si>
    <t>Job Specification</t>
  </si>
  <si>
    <t>DDB000</t>
  </si>
  <si>
    <t>Data Monkey Database</t>
  </si>
  <si>
    <t>DDB001</t>
  </si>
  <si>
    <t>Data Monkey Business Development</t>
  </si>
  <si>
    <t>AI &amp; Power Automate Developer</t>
  </si>
  <si>
    <t>ZEN120</t>
  </si>
  <si>
    <t xml:space="preserve"> RPG Developer</t>
  </si>
  <si>
    <t>Java Full Stack Developer</t>
  </si>
  <si>
    <t>Android developer</t>
  </si>
  <si>
    <t>Senior Terraform Engineer</t>
  </si>
  <si>
    <t>Senior Kubernetes Engineer</t>
  </si>
  <si>
    <t>Senior IBM DB2 Database Specialist</t>
  </si>
  <si>
    <t>iOS Developer</t>
  </si>
  <si>
    <t>Java Backend Developer</t>
  </si>
  <si>
    <t>Performance Tester</t>
  </si>
  <si>
    <t>Intermediate Business Intelligence Developer</t>
  </si>
  <si>
    <t>C# Engineer</t>
  </si>
  <si>
    <t>Automation Tester</t>
  </si>
  <si>
    <t>ZEN131</t>
  </si>
  <si>
    <t>IBM DataPower Specialist</t>
  </si>
  <si>
    <t>OIC Consultant</t>
  </si>
  <si>
    <t>Data Analyst / Business Analyst</t>
  </si>
  <si>
    <t>ZEN134</t>
  </si>
  <si>
    <t>Workday Developer</t>
  </si>
  <si>
    <t>ZEN135</t>
  </si>
  <si>
    <t>Workday Generalist HCM Developer</t>
  </si>
  <si>
    <t>Compass Developer</t>
  </si>
  <si>
    <t>FX Support Engineer / Analyst</t>
  </si>
  <si>
    <t>Senior/Lead Data Analyst</t>
  </si>
  <si>
    <t>ZEN139</t>
  </si>
  <si>
    <t>Senior Java Developer</t>
  </si>
  <si>
    <t>Java Developer</t>
  </si>
  <si>
    <t>Compass Tester</t>
  </si>
  <si>
    <t>Voice PABX Engineer</t>
  </si>
  <si>
    <t>Radio Communication Engineer</t>
  </si>
  <si>
    <t>AI + Data Architect</t>
  </si>
  <si>
    <t>ZEN145</t>
  </si>
  <si>
    <t>Trax Technical Consultant</t>
  </si>
  <si>
    <t>.NET Developer</t>
  </si>
  <si>
    <t>ZEN147</t>
  </si>
  <si>
    <t>Consultant Sr Lead - Professional Services</t>
  </si>
  <si>
    <t>Consultant - Treasure and Risk</t>
  </si>
  <si>
    <t>Technical Consultant</t>
  </si>
  <si>
    <t>Fullstack Developer</t>
  </si>
  <si>
    <t>Business Process Consultant</t>
  </si>
  <si>
    <t>Data Engineer - ETL, SSIS</t>
  </si>
  <si>
    <t>Data Engineer - Python, ETL</t>
  </si>
  <si>
    <t>ZEN153</t>
  </si>
  <si>
    <t>Enterprise Data Architect</t>
  </si>
  <si>
    <t>ZEN154</t>
  </si>
  <si>
    <t>Senior.NET Developer - Level 1</t>
  </si>
  <si>
    <t>ZEN155</t>
  </si>
  <si>
    <t>NET Developer – Level 2</t>
  </si>
  <si>
    <t>NET Developer – Senior Engineering Manager</t>
  </si>
  <si>
    <t>Java + Python + Json Developer</t>
  </si>
  <si>
    <t>ZEN158</t>
  </si>
  <si>
    <t>Automation Tester (QTP/UFT)</t>
  </si>
  <si>
    <t>ZEN159</t>
  </si>
  <si>
    <t>Associate - ITFM &amp; FinOps (MagicOrange)</t>
  </si>
  <si>
    <t>BBD003</t>
  </si>
  <si>
    <t>Senior Project Manager</t>
  </si>
  <si>
    <t>Senior / Intermediate Data Analyst</t>
  </si>
  <si>
    <t>BBD005</t>
  </si>
  <si>
    <t>Business Analyst - Onboarding &amp; Process Engineer</t>
  </si>
  <si>
    <t>ZEN160</t>
  </si>
  <si>
    <t>BI Analyst</t>
  </si>
  <si>
    <t>ZEN161</t>
  </si>
  <si>
    <t>PostgreSQL Database Developer</t>
  </si>
  <si>
    <t>Intermediate Java Full Stack Developer</t>
  </si>
  <si>
    <t>BBD006</t>
  </si>
  <si>
    <t>BBD007</t>
  </si>
  <si>
    <t>Senior Data Analyst</t>
  </si>
  <si>
    <t>BBD008</t>
  </si>
  <si>
    <t>Data Engineer</t>
  </si>
  <si>
    <t>GRI008</t>
  </si>
  <si>
    <t>Senior BI Developer</t>
  </si>
  <si>
    <t>Senior Data Engineer</t>
  </si>
  <si>
    <t>New Candidates</t>
  </si>
  <si>
    <t>Existing Candidates</t>
  </si>
  <si>
    <t>Column Labels</t>
  </si>
  <si>
    <t xml:space="preserve">✔ Add new candidates at the bottom of the table  </t>
  </si>
  <si>
    <t xml:space="preserve">✔ Use dropdowns to select Status and Database fields  </t>
  </si>
  <si>
    <t xml:space="preserve">✔ Fill in all required columns (Date, Status, etc.)  </t>
  </si>
  <si>
    <t xml:space="preserve">✔ Keep one row per candidate  </t>
  </si>
  <si>
    <t xml:space="preserve">❌ Do NOT leave blank rows in the table  </t>
  </si>
  <si>
    <t xml:space="preserve">❌ Do NOT copy/paste over existing rows (use Paste Values if needed)  </t>
  </si>
  <si>
    <t xml:space="preserve">❌ Do NOT change column names or order  </t>
  </si>
  <si>
    <t xml:space="preserve">❌ Do NOT edit the Dashboard sheet  </t>
  </si>
  <si>
    <t>⚠ If slicers or charts look wrong:</t>
  </si>
  <si>
    <t>→ Check for blank rows</t>
  </si>
  <si>
    <t>→ Check for incorrect status values</t>
  </si>
  <si>
    <t>⚠ If dropdown is not working:</t>
  </si>
  <si>
    <t>→ Do not type manually, use the dropdown</t>
  </si>
  <si>
    <t>⚠ If you see an error message:</t>
  </si>
  <si>
    <t>→ It means the input is invalid – please correct it</t>
  </si>
  <si>
    <t>DO ✔</t>
  </si>
  <si>
    <t>DON'T ❌</t>
  </si>
  <si>
    <t>COMMON ERRORS ⚠</t>
  </si>
  <si>
    <t>Recruitment Tracker – Quick Guide</t>
  </si>
  <si>
    <t>This tracker feeds the weekly dashboard. Please follow these rules to keep reports accurate.</t>
  </si>
  <si>
    <t xml:space="preserve"> Incorrect data will affect weekly reporting</t>
  </si>
  <si>
    <t>Type Of  Contract</t>
  </si>
  <si>
    <t>Mode of Work</t>
  </si>
  <si>
    <t>Location</t>
  </si>
  <si>
    <t>Salary Range</t>
  </si>
  <si>
    <t xml:space="preserve">Status </t>
  </si>
  <si>
    <t>ZEN040</t>
  </si>
  <si>
    <t>AWS Data Engineer</t>
  </si>
  <si>
    <t xml:space="preserve">Onsite </t>
  </si>
  <si>
    <t xml:space="preserve">Johannesburg </t>
  </si>
  <si>
    <t>Closed</t>
  </si>
  <si>
    <t>ZEN051</t>
  </si>
  <si>
    <t>Data Quality Analyst</t>
  </si>
  <si>
    <t>Onsite</t>
  </si>
  <si>
    <t xml:space="preserve">Johannessburg </t>
  </si>
  <si>
    <t xml:space="preserve">Negotiable </t>
  </si>
  <si>
    <t>DEB001</t>
  </si>
  <si>
    <t>Hybrid</t>
  </si>
  <si>
    <t>Cape Town</t>
  </si>
  <si>
    <t xml:space="preserve">R1.2m p/a  </t>
  </si>
  <si>
    <t>PAT001</t>
  </si>
  <si>
    <t>Integration Developer</t>
  </si>
  <si>
    <t xml:space="preserve">Hybrid </t>
  </si>
  <si>
    <t>Netherlands</t>
  </si>
  <si>
    <t>TBC</t>
  </si>
  <si>
    <t>HEN001</t>
  </si>
  <si>
    <t xml:space="preserve">Data Engineer </t>
  </si>
  <si>
    <t>On site</t>
  </si>
  <si>
    <t>R850 per hour</t>
  </si>
  <si>
    <t>HEN002</t>
  </si>
  <si>
    <t xml:space="preserve">SQL Developer </t>
  </si>
  <si>
    <t>Remote</t>
  </si>
  <si>
    <t>R650-R700 per hour</t>
  </si>
  <si>
    <t>DEB002</t>
  </si>
  <si>
    <t>Academic Coordinator (Operational Lead)</t>
  </si>
  <si>
    <t>South Africa</t>
  </si>
  <si>
    <t>R960k- R1.2m p/a</t>
  </si>
  <si>
    <t>GRI001</t>
  </si>
  <si>
    <t xml:space="preserve">MSFT BI Developer </t>
  </si>
  <si>
    <t>Johannesburg</t>
  </si>
  <si>
    <t>R450- R550 per hour</t>
  </si>
  <si>
    <t>ELZ001</t>
  </si>
  <si>
    <t>Software Engineer</t>
  </si>
  <si>
    <t>HEN003</t>
  </si>
  <si>
    <t>Cognos Developer</t>
  </si>
  <si>
    <t>United Kingdom</t>
  </si>
  <si>
    <t>£450 per day</t>
  </si>
  <si>
    <t>HEN004</t>
  </si>
  <si>
    <t>ECM</t>
  </si>
  <si>
    <t>MAR002</t>
  </si>
  <si>
    <t>Johannesburg, Sandton</t>
  </si>
  <si>
    <t>R800 per hour</t>
  </si>
  <si>
    <t>HEN005</t>
  </si>
  <si>
    <t>Junior Salesforce/CRM Analyst</t>
  </si>
  <si>
    <t>Hybrid ( 3 days on site)</t>
  </si>
  <si>
    <t>South Africa, Johannesburg and Cape Town</t>
  </si>
  <si>
    <t>R480k p/a</t>
  </si>
  <si>
    <t>HEN006</t>
  </si>
  <si>
    <t>Senior Level Salesforce Architect</t>
  </si>
  <si>
    <t>R 1.3m -1.44m p/a</t>
  </si>
  <si>
    <t>HEN007</t>
  </si>
  <si>
    <t>Salesforce Analyst</t>
  </si>
  <si>
    <t>R960k - R1.08m p/a</t>
  </si>
  <si>
    <t>DEB004</t>
  </si>
  <si>
    <t>Senior Data Scientist</t>
  </si>
  <si>
    <t>South Africa, Johannesburg</t>
  </si>
  <si>
    <t>R900k - R 1m p/a</t>
  </si>
  <si>
    <t>DEB005</t>
  </si>
  <si>
    <t>Data Scientist</t>
  </si>
  <si>
    <t>R 400k - R 500k p/a</t>
  </si>
  <si>
    <t>DEB006</t>
  </si>
  <si>
    <t>Management Accountant</t>
  </si>
  <si>
    <t>Johannesburg, Lanseria</t>
  </si>
  <si>
    <t>R300k p/a</t>
  </si>
  <si>
    <t>DEB007</t>
  </si>
  <si>
    <t xml:space="preserve">Chief Financial Officer </t>
  </si>
  <si>
    <t>Johannesburg, Midrand</t>
  </si>
  <si>
    <t>DEB008</t>
  </si>
  <si>
    <t>Financial Manager</t>
  </si>
  <si>
    <t>DEB009</t>
  </si>
  <si>
    <t>Senior Accountant</t>
  </si>
  <si>
    <t>Johannesburg, Linbro Park</t>
  </si>
  <si>
    <t>GAR001</t>
  </si>
  <si>
    <t>Business Analyst</t>
  </si>
  <si>
    <t>Sandton, Johannesburg</t>
  </si>
  <si>
    <t>DEB010</t>
  </si>
  <si>
    <t>Data Analyst</t>
  </si>
  <si>
    <t xml:space="preserve">United Kingdom and South Africa </t>
  </si>
  <si>
    <t>R 800k p/a</t>
  </si>
  <si>
    <t>MAR001</t>
  </si>
  <si>
    <t xml:space="preserve">Software Developer </t>
  </si>
  <si>
    <t>FIN001</t>
  </si>
  <si>
    <t>Centurion, Gauteng, South Africa</t>
  </si>
  <si>
    <t xml:space="preserve">R1.2m p/a </t>
  </si>
  <si>
    <t>GAR002</t>
  </si>
  <si>
    <t>R720k p/a</t>
  </si>
  <si>
    <t>ELZ002</t>
  </si>
  <si>
    <t>Senior Business Intelligence Developer</t>
  </si>
  <si>
    <t>R720k - R1.17m p/a</t>
  </si>
  <si>
    <t>ELZ003</t>
  </si>
  <si>
    <t>Senior Software Engineer</t>
  </si>
  <si>
    <t>Johannesburg and Cape Town</t>
  </si>
  <si>
    <t>R840k - R1.44m p/a</t>
  </si>
  <si>
    <t>FIN002</t>
  </si>
  <si>
    <t>Senior Data Warehousing Specialist</t>
  </si>
  <si>
    <t>On-site</t>
  </si>
  <si>
    <t>900k - 1,2m p/a</t>
  </si>
  <si>
    <t>FIN003</t>
  </si>
  <si>
    <t>IT Risk Manager</t>
  </si>
  <si>
    <t>R950k p/a</t>
  </si>
  <si>
    <t>FIN004</t>
  </si>
  <si>
    <t>Data Warehousing Manager</t>
  </si>
  <si>
    <t>R900k - R1.2m p/a</t>
  </si>
  <si>
    <t>COR001</t>
  </si>
  <si>
    <t>Cloud SQL Engineer for BI Team</t>
  </si>
  <si>
    <t>R360k - R480k p/a</t>
  </si>
  <si>
    <t>BBD001</t>
  </si>
  <si>
    <t>Platform Engineer</t>
  </si>
  <si>
    <t>Johannesburg, South Africa</t>
  </si>
  <si>
    <t>R600k - R1.08m p/a</t>
  </si>
  <si>
    <t>STR001</t>
  </si>
  <si>
    <t>DevOps Engineer</t>
  </si>
  <si>
    <t>Rivonia, Johannesburg</t>
  </si>
  <si>
    <t>R480k - R960k p/a</t>
  </si>
  <si>
    <t>ZEN001</t>
  </si>
  <si>
    <t>Senior Product Manager</t>
  </si>
  <si>
    <t>R1.3m p/a</t>
  </si>
  <si>
    <t>Marketing Cloud and Technical Consultant</t>
  </si>
  <si>
    <t>R720k - R960k p/a</t>
  </si>
  <si>
    <t>DEB011</t>
  </si>
  <si>
    <t>Finance Manager</t>
  </si>
  <si>
    <t>R1.2m p/a</t>
  </si>
  <si>
    <t>ZEN002</t>
  </si>
  <si>
    <t>Adobe Journey Optimiser Practitioner</t>
  </si>
  <si>
    <t>Johanessburg</t>
  </si>
  <si>
    <t>ZEN003</t>
  </si>
  <si>
    <t>CRM Engineer</t>
  </si>
  <si>
    <t>ZEN004</t>
  </si>
  <si>
    <t>Senior .NET Developer</t>
  </si>
  <si>
    <t>Johannesburg or Cape Town</t>
  </si>
  <si>
    <t>R650 p/h</t>
  </si>
  <si>
    <t>ZEN005</t>
  </si>
  <si>
    <t>ZEN006</t>
  </si>
  <si>
    <t>ZEN007</t>
  </si>
  <si>
    <t>End User Computing Lead</t>
  </si>
  <si>
    <t>Durban, South Africa</t>
  </si>
  <si>
    <t>Negotiable</t>
  </si>
  <si>
    <t>ZEN008</t>
  </si>
  <si>
    <t>ZEN009</t>
  </si>
  <si>
    <t>Mobile Developer</t>
  </si>
  <si>
    <t>R600 p/h</t>
  </si>
  <si>
    <t>CAR001</t>
  </si>
  <si>
    <t>CAR002</t>
  </si>
  <si>
    <t>Enterprise Architect</t>
  </si>
  <si>
    <t>UAE</t>
  </si>
  <si>
    <t>R1000 - R1500 p/h</t>
  </si>
  <si>
    <t>CAR003</t>
  </si>
  <si>
    <t>Senior IT Project Manager</t>
  </si>
  <si>
    <t>CAR004</t>
  </si>
  <si>
    <t>Corporate Industries Techno Functional Analyst</t>
  </si>
  <si>
    <t>CAR005</t>
  </si>
  <si>
    <t>Integration Architect</t>
  </si>
  <si>
    <t>ZEN010</t>
  </si>
  <si>
    <t>Java Lead</t>
  </si>
  <si>
    <t>R700 p/h</t>
  </si>
  <si>
    <t>LER001</t>
  </si>
  <si>
    <t>Technical Solutions Architect</t>
  </si>
  <si>
    <t>R800k - R1.2m p/a</t>
  </si>
  <si>
    <t>PRA001</t>
  </si>
  <si>
    <t>HEN008</t>
  </si>
  <si>
    <t>AWS System Engineer</t>
  </si>
  <si>
    <t>€2000-€4000 p/m</t>
  </si>
  <si>
    <t>HEN009</t>
  </si>
  <si>
    <t>Data Modeller</t>
  </si>
  <si>
    <t>LER002</t>
  </si>
  <si>
    <t>BI Analyst Developer</t>
  </si>
  <si>
    <t>Johannesburg - Sandton</t>
  </si>
  <si>
    <t>R500 per hour</t>
  </si>
  <si>
    <t>ZEN011</t>
  </si>
  <si>
    <t>ServiceNow Architect</t>
  </si>
  <si>
    <t>Durban / Johannesburg</t>
  </si>
  <si>
    <t>ZEN012</t>
  </si>
  <si>
    <t>Full Stack Engineer</t>
  </si>
  <si>
    <t>R550 per hour</t>
  </si>
  <si>
    <t>ZEN013</t>
  </si>
  <si>
    <t>R575 per hour</t>
  </si>
  <si>
    <t>ZEN014</t>
  </si>
  <si>
    <t>FICO Blaze Advisor Specialist</t>
  </si>
  <si>
    <t>ZEN015</t>
  </si>
  <si>
    <t>Front-end Engineer</t>
  </si>
  <si>
    <t>ZEN016</t>
  </si>
  <si>
    <t>Oracle ADF Support</t>
  </si>
  <si>
    <t>ZEN017</t>
  </si>
  <si>
    <t>HPE Nonstop Tandem Administrator</t>
  </si>
  <si>
    <t>ZEN018</t>
  </si>
  <si>
    <t>SDET - Automation Test Engineer</t>
  </si>
  <si>
    <t>ZEN019</t>
  </si>
  <si>
    <t>R600 per hour</t>
  </si>
  <si>
    <t>DEB012</t>
  </si>
  <si>
    <t>Data Scientist / Analyst</t>
  </si>
  <si>
    <t>R650k - R1.2m p/a</t>
  </si>
  <si>
    <t>ZEN020</t>
  </si>
  <si>
    <t>Oracle EBS Consultant</t>
  </si>
  <si>
    <t>COR002</t>
  </si>
  <si>
    <t>SQL (Data) Engineer</t>
  </si>
  <si>
    <t>Cape Town, Western Cape</t>
  </si>
  <si>
    <t>R45k - R60 p/m</t>
  </si>
  <si>
    <t>ZEN021</t>
  </si>
  <si>
    <t>SAP EWM Solution Specialist</t>
  </si>
  <si>
    <t>MAR003</t>
  </si>
  <si>
    <t>ZEN022</t>
  </si>
  <si>
    <t>Java Frontend Developer</t>
  </si>
  <si>
    <t>R600 p/h (Higher if Strong)</t>
  </si>
  <si>
    <t>ZEN023</t>
  </si>
  <si>
    <t>ZEN024</t>
  </si>
  <si>
    <t>Software Quality Engineer</t>
  </si>
  <si>
    <t>R550 p/h</t>
  </si>
  <si>
    <t>ZEN025</t>
  </si>
  <si>
    <t>ZEN026</t>
  </si>
  <si>
    <t>ZEN027</t>
  </si>
  <si>
    <t>L1 Support - Incident Management Agent</t>
  </si>
  <si>
    <t>ZEN028</t>
  </si>
  <si>
    <t>Quality Assurance Analyst</t>
  </si>
  <si>
    <t>ZEN029</t>
  </si>
  <si>
    <t>Technical Lead - Java Full Stack</t>
  </si>
  <si>
    <t>Onsite/Hybrid</t>
  </si>
  <si>
    <t>ZEN030</t>
  </si>
  <si>
    <t>ZEN031</t>
  </si>
  <si>
    <t>Salesforce Developer</t>
  </si>
  <si>
    <t>ZEN032</t>
  </si>
  <si>
    <t>ZEN033</t>
  </si>
  <si>
    <t>R800 p/h max incl. fee</t>
  </si>
  <si>
    <t>ZEN034</t>
  </si>
  <si>
    <t>HEN010</t>
  </si>
  <si>
    <t>Belgium</t>
  </si>
  <si>
    <t>ZEN035</t>
  </si>
  <si>
    <t>NET Developer</t>
  </si>
  <si>
    <t>ZEN036</t>
  </si>
  <si>
    <t xml:space="preserve">R800 – 850 max p/h </t>
  </si>
  <si>
    <t>HEN011</t>
  </si>
  <si>
    <t>Solution Architect</t>
  </si>
  <si>
    <t>HEN012</t>
  </si>
  <si>
    <t>IT Business Analyst</t>
  </si>
  <si>
    <t>GRI003</t>
  </si>
  <si>
    <t>Junior Business Intelligence Analyst</t>
  </si>
  <si>
    <t>R200 - R350 p/h</t>
  </si>
  <si>
    <t>ZEN037</t>
  </si>
  <si>
    <t>C# and JavaScript Developer</t>
  </si>
  <si>
    <t>R450 - R500 p/h</t>
  </si>
  <si>
    <t>ZEN039</t>
  </si>
  <si>
    <t>R250 p/h</t>
  </si>
  <si>
    <t>ZEN038</t>
  </si>
  <si>
    <t>RUA001</t>
  </si>
  <si>
    <t>Business Intelligence Analyst</t>
  </si>
  <si>
    <t>Randburg</t>
  </si>
  <si>
    <t>R5k to R15k</t>
  </si>
  <si>
    <t>BBD002</t>
  </si>
  <si>
    <t>Scala Developer</t>
  </si>
  <si>
    <t>South Africa for UK Company</t>
  </si>
  <si>
    <t>HEN013</t>
  </si>
  <si>
    <t>Senior Data Modeler</t>
  </si>
  <si>
    <t>Hybrid/Remote</t>
  </si>
  <si>
    <t>COR003</t>
  </si>
  <si>
    <t>Senior Fullstack JavaScript Developer</t>
  </si>
  <si>
    <t xml:space="preserve"> Cape Town</t>
  </si>
  <si>
    <t>ZEN042</t>
  </si>
  <si>
    <t>Oracle Process Manufacturing (OPM) Consultant</t>
  </si>
  <si>
    <t>ZEN044</t>
  </si>
  <si>
    <t>PSB (Loan IQ) Systems Support Specialist</t>
  </si>
  <si>
    <t>Power Developer / Data Engineer</t>
  </si>
  <si>
    <t>PRA002</t>
  </si>
  <si>
    <t xml:space="preserve">Closed </t>
  </si>
  <si>
    <t>Portugal</t>
  </si>
  <si>
    <t>HEN014</t>
  </si>
  <si>
    <t>BI/Qlik Analyst</t>
  </si>
  <si>
    <t>€5,200 – €7,000</t>
  </si>
  <si>
    <t>ZEN041</t>
  </si>
  <si>
    <t>Client Engagement Manager / Digital Engineering Leader</t>
  </si>
  <si>
    <t>Johannesburg/ Cape Town</t>
  </si>
  <si>
    <t>R1.6 million p/a</t>
  </si>
  <si>
    <t>Hold</t>
  </si>
  <si>
    <t>ZEN045</t>
  </si>
  <si>
    <t>Enterprise Data Platform Engineer</t>
  </si>
  <si>
    <t>ZEN052</t>
  </si>
  <si>
    <t>Business Development Manager</t>
  </si>
  <si>
    <t>ZEN047</t>
  </si>
  <si>
    <t>ServiceNow HRSD Functional Consultant</t>
  </si>
  <si>
    <t>ZEN048</t>
  </si>
  <si>
    <t xml:space="preserve">Business Analyst </t>
  </si>
  <si>
    <t xml:space="preserve">Cape Town </t>
  </si>
  <si>
    <t>GRI002</t>
  </si>
  <si>
    <t>Business Intelligence Analyst/Developer</t>
  </si>
  <si>
    <t>GRI004</t>
  </si>
  <si>
    <t>Financial Reporting Analyst and Report Writer</t>
  </si>
  <si>
    <t>Open</t>
  </si>
  <si>
    <t>Data Monkey BD</t>
  </si>
  <si>
    <t>GRI005</t>
  </si>
  <si>
    <t>AWS Software Developer</t>
  </si>
  <si>
    <t>Permanent</t>
  </si>
  <si>
    <t>R52-54k gross per month</t>
  </si>
  <si>
    <t>GRI006</t>
  </si>
  <si>
    <t>Data Engineer - Cloud Migration</t>
  </si>
  <si>
    <t>Contract</t>
  </si>
  <si>
    <t>Remote or Onsite</t>
  </si>
  <si>
    <t xml:space="preserve"> R52k to R55k Gross</t>
  </si>
  <si>
    <t>ZEN046</t>
  </si>
  <si>
    <t xml:space="preserve">AWS Bedrock Developer </t>
  </si>
  <si>
    <t>R850/h incl vendor fees</t>
  </si>
  <si>
    <t>GRI007</t>
  </si>
  <si>
    <t>Intermediate Developer</t>
  </si>
  <si>
    <t>Permanent (Open to Independent Contractors)</t>
  </si>
  <si>
    <t>Remote/Hybrid</t>
  </si>
  <si>
    <t>R40-R57k gross /month</t>
  </si>
  <si>
    <t>6 -12 Months (Renewable)</t>
  </si>
  <si>
    <t>R750 p/h</t>
  </si>
  <si>
    <t>ZEN050</t>
  </si>
  <si>
    <t xml:space="preserve">Software Architect </t>
  </si>
  <si>
    <t>ZEN054</t>
  </si>
  <si>
    <t>RPM Specialist</t>
  </si>
  <si>
    <t>R600/h</t>
  </si>
  <si>
    <t>ZEN053</t>
  </si>
  <si>
    <t>3 months (Renewable)</t>
  </si>
  <si>
    <t>950 p/h</t>
  </si>
  <si>
    <t>ZEN055</t>
  </si>
  <si>
    <t>AI Architect</t>
  </si>
  <si>
    <t>Open/Negotiable</t>
  </si>
  <si>
    <t>ZEN056</t>
  </si>
  <si>
    <t>1.6 Mill (80-20 Split)</t>
  </si>
  <si>
    <t>ZEN057</t>
  </si>
  <si>
    <t>Business Development Manager – Banking Sector</t>
  </si>
  <si>
    <t xml:space="preserve">1.6 Million (80-20 Split) </t>
  </si>
  <si>
    <t>ZEN058</t>
  </si>
  <si>
    <t>Business Development Manager – Manufacturing / Retail</t>
  </si>
  <si>
    <t>ZEN059</t>
  </si>
  <si>
    <t>PURE Storage Engineer</t>
  </si>
  <si>
    <t>12 Months (Renewable)</t>
  </si>
  <si>
    <t>On-Site</t>
  </si>
  <si>
    <t>Durban</t>
  </si>
  <si>
    <t>N/A</t>
  </si>
  <si>
    <t>ZEN060</t>
  </si>
  <si>
    <t>Lending Product Expert</t>
  </si>
  <si>
    <t>6 Months (Renewable)</t>
  </si>
  <si>
    <t>ZEN061</t>
  </si>
  <si>
    <t>Johannesburg / Cape Town</t>
  </si>
  <si>
    <t>550 p/h (Incl Vendor fees)</t>
  </si>
  <si>
    <t>ZEN062</t>
  </si>
  <si>
    <t>Lead Data Engineer</t>
  </si>
  <si>
    <t>Contract (12 months, Renewable)</t>
  </si>
  <si>
    <t>Hybrid (3 days in office)</t>
  </si>
  <si>
    <t>ZEN063</t>
  </si>
  <si>
    <t>Azure Data Scientist</t>
  </si>
  <si>
    <t>650 p/h</t>
  </si>
  <si>
    <t>ZEN064</t>
  </si>
  <si>
    <t>Senior API Developer</t>
  </si>
  <si>
    <t>550-600 p/h</t>
  </si>
  <si>
    <t>ZEN065</t>
  </si>
  <si>
    <t>SDET (Software Development Engineer in Test)</t>
  </si>
  <si>
    <t>12-Month Renewable Contract</t>
  </si>
  <si>
    <t>Cape Town, South Africa</t>
  </si>
  <si>
    <t>600 p/h</t>
  </si>
  <si>
    <t>ZEN066</t>
  </si>
  <si>
    <t>Azure AI Engineer</t>
  </si>
  <si>
    <t>Work from Office Daily</t>
  </si>
  <si>
    <t>850 p/h</t>
  </si>
  <si>
    <t>ZEN067</t>
  </si>
  <si>
    <t>C# Back End Developer</t>
  </si>
  <si>
    <t xml:space="preserve">12 Months Renewable </t>
  </si>
  <si>
    <t>Work from office daily</t>
  </si>
  <si>
    <t>South Africa, Pretoria and Cape Town</t>
  </si>
  <si>
    <t>450 p/h</t>
  </si>
  <si>
    <t>ZEN068</t>
  </si>
  <si>
    <t>6 -12 month contract, renewable</t>
  </si>
  <si>
    <t>600p/h</t>
  </si>
  <si>
    <t>ZEN069</t>
  </si>
  <si>
    <t>AMH (Java) Developer</t>
  </si>
  <si>
    <t>12-months, renewable</t>
  </si>
  <si>
    <t>ZEN070</t>
  </si>
  <si>
    <t>Dynamics 365 CRM Developer</t>
  </si>
  <si>
    <t>6 - month contract, renewable</t>
  </si>
  <si>
    <t>ZEN071</t>
  </si>
  <si>
    <t>RPA Workfusion Developer</t>
  </si>
  <si>
    <t>12 Months Renewable</t>
  </si>
  <si>
    <t>R490p/h</t>
  </si>
  <si>
    <t>ZEN072</t>
  </si>
  <si>
    <t>Intermediate AWS Data Engineer</t>
  </si>
  <si>
    <t>12 Months Renewal</t>
  </si>
  <si>
    <t>R650 h/r</t>
  </si>
  <si>
    <t>ZEN073</t>
  </si>
  <si>
    <t>Lead AWS Data Engineer</t>
  </si>
  <si>
    <t>ZEN074</t>
  </si>
  <si>
    <t>ZEN076</t>
  </si>
  <si>
    <t>Power BI Developer</t>
  </si>
  <si>
    <t>R400-R450/h</t>
  </si>
  <si>
    <t>ZEN075</t>
  </si>
  <si>
    <t>Engineering Lead</t>
  </si>
  <si>
    <t>R1000 p/h</t>
  </si>
  <si>
    <t>ZEN077</t>
  </si>
  <si>
    <t>Dynamics 365 CRM  Lead Developer</t>
  </si>
  <si>
    <t>6 - 12 Months Renewal</t>
  </si>
  <si>
    <t>ZEN078</t>
  </si>
  <si>
    <t>Full STACK Developer (Same as ZEN067)</t>
  </si>
  <si>
    <t>Subcontract</t>
  </si>
  <si>
    <t>ZEN079</t>
  </si>
  <si>
    <t>Senior Hyperion Consultant</t>
  </si>
  <si>
    <t>6-months, Renewable</t>
  </si>
  <si>
    <t>ZEN080</t>
  </si>
  <si>
    <t>ZEN081</t>
  </si>
  <si>
    <t>Senior .NET Developer - Azure Devops</t>
  </si>
  <si>
    <t>ZEN082</t>
  </si>
  <si>
    <t>Contract and Permanent</t>
  </si>
  <si>
    <t>Durban, Pretoria, Cape Town</t>
  </si>
  <si>
    <t>R800-850/hr slightly neg</t>
  </si>
  <si>
    <t>ZEN083</t>
  </si>
  <si>
    <t>Data Engineer - Banking sector</t>
  </si>
  <si>
    <t>6 -12 Months, Renewable</t>
  </si>
  <si>
    <t>R600 - R650 p/h</t>
  </si>
  <si>
    <t>ZEN084</t>
  </si>
  <si>
    <t>Data Engineer - Banking Sector</t>
  </si>
  <si>
    <t>R500 -R550 p/h</t>
  </si>
  <si>
    <t>ZEN085</t>
  </si>
  <si>
    <t>Senior AWS Data Engineer</t>
  </si>
  <si>
    <t>3 months</t>
  </si>
  <si>
    <t>Hybrid, 3 days a week</t>
  </si>
  <si>
    <t>ZEN086</t>
  </si>
  <si>
    <t>R400 p/h</t>
  </si>
  <si>
    <t>ZEN087</t>
  </si>
  <si>
    <t>Solutions Architect</t>
  </si>
  <si>
    <t>R800 p/h</t>
  </si>
  <si>
    <t>ZEN089</t>
  </si>
  <si>
    <t>Site Reliabilty Engineer</t>
  </si>
  <si>
    <t>Hybrid, 2-3 days a week</t>
  </si>
  <si>
    <t>ZEN090</t>
  </si>
  <si>
    <t>Automation Tester - Selenium</t>
  </si>
  <si>
    <t>ZEN091</t>
  </si>
  <si>
    <t>6 months to start (ext to 12 months)</t>
  </si>
  <si>
    <t>R650/hr max</t>
  </si>
  <si>
    <t>ZEN092</t>
  </si>
  <si>
    <t>VisionPlus Implementation Expert</t>
  </si>
  <si>
    <t>3 Month Contract</t>
  </si>
  <si>
    <t xml:space="preserve">Remote  </t>
  </si>
  <si>
    <t>R650 h/r neg</t>
  </si>
  <si>
    <t>ZEN093</t>
  </si>
  <si>
    <t>MRK001</t>
  </si>
  <si>
    <t>Portfolio Manager</t>
  </si>
  <si>
    <t xml:space="preserve">Permanent </t>
  </si>
  <si>
    <t>800k p/a</t>
  </si>
  <si>
    <t>ZEN094</t>
  </si>
  <si>
    <t>SAP BW Developer</t>
  </si>
  <si>
    <t>6 Months Renewable</t>
  </si>
  <si>
    <t>ZEN095</t>
  </si>
  <si>
    <t>ZEN096</t>
  </si>
  <si>
    <t>Azure Devops Engineer</t>
  </si>
  <si>
    <t>Hybrid – 3 days in the office</t>
  </si>
  <si>
    <t>Johannesburg – Sandton</t>
  </si>
  <si>
    <t>ZEN097</t>
  </si>
  <si>
    <t>Programme Manager – Data Quality &amp; Governance</t>
  </si>
  <si>
    <t>R850/hr</t>
  </si>
  <si>
    <t>C# Back End Developer – CI/CD / DevOps</t>
  </si>
  <si>
    <t>Durban and Cape Town</t>
  </si>
  <si>
    <t>ZEN099</t>
  </si>
  <si>
    <t>Junior / Intermediate Automation Tester</t>
  </si>
  <si>
    <t>Johannesburg – Randburg</t>
  </si>
  <si>
    <t>R250/hr</t>
  </si>
  <si>
    <t>Cloud Network Engineer</t>
  </si>
  <si>
    <t>12 Months</t>
  </si>
  <si>
    <t>ZEN101</t>
  </si>
  <si>
    <t>Angular UI Developer</t>
  </si>
  <si>
    <t>R800/hr</t>
  </si>
  <si>
    <t>Subcontract – Renewable or Permanent</t>
  </si>
  <si>
    <t>Senior and Intermediate Automation Tester</t>
  </si>
  <si>
    <t>Senior: R650 p/h
Intermediate: R400 p/h</t>
  </si>
  <si>
    <t>Subject Matter Expert (SME) in Data Technologies</t>
  </si>
  <si>
    <t>ZEN106</t>
  </si>
  <si>
    <t>Payments Solution Architect</t>
  </si>
  <si>
    <t>Contract (6–12 months, Renewable)</t>
  </si>
  <si>
    <t>Hybrid / Work from office</t>
  </si>
  <si>
    <t>ZEN107</t>
  </si>
  <si>
    <t>Test Architect</t>
  </si>
  <si>
    <t>6 - 12-month, Renewable</t>
  </si>
  <si>
    <t>6 month</t>
  </si>
  <si>
    <t>Hybrid - 3 day in office</t>
  </si>
  <si>
    <t>ZEN110</t>
  </si>
  <si>
    <t>Application Support Engineer</t>
  </si>
  <si>
    <t>ZEN111</t>
  </si>
  <si>
    <t>Senior Business Analysts – SAS Upgrade project</t>
  </si>
  <si>
    <t>Hybrid - 3 day in the from office</t>
  </si>
  <si>
    <t>ZEN112</t>
  </si>
  <si>
    <t>Senior Business Analysts – Apak  Upgrade project</t>
  </si>
  <si>
    <t>ZEN113</t>
  </si>
  <si>
    <t xml:space="preserve">Senior Business Analysts </t>
  </si>
  <si>
    <t>DOL001</t>
  </si>
  <si>
    <t>IT Administrator</t>
  </si>
  <si>
    <t>Permanent - 3-month probation</t>
  </si>
  <si>
    <t>Markman, Port Elizabeth</t>
  </si>
  <si>
    <t>R20 000 - R25000 per Month</t>
  </si>
  <si>
    <t>ZEN115</t>
  </si>
  <si>
    <t>Business Analyst/ Feature Analyst - Payments</t>
  </si>
  <si>
    <t>3 - 4 Months Renewable</t>
  </si>
  <si>
    <t>Fairland Johannesburg</t>
  </si>
  <si>
    <t>DOL002</t>
  </si>
  <si>
    <t>Senior IT Systems Engineer</t>
  </si>
  <si>
    <t>R30 000 p/m</t>
  </si>
  <si>
    <t>Financial Accountant</t>
  </si>
  <si>
    <t>R30000 p/m</t>
  </si>
  <si>
    <t>DOL004</t>
  </si>
  <si>
    <t>Data Entry Specialist</t>
  </si>
  <si>
    <t>Kempton Park</t>
  </si>
  <si>
    <t>R17000p/m</t>
  </si>
  <si>
    <t>Senior Tester [R600/hr &amp; Lead R650/hr]</t>
  </si>
  <si>
    <t>R600p/h</t>
  </si>
  <si>
    <t>6 month Renewable</t>
  </si>
  <si>
    <t xml:space="preserve">R650 h/r </t>
  </si>
  <si>
    <t>R500-R550/hr</t>
  </si>
  <si>
    <t xml:space="preserve"> R600/hr – R650/hr max</t>
  </si>
  <si>
    <t>R400-500/hr</t>
  </si>
  <si>
    <t>R650/p/h</t>
  </si>
  <si>
    <t>R700p/h</t>
  </si>
  <si>
    <t>ZEN132</t>
  </si>
  <si>
    <t>Johannesburg , Fairlands</t>
  </si>
  <si>
    <t>R850-R900/hr</t>
  </si>
  <si>
    <t xml:space="preserve">6 Months </t>
  </si>
  <si>
    <t xml:space="preserve">R400 ph </t>
  </si>
  <si>
    <t>Hybrid - 2 day in the from office</t>
  </si>
  <si>
    <t>R650/hr</t>
  </si>
  <si>
    <t>Permanent and contract opportunity</t>
  </si>
  <si>
    <t>Hybrid (3 days per week in office)</t>
  </si>
  <si>
    <t>R400-R450/hr</t>
  </si>
  <si>
    <t>3 Months</t>
  </si>
  <si>
    <t>Alice Lane, Sandton, Johannesburg</t>
  </si>
  <si>
    <t>Azure Integration Developer</t>
  </si>
  <si>
    <t>6–12 Months Renewable</t>
  </si>
  <si>
    <t>R600/hr</t>
  </si>
  <si>
    <t xml:space="preserve">Contract </t>
  </si>
  <si>
    <t>Fairland, Johannesburg</t>
  </si>
  <si>
    <t>R580-R600/hr max</t>
  </si>
  <si>
    <t>6-12 Months Renewable</t>
  </si>
  <si>
    <t>R350 p/h</t>
  </si>
  <si>
    <t>Zambia</t>
  </si>
  <si>
    <t>Hybrid (2–3 days per week in office)</t>
  </si>
  <si>
    <t>Until 31 December 2026 – Renewable</t>
  </si>
  <si>
    <t>Hybrid (2 days per week in office)</t>
  </si>
  <si>
    <t xml:space="preserve">12 Months – Renewable, Permanent </t>
  </si>
  <si>
    <t>Work from Office – Mandatory</t>
  </si>
  <si>
    <t>Durban Only ,Pretoria is filled</t>
  </si>
  <si>
    <t>Woodmead JHB</t>
  </si>
  <si>
    <t>Permanent or Contract</t>
  </si>
  <si>
    <t>Remote -Must be willing to travel to Johannesburg and Cape Town when required</t>
  </si>
  <si>
    <t>12 months renewable</t>
  </si>
  <si>
    <t>R550/hr Max</t>
  </si>
  <si>
    <t>12 months renewable, long term project</t>
  </si>
  <si>
    <t>R900 ph</t>
  </si>
  <si>
    <t>Durban, Lalucia</t>
  </si>
  <si>
    <t xml:space="preserve">Up to R600 ph </t>
  </si>
  <si>
    <t>R400 – R450 p/h</t>
  </si>
  <si>
    <t>Upto R800 p/h</t>
  </si>
  <si>
    <t>JHB :minimum of 2 days per week in the office - Durban or Cape Town: Remote</t>
  </si>
  <si>
    <t>Johannesburg / Durban / Cape Town</t>
  </si>
  <si>
    <t>Hybrid – 2 to 3 days per week in the office</t>
  </si>
  <si>
    <t>Tunis, Tunisia</t>
  </si>
  <si>
    <t>South Africa - CIB Africa Markets</t>
  </si>
  <si>
    <t>R420 p/h</t>
  </si>
  <si>
    <t>Until end of 2027</t>
  </si>
  <si>
    <t>Permanent / Subcontract</t>
  </si>
  <si>
    <t>Stellenbosch, Remote</t>
  </si>
  <si>
    <t>Job Code</t>
  </si>
  <si>
    <t>Do NOT edit anything manually on that sheet</t>
  </si>
  <si>
    <t>❌ Job Specs sheet is auto-updated</t>
  </si>
  <si>
    <t>(blank)</t>
  </si>
  <si>
    <t>05 - Interviews</t>
  </si>
  <si>
    <t>06 - Placement</t>
  </si>
  <si>
    <t>Candidate has been shortlisted for an interview or coding assessment.</t>
  </si>
  <si>
    <t>Candidate has been successfully placed with the client!</t>
  </si>
  <si>
    <t>The candidate is sent an initial email with the attached job specification and indemnity form.</t>
  </si>
  <si>
    <t>The candidate is contacted and informed about the job opportunity (typically following no response to the email).
Things to confirm before booking a screening call:
- Salary expectations
- Location preferences
- Comfortability with hybrid or onsite work (role-specific)
- Notice period or citizenship (if required)
- Credit check status (for applicable roles)
- Criminal check status (for banking roles)</t>
  </si>
  <si>
    <t>The candidate is identified and matched to a role via Pnet or LinkedIn, but no contact has been made yet.</t>
  </si>
  <si>
    <t>A screening call has been scheduled and completed by a consultant.</t>
  </si>
  <si>
    <t>The candidate has been submitted to the client for the relevant role.</t>
  </si>
  <si>
    <t>(All)</t>
  </si>
  <si>
    <t>02 - Not Interetsed</t>
  </si>
  <si>
    <t>Stage</t>
  </si>
  <si>
    <t>Count</t>
  </si>
  <si>
    <t>Headhunted</t>
  </si>
  <si>
    <t>Contacted</t>
  </si>
  <si>
    <t>Interested</t>
  </si>
  <si>
    <t>Submitted</t>
  </si>
  <si>
    <t>Placed</t>
  </si>
  <si>
    <t>Interviewed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</si>
</sst>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color theme="1"/>
      <name val="Aptos Narrow"/>
      <family val="2"/>
      <scheme val="minor"/>
    </font>
    <font>
      <b/>
      <sz val="14"/>
      <color theme="1"/>
      <name val="Aptos Narrow"/>
      <family val="2"/>
      <scheme val="minor"/>
    </font>
    <font>
      <b/>
      <sz val="16"/>
      <color theme="1"/>
      <name val="Aptos Narrow"/>
      <family val="2"/>
      <scheme val="minor"/>
    </font>
    <font>
      <b/>
      <sz val="12"/>
      <color theme="1"/>
      <name val="Aptos Narrow"/>
      <family val="2"/>
      <scheme val="minor"/>
    </font>
    <font>
      <b/>
      <u/>
      <sz val="12"/>
      <color theme="1"/>
      <name val="Aptos Narrow"/>
      <family val="2"/>
      <scheme val="minor"/>
    </font>
    <font>
      <b/>
      <sz val="11"/>
      <color theme="0"/>
      <name val="Aptos Narrow"/>
      <family val="2"/>
      <scheme val="minor"/>
    </font>
    <font>
      <sz val="11"/>
      <color theme="0"/>
      <name val="Aptos Narrow"/>
      <family val="2"/>
      <scheme val="minor"/>
    </font>
    <font>
      <b/>
      <sz val="11"/>
      <color rgb="FFC00000"/>
      <name val="Aptos Narrow"/>
      <family val="2"/>
      <scheme val="minor"/>
    </font>
    <font>
      <b/>
      <sz val="11"/>
      <color rgb="FF8A6900"/>
      <name val="Aptos Narrow"/>
      <family val="2"/>
      <scheme val="minor"/>
    </font>
    <font>
      <sz val="12"/>
      <color theme="1"/>
      <name val="Aptos Narrow"/>
      <family val="2"/>
      <scheme val="minor"/>
    </font>
    <font>
      <b/>
      <sz val="16"/>
      <color theme="3" tint="0.249977111117893"/>
      <name val="Aptos Narrow"/>
      <family val="2"/>
      <scheme val="minor"/>
    </font>
    <font>
      <b/>
      <sz val="11"/>
      <color theme="9" tint="-0.249977111117893"/>
      <name val="Aptos Narrow"/>
      <family val="2"/>
      <scheme val="minor"/>
    </font>
    <font>
      <b/>
      <sz val="12"/>
      <color theme="0"/>
      <name val="Aptos Narrow"/>
      <family val="2"/>
      <scheme val="minor"/>
    </font>
    <font>
      <sz val="11"/>
      <color rgb="FFFF0000"/>
      <name val="Aptos Narrow"/>
      <family val="2"/>
      <scheme val="minor"/>
    </font>
    <font>
      <b/>
      <sz val="13"/>
      <color theme="3" tint="0.249977111117893"/>
      <name val="Aptos Narrow"/>
      <family val="2"/>
      <scheme val="minor"/>
    </font>
    <font>
      <b/>
      <sz val="13"/>
      <color theme="1"/>
      <name val="Aptos Narrow"/>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rgb="FFFFA7A7"/>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8B8B"/>
        <bgColor indexed="64"/>
      </patternFill>
    </fill>
    <fill>
      <patternFill patternType="solid">
        <fgColor theme="3" tint="0.89999084444715716"/>
        <bgColor indexed="64"/>
      </patternFill>
    </fill>
    <fill>
      <patternFill patternType="solid">
        <fgColor rgb="FFFFD757"/>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FFE697"/>
        <bgColor indexed="64"/>
      </patternFill>
    </fill>
    <fill>
      <patternFill patternType="solid">
        <fgColor theme="1"/>
        <bgColor indexed="64"/>
      </patternFill>
    </fill>
  </fills>
  <borders count="10">
    <border>
      <left/>
      <right/>
      <top/>
      <bottom/>
      <diagonal/>
    </border>
    <border>
      <left/>
      <right/>
      <top style="thin">
        <color theme="4" tint="0.39997558519241921"/>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top/>
      <bottom style="medium">
        <color theme="0"/>
      </bottom>
      <diagonal/>
    </border>
  </borders>
  <cellStyleXfs count="3">
    <xf numFmtId="0" fontId="0" fillId="0" borderId="0"/>
    <xf numFmtId="0" fontId="1" fillId="0" borderId="0" applyNumberFormat="0" applyFill="0" applyBorder="0" applyAlignment="0" applyProtection="0"/>
    <xf numFmtId="9" fontId="3" fillId="0" borderId="0" applyFont="0" applyFill="0" applyBorder="0" applyAlignment="0" applyProtection="0"/>
  </cellStyleXfs>
  <cellXfs count="54">
    <xf numFmtId="0" fontId="0" fillId="0" borderId="0" xfId="0"/>
    <xf numFmtId="0" fontId="0" fillId="0" borderId="0" xfId="0" applyAlignment="1">
      <alignment horizontal="center" vertical="center"/>
    </xf>
    <xf numFmtId="0" fontId="0" fillId="0" borderId="0" xfId="0" applyAlignment="1">
      <alignment vertical="top"/>
    </xf>
    <xf numFmtId="0" fontId="0" fillId="0" borderId="0" xfId="0" applyAlignment="1">
      <alignment vertical="top" wrapText="1"/>
    </xf>
    <xf numFmtId="14" fontId="0" fillId="0" borderId="0" xfId="0" applyNumberFormat="1" applyAlignment="1">
      <alignment horizontal="center" vertical="top"/>
    </xf>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center" vertical="center"/>
    </xf>
    <xf numFmtId="0" fontId="0" fillId="0" borderId="0" xfId="0" applyAlignment="1">
      <alignment horizontal="center"/>
    </xf>
    <xf numFmtId="0" fontId="0" fillId="0" borderId="0" xfId="0" applyAlignment="1">
      <alignment horizontal="left" indent="1"/>
    </xf>
    <xf numFmtId="0" fontId="0" fillId="0" borderId="0" xfId="0" applyAlignment="1" applyProtection="1">
      <alignment vertical="top"/>
      <protection locked="0"/>
    </xf>
    <xf numFmtId="0" fontId="0" fillId="0" borderId="0" xfId="0" applyAlignment="1" applyProtection="1">
      <alignment horizontal="center" vertical="top"/>
      <protection locked="0"/>
    </xf>
    <xf numFmtId="0" fontId="1" fillId="0" borderId="0" xfId="1" applyFill="1" applyAlignment="1" applyProtection="1">
      <alignment horizontal="left" vertical="top"/>
      <protection locked="0"/>
    </xf>
    <xf numFmtId="14" fontId="0" fillId="0" borderId="0" xfId="0" applyNumberFormat="1" applyAlignment="1" applyProtection="1">
      <alignment horizontal="center" vertical="top"/>
      <protection locked="0"/>
    </xf>
    <xf numFmtId="0" fontId="0" fillId="0" borderId="1" xfId="0" applyBorder="1" applyAlignment="1" applyProtection="1">
      <alignment vertical="top"/>
      <protection locked="0"/>
    </xf>
    <xf numFmtId="9" fontId="5" fillId="0" borderId="6" xfId="2" applyFont="1" applyFill="1" applyBorder="1" applyProtection="1"/>
    <xf numFmtId="0" fontId="14" fillId="10" borderId="2" xfId="0" applyFont="1" applyFill="1" applyBorder="1" applyAlignment="1">
      <alignment horizontal="center"/>
    </xf>
    <xf numFmtId="0" fontId="10" fillId="6" borderId="2" xfId="0" applyFont="1" applyFill="1" applyBorder="1" applyAlignment="1">
      <alignment horizontal="center"/>
    </xf>
    <xf numFmtId="0" fontId="11" fillId="8" borderId="2" xfId="0" applyFont="1" applyFill="1" applyBorder="1" applyAlignment="1">
      <alignment horizontal="center"/>
    </xf>
    <xf numFmtId="0" fontId="0" fillId="4" borderId="8" xfId="0" applyFill="1" applyBorder="1"/>
    <xf numFmtId="0" fontId="0" fillId="3" borderId="8" xfId="0" applyFill="1" applyBorder="1"/>
    <xf numFmtId="0" fontId="2" fillId="11" borderId="8" xfId="0" applyFont="1" applyFill="1" applyBorder="1"/>
    <xf numFmtId="0" fontId="0" fillId="4" borderId="0" xfId="0" applyFill="1"/>
    <xf numFmtId="0" fontId="0" fillId="3" borderId="0" xfId="0" applyFill="1"/>
    <xf numFmtId="0" fontId="0" fillId="11" borderId="0" xfId="0" applyFill="1"/>
    <xf numFmtId="0" fontId="2" fillId="11" borderId="0" xfId="0" applyFont="1" applyFill="1"/>
    <xf numFmtId="0" fontId="12" fillId="12" borderId="0" xfId="0" applyFont="1" applyFill="1" applyAlignment="1">
      <alignment horizontal="centerContinuous"/>
    </xf>
    <xf numFmtId="0" fontId="0" fillId="12" borderId="0" xfId="0" applyFill="1"/>
    <xf numFmtId="0" fontId="15" fillId="12" borderId="0" xfId="0" applyFont="1" applyFill="1" applyAlignment="1">
      <alignment horizontal="centerContinuous"/>
    </xf>
    <xf numFmtId="0" fontId="9" fillId="12" borderId="0" xfId="0" applyFont="1" applyFill="1"/>
    <xf numFmtId="0" fontId="12" fillId="12" borderId="9" xfId="0" applyFont="1" applyFill="1" applyBorder="1" applyAlignment="1">
      <alignment horizontal="centerContinuous"/>
    </xf>
    <xf numFmtId="0" fontId="8" fillId="12" borderId="0" xfId="0" applyFont="1" applyFill="1"/>
    <xf numFmtId="14" fontId="1" fillId="0" borderId="0" xfId="1" applyNumberFormat="1" applyFill="1" applyAlignment="1" applyProtection="1">
      <alignment horizontal="center" vertical="top"/>
      <protection locked="0"/>
    </xf>
    <xf numFmtId="0" fontId="0" fillId="0" borderId="0" xfId="0" applyAlignment="1" applyProtection="1">
      <alignment vertical="top" wrapText="1"/>
      <protection locked="0"/>
    </xf>
    <xf numFmtId="0" fontId="0" fillId="9" borderId="0" xfId="0" applyFill="1"/>
    <xf numFmtId="9" fontId="6" fillId="9" borderId="0" xfId="2" applyFont="1" applyFill="1" applyProtection="1"/>
    <xf numFmtId="0" fontId="13" fillId="2" borderId="6" xfId="0" applyFont="1" applyFill="1" applyBorder="1"/>
    <xf numFmtId="0" fontId="6" fillId="7" borderId="3" xfId="0" applyFont="1" applyFill="1" applyBorder="1"/>
    <xf numFmtId="0" fontId="6" fillId="7" borderId="4" xfId="0" applyFont="1" applyFill="1" applyBorder="1"/>
    <xf numFmtId="0" fontId="7" fillId="5" borderId="0" xfId="0" applyFont="1" applyFill="1" applyAlignment="1">
      <alignment horizontal="centerContinuous"/>
    </xf>
    <xf numFmtId="0" fontId="0" fillId="5" borderId="0" xfId="0" applyFill="1" applyAlignment="1">
      <alignment horizontal="centerContinuous"/>
    </xf>
    <xf numFmtId="0" fontId="6" fillId="5" borderId="0" xfId="0" applyFont="1" applyFill="1" applyAlignment="1">
      <alignment horizontal="centerContinuous"/>
    </xf>
    <xf numFmtId="0" fontId="4" fillId="9" borderId="2" xfId="0" applyFont="1" applyFill="1" applyBorder="1" applyAlignment="1">
      <alignment horizontal="left" vertical="center"/>
    </xf>
    <xf numFmtId="0" fontId="6" fillId="9" borderId="0" xfId="0" applyFont="1" applyFill="1"/>
    <xf numFmtId="0" fontId="6" fillId="7" borderId="7" xfId="0" applyFont="1" applyFill="1" applyBorder="1"/>
    <xf numFmtId="0" fontId="6" fillId="7" borderId="2" xfId="0" applyFont="1" applyFill="1" applyBorder="1"/>
    <xf numFmtId="0" fontId="0" fillId="0" borderId="0" xfId="2" applyNumberFormat="1" applyFont="1"/>
    <xf numFmtId="0" fontId="2" fillId="0" borderId="0" xfId="0" applyFont="1" applyAlignment="1">
      <alignment horizontal="center" vertical="center" wrapText="1"/>
    </xf>
    <xf numFmtId="0" fontId="0" fillId="0" borderId="0" xfId="0" applyAlignment="1">
      <alignment vertical="center" wrapText="1"/>
    </xf>
    <xf numFmtId="0" fontId="16" fillId="9" borderId="0" xfId="0" applyFont="1" applyFill="1"/>
    <xf numFmtId="0" fontId="17" fillId="2" borderId="7" xfId="0" applyFont="1" applyFill="1" applyBorder="1"/>
    <xf numFmtId="0" fontId="18" fillId="0" borderId="5" xfId="0" applyFont="1" applyBorder="1"/>
    <xf numFmtId="9" fontId="18" fillId="0" borderId="5" xfId="2" applyFont="1" applyFill="1" applyBorder="1" applyProtection="1"/>
  </cellXfs>
  <cellStyles count="3">
    <cellStyle name="Hyperlink" xfId="1" builtinId="8"/>
    <cellStyle name="Normal" xfId="0" builtinId="0"/>
    <cellStyle name="Percent" xfId="2" builtinId="5"/>
  </cellStyles>
  <dxfs count="34">
    <dxf>
      <fill>
        <patternFill patternType="none">
          <fgColor indexed="64"/>
          <bgColor auto="1"/>
        </patternFill>
      </fill>
      <alignment horizontal="general" vertical="top" textRotation="0" wrapText="0" indent="0" justifyLastLine="0" shrinkToFit="0" readingOrder="0"/>
      <protection locked="0" hidden="0"/>
    </dxf>
    <dxf>
      <fill>
        <patternFill patternType="none">
          <fgColor indexed="64"/>
          <bgColor auto="1"/>
        </patternFill>
      </fill>
      <alignment horizontal="general" vertical="top" textRotation="0" wrapText="0" indent="0" justifyLastLine="0" shrinkToFit="0" readingOrder="0"/>
      <border diagonalUp="0" diagonalDown="0">
        <left/>
        <right/>
        <top style="thin">
          <color theme="4" tint="0.39997558519241921"/>
        </top>
        <bottom/>
        <vertical/>
        <horizontal/>
      </border>
      <protection locked="0" hidden="0"/>
    </dxf>
    <dxf>
      <fill>
        <patternFill patternType="none">
          <fgColor indexed="64"/>
          <bgColor auto="1"/>
        </patternFill>
      </fill>
      <alignment horizontal="general" vertical="top" textRotation="0" wrapText="0" indent="0" justifyLastLine="0" shrinkToFit="0" readingOrder="0"/>
      <border diagonalUp="0" diagonalDown="0">
        <left/>
        <right/>
        <top style="thin">
          <color theme="4" tint="0.39997558519241921"/>
        </top>
        <bottom/>
        <vertical/>
        <horizontal/>
      </border>
      <protection locked="0" hidden="0"/>
    </dxf>
    <dxf>
      <numFmt numFmtId="19" formatCode="yyyy/mm/dd"/>
      <fill>
        <patternFill patternType="none">
          <fgColor indexed="64"/>
          <bgColor indexed="65"/>
        </patternFill>
      </fill>
      <alignment horizontal="center" vertical="top" textRotation="0" wrapText="0" indent="0" justifyLastLine="0" shrinkToFit="0" readingOrder="0"/>
      <protection locked="0" hidden="0"/>
    </dxf>
    <dxf>
      <fill>
        <patternFill patternType="none">
          <fgColor indexed="64"/>
          <bgColor indexed="65"/>
        </patternFill>
      </fill>
      <alignment horizontal="left" vertical="top" textRotation="0" wrapText="0" indent="0" justifyLastLine="0" shrinkToFit="0" readingOrder="0"/>
      <protection locked="0" hidden="0"/>
    </dxf>
    <dxf>
      <fill>
        <patternFill patternType="none">
          <fgColor indexed="64"/>
          <bgColor auto="1"/>
        </patternFill>
      </fill>
      <alignment horizontal="general" vertical="top" textRotation="0" wrapText="0" indent="0" justifyLastLine="0" shrinkToFit="0" readingOrder="0"/>
      <protection locked="0" hidden="0"/>
    </dxf>
    <dxf>
      <fill>
        <patternFill patternType="none">
          <fgColor indexed="64"/>
          <bgColor auto="1"/>
        </patternFill>
      </fill>
      <alignment horizontal="center" vertical="top" textRotation="0" wrapText="0" indent="0" justifyLastLine="0" shrinkToFit="0" readingOrder="0"/>
      <protection locked="0" hidden="0"/>
    </dxf>
    <dxf>
      <fill>
        <patternFill patternType="none">
          <fgColor indexed="64"/>
          <bgColor auto="1"/>
        </patternFill>
      </fill>
      <alignment horizontal="general" vertical="top" textRotation="0" wrapText="0" indent="0" justifyLastLine="0" shrinkToFit="0" readingOrder="0"/>
      <protection locked="0" hidden="0"/>
    </dxf>
    <dxf>
      <fill>
        <patternFill patternType="none">
          <fgColor indexed="64"/>
          <bgColor auto="1"/>
        </patternFill>
      </fill>
      <alignment vertical="top" textRotation="0" indent="0" justifyLastLine="0" shrinkToFit="0" readingOrder="0"/>
      <protection locked="0" hidden="0"/>
    </dxf>
    <dxf>
      <font>
        <b/>
        <i val="0"/>
        <color rgb="FF8A6900"/>
      </font>
      <fill>
        <patternFill>
          <bgColor rgb="FFFFD961"/>
        </patternFill>
      </fill>
    </dxf>
    <dxf>
      <font>
        <b/>
        <i val="0"/>
        <color theme="9" tint="-0.24994659260841701"/>
      </font>
      <fill>
        <patternFill>
          <bgColor theme="9" tint="0.59996337778862885"/>
        </patternFill>
      </fill>
    </dxf>
    <dxf>
      <font>
        <b/>
        <i val="0"/>
        <color rgb="FFC00000"/>
      </font>
      <fill>
        <patternFill>
          <bgColor rgb="FFFF8B8B"/>
        </patternFill>
      </fill>
    </dxf>
    <dxf>
      <font>
        <b/>
        <i val="0"/>
        <color rgb="FFC00000"/>
      </font>
      <fill>
        <patternFill>
          <bgColor rgb="FFFF8B8B"/>
        </patternFill>
      </fill>
    </dxf>
    <dxf>
      <font>
        <b/>
        <i val="0"/>
        <color theme="9" tint="-0.24994659260841701"/>
      </font>
      <fill>
        <patternFill>
          <bgColor theme="9" tint="0.59996337778862885"/>
        </patternFill>
      </fill>
    </dxf>
    <dxf>
      <font>
        <b/>
        <i val="0"/>
        <color rgb="FF8A6900"/>
      </font>
      <fill>
        <patternFill>
          <bgColor rgb="FFFFD961"/>
        </patternFill>
      </fill>
    </dxf>
    <dxf>
      <fill>
        <patternFill patternType="solid">
          <fgColor indexed="64"/>
          <bgColor rgb="FFFFE697"/>
        </patternFill>
      </fill>
    </dxf>
    <dxf>
      <fill>
        <patternFill patternType="solid">
          <fgColor indexed="64"/>
          <bgColor rgb="FFFFA7A7"/>
        </patternFill>
      </fill>
    </dxf>
    <dxf>
      <fill>
        <patternFill patternType="solid">
          <fgColor indexed="64"/>
          <bgColor theme="9" tint="0.79998168889431442"/>
        </patternFill>
      </fill>
    </dxf>
    <dxf>
      <border>
        <bottom style="medium">
          <color indexed="64"/>
        </bottom>
      </border>
    </dxf>
    <dxf>
      <font>
        <b/>
      </font>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numFmt numFmtId="0" formatCode="General"/>
      <protection locked="1" hidden="0"/>
    </dxf>
    <dxf>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protection locked="1" hidden="0"/>
    </dxf>
    <dxf>
      <protection locked="1" hidden="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A7A7"/>
      <color rgb="FFFF8B8B"/>
      <color rgb="FFFFE697"/>
      <color rgb="FFFFD757"/>
      <color rgb="FF8A6900"/>
      <color rgb="FFFFD961"/>
      <color rgb="FFF4E874"/>
      <color rgb="FFFF5D5D"/>
      <color rgb="FFFF4747"/>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[Headhunting Report.xlsx]Dashboard Data!PivotTable1</c:name>
    <c:fmtId val="3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Candidate Pipeline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Data'!$A$4:$A$8</c:f>
              <c:strCache>
                <c:ptCount val="4"/>
                <c:pt idx="0">
                  <c:v>00 - No Response</c:v>
                </c:pt>
                <c:pt idx="1">
                  <c:v>04 - Submitted</c:v>
                </c:pt>
                <c:pt idx="2">
                  <c:v>01 - Email</c:v>
                </c:pt>
                <c:pt idx="3">
                  <c:v>02 - Not Interested</c:v>
                </c:pt>
              </c:strCache>
            </c:strRef>
          </c:cat>
          <c:val>
            <c:numRef>
              <c:f>'Dashboard Data'!$B$4:$B$8</c:f>
              <c:numCache>
                <c:formatCode>General</c:formatCode>
                <c:ptCount val="4"/>
                <c:pt idx="0">
                  <c:v>49</c:v>
                </c:pt>
                <c:pt idx="1">
                  <c:v>6</c:v>
                </c:pt>
                <c:pt idx="2">
                  <c:v>8</c:v>
                </c:pt>
                <c:pt idx="3">
                  <c:v>3</c:v>
                </c:pt>
              </c:numCache>
            </c:numRef>
          </c:val>
          <c:extLst>
            <c:ext xmlns:c16="http://schemas.microsoft.com/office/drawing/2014/chart" uri="{C3380CC4-5D6E-409C-BE32-E72D297353CC}">
              <c16:uniqueId val="{00000000-09E9-4190-8212-39D30935AF06}"/>
            </c:ext>
          </c:extLst>
        </c:ser>
        <c:dLbls>
          <c:dLblPos val="inEnd"/>
          <c:showLegendKey val="0"/>
          <c:showVal val="1"/>
          <c:showCatName val="0"/>
          <c:showSerName val="0"/>
          <c:showPercent val="0"/>
          <c:showBubbleSize val="0"/>
        </c:dLbls>
        <c:gapWidth val="219"/>
        <c:overlap val="-27"/>
        <c:axId val="1181768975"/>
        <c:axId val="556425568"/>
      </c:barChart>
      <c:catAx>
        <c:axId val="11817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25568"/>
        <c:crosses val="autoZero"/>
        <c:auto val="1"/>
        <c:lblAlgn val="ctr"/>
        <c:lblOffset val="100"/>
        <c:noMultiLvlLbl val="0"/>
      </c:catAx>
      <c:valAx>
        <c:axId val="556425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689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[Headhunting Report.xlsx]Backend Pivots!PivotTable2</c:name>
    <c:fmtId val="6"/>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solidFill>
                  <a:schemeClr val="tx1"/>
                </a:solidFill>
              </a:rPr>
              <a:t>Weekly Candidate Volume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'Backend Pivots'!$G$3</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6"/>
                </a:solidFill>
              </a:ln>
              <a:effectLst/>
            </c:spPr>
            <c:trendlineType val="linear"/>
            <c:dispRSqr val="0"/>
            <c:dispEq val="0"/>
          </c:trendline>
          <c:trendline>
            <c:spPr>
              <a:ln w="19050" cap="rnd">
                <a:solidFill>
                  <a:schemeClr val="accent6"/>
                </a:solidFill>
              </a:ln>
              <a:effectLst/>
            </c:spPr>
            <c:trendlineType val="linear"/>
            <c:dispRSqr val="0"/>
            <c:dispEq val="0"/>
          </c:trendline>
          <c:cat>
            <c:strRef>
              <c:f>'Backend Pivots'!$F$4:$F$13</c:f>
              <c:strCache>
                <c:ptCount val="9"/>
                <c:pt idx="0">
                  <c:v>2026/03/02 - 2026/03/08</c:v>
                </c:pt>
                <c:pt idx="1">
                  <c:v>2026/03/09 - 2026/03/15</c:v>
                </c:pt>
                <c:pt idx="2">
                  <c:v>2026/03/16 - 2026/03/22</c:v>
                </c:pt>
                <c:pt idx="3">
                  <c:v>2026/03/23 - 2026/03/29</c:v>
                </c:pt>
                <c:pt idx="4">
                  <c:v>2026/03/30 - 2026/04/05</c:v>
                </c:pt>
                <c:pt idx="5">
                  <c:v>2026/04/06 - 2026/04/12</c:v>
                </c:pt>
                <c:pt idx="6">
                  <c:v>2026/04/13 - 2026/04/19</c:v>
                </c:pt>
                <c:pt idx="7">
                  <c:v>2026/04/20 - 2026/04/26</c:v>
                </c:pt>
                <c:pt idx="8">
                  <c:v>2026/04/27 - 2026/05/03</c:v>
                </c:pt>
              </c:strCache>
            </c:strRef>
          </c:cat>
          <c:val>
            <c:numRef>
              <c:f>'Backend Pivots'!$G$4:$G$13</c:f>
              <c:numCache>
                <c:formatCode>General</c:formatCode>
                <c:ptCount val="9"/>
                <c:pt idx="0">
                  <c:v>15</c:v>
                </c:pt>
                <c:pt idx="1">
                  <c:v>56</c:v>
                </c:pt>
                <c:pt idx="2">
                  <c:v>97</c:v>
                </c:pt>
                <c:pt idx="3">
                  <c:v>93</c:v>
                </c:pt>
                <c:pt idx="4">
                  <c:v>57</c:v>
                </c:pt>
                <c:pt idx="5">
                  <c:v>69</c:v>
                </c:pt>
                <c:pt idx="6">
                  <c:v>119</c:v>
                </c:pt>
                <c:pt idx="7">
                  <c:v>102</c:v>
                </c:pt>
                <c:pt idx="8">
                  <c:v>66</c:v>
                </c:pt>
              </c:numCache>
            </c:numRef>
          </c:val>
          <c:smooth val="0"/>
          <c:extLst>
            <c:ext xmlns:c16="http://schemas.microsoft.com/office/drawing/2014/chart" uri="{C3380CC4-5D6E-409C-BE32-E72D297353CC}">
              <c16:uniqueId val="{00000000-F603-4615-94EC-35E77CC903FA}"/>
            </c:ext>
          </c:extLst>
        </c:ser>
        <c:dLbls>
          <c:dLblPos val="ctr"/>
          <c:showLegendKey val="0"/>
          <c:showVal val="1"/>
          <c:showCatName val="0"/>
          <c:showSerName val="0"/>
          <c:showPercent val="0"/>
          <c:showBubbleSize val="0"/>
        </c:dLbls>
        <c:marker val="1"/>
        <c:smooth val="0"/>
        <c:axId val="2017178783"/>
        <c:axId val="2017179263"/>
      </c:lineChart>
      <c:dateAx>
        <c:axId val="2017178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270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7179263"/>
        <c:crosses val="autoZero"/>
        <c:auto val="0"/>
        <c:lblOffset val="100"/>
        <c:baseTimeUnit val="days"/>
      </c:dateAx>
      <c:valAx>
        <c:axId val="2017179263"/>
        <c:scaling>
          <c:orientation val="minMax"/>
        </c:scaling>
        <c:delete val="1"/>
        <c:axPos val="l"/>
        <c:numFmt formatCode="General" sourceLinked="1"/>
        <c:majorTickMark val="none"/>
        <c:minorTickMark val="none"/>
        <c:tickLblPos val="nextTo"/>
        <c:crossAx val="201717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sz="1600" b="1">
                <a:solidFill>
                  <a:schemeClr val="tx1"/>
                </a:solidFill>
              </a:defRPr>
            </a:pPr>
            <a:r>
              <a:rPr lang="en-ZA" sz="1600" b="1" i="0" u="none" strike="noStrike" baseline="0">
                <a:solidFill>
                  <a:schemeClr val="tx1"/>
                </a:solidFill>
                <a:latin typeface="Aptos Narrow" panose="02110004020202020204"/>
                <a:ea typeface="Calibri" panose="020F0502020204030204" pitchFamily="34" charset="0"/>
                <a:cs typeface="Calibri" panose="020F0502020204030204" pitchFamily="34" charset="0"/>
              </a:rPr>
              <a:t>Weekly Recruitment Funnel</a:t>
            </a:r>
            <a:endParaRPr lang="en-US" sz="1600" b="1" i="0" u="none" strike="noStrike" baseline="0">
              <a:solidFill>
                <a:schemeClr val="tx1"/>
              </a:solidFill>
              <a:latin typeface="Aptos Narrow" panose="02110004020202020204"/>
            </a:endParaRPr>
          </a:p>
        </cx:rich>
      </cx:tx>
    </cx:title>
    <cx:plotArea>
      <cx:plotAreaRegion>
        <cx:series layoutId="funnel" uniqueId="{2A37B6AC-1B97-40D8-AF88-B8EF81153214}">
          <cx:tx>
            <cx:txData>
              <cx:f>_xlchart.v2.1</cx:f>
              <cx:v>Count</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11060</xdr:rowOff>
    </xdr:from>
    <xdr:to>
      <xdr:col>8</xdr:col>
      <xdr:colOff>17076</xdr:colOff>
      <xdr:row>27</xdr:row>
      <xdr:rowOff>3589</xdr:rowOff>
    </xdr:to>
    <xdr:graphicFrame macro="">
      <xdr:nvGraphicFramePr>
        <xdr:cNvPr id="3" name="Chart 2">
          <a:extLst>
            <a:ext uri="{FF2B5EF4-FFF2-40B4-BE49-F238E27FC236}">
              <a16:creationId xmlns:a16="http://schemas.microsoft.com/office/drawing/2014/main" id="{EDB0739B-9CC7-464E-A7A4-DDC8F9BCA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418939</xdr:colOff>
      <xdr:row>9</xdr:row>
      <xdr:rowOff>9071</xdr:rowOff>
    </xdr:from>
    <xdr:to>
      <xdr:col>16</xdr:col>
      <xdr:colOff>523673</xdr:colOff>
      <xdr:row>27</xdr:row>
      <xdr:rowOff>1</xdr:rowOff>
    </xdr:to>
    <xdr:graphicFrame macro="">
      <xdr:nvGraphicFramePr>
        <xdr:cNvPr id="2" name="Chart 1">
          <a:extLst>
            <a:ext uri="{FF2B5EF4-FFF2-40B4-BE49-F238E27FC236}">
              <a16:creationId xmlns:a16="http://schemas.microsoft.com/office/drawing/2014/main" id="{F7159761-874D-471E-A009-E711DAD3E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194825</xdr:colOff>
      <xdr:row>28</xdr:row>
      <xdr:rowOff>26214</xdr:rowOff>
    </xdr:from>
    <xdr:to>
      <xdr:col>11</xdr:col>
      <xdr:colOff>399647</xdr:colOff>
      <xdr:row>45</xdr:row>
      <xdr:rowOff>1562</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8BB3483E-9F86-42AA-8D51-3BDD5D80DC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096775" y="5411014"/>
              <a:ext cx="6789772" cy="3105898"/>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720171</xdr:colOff>
      <xdr:row>2</xdr:row>
      <xdr:rowOff>11580</xdr:rowOff>
    </xdr:from>
    <xdr:to>
      <xdr:col>6</xdr:col>
      <xdr:colOff>594478</xdr:colOff>
      <xdr:row>16</xdr:row>
      <xdr:rowOff>19237</xdr:rowOff>
    </xdr:to>
    <mc:AlternateContent xmlns:mc="http://schemas.openxmlformats.org/markup-compatibility/2006" xmlns:a14="http://schemas.microsoft.com/office/drawing/2010/main">
      <mc:Choice Requires="a14">
        <xdr:graphicFrame macro="">
          <xdr:nvGraphicFramePr>
            <xdr:cNvPr id="4" name="Days (Date) 1">
              <a:extLst>
                <a:ext uri="{FF2B5EF4-FFF2-40B4-BE49-F238E27FC236}">
                  <a16:creationId xmlns:a16="http://schemas.microsoft.com/office/drawing/2014/main" id="{2590505D-479D-2743-557F-3948F3AFD05E}"/>
                </a:ext>
              </a:extLst>
            </xdr:cNvPr>
            <xdr:cNvGraphicFramePr/>
          </xdr:nvGraphicFramePr>
          <xdr:xfrm>
            <a:off x="0" y="0"/>
            <a:ext cx="0" cy="0"/>
          </xdr:xfrm>
          <a:graphic>
            <a:graphicData uri="http://schemas.microsoft.com/office/drawing/2010/slicer">
              <sle:slicer xmlns:sle="http://schemas.microsoft.com/office/drawing/2010/slicer" name="Days (Date) 1"/>
            </a:graphicData>
          </a:graphic>
        </xdr:graphicFrame>
      </mc:Choice>
      <mc:Fallback xmlns="">
        <xdr:sp macro="" textlink="">
          <xdr:nvSpPr>
            <xdr:cNvPr id="0" name=""/>
            <xdr:cNvSpPr>
              <a:spLocks noTextEdit="1"/>
            </xdr:cNvSpPr>
          </xdr:nvSpPr>
          <xdr:spPr>
            <a:xfrm>
              <a:off x="3566465" y="385109"/>
              <a:ext cx="1831601" cy="262236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vi Naidoo" refreshedDate="46144.100815972219" createdVersion="8" refreshedVersion="8" minRefreshableVersion="3" recordCount="675" xr:uid="{7398F6C2-7EBF-461C-94ED-2316A6500C41}">
  <cacheSource type="worksheet">
    <worksheetSource name="Table1"/>
  </cacheSource>
  <cacheFields count="9">
    <cacheField name="#" numFmtId="0">
      <sharedItems containsBlank="1" count="52">
        <s v="ZEN102"/>
        <s v="ZEN119"/>
        <s v="ZEN122"/>
        <s v="DOL003"/>
        <s v="ZEN049"/>
        <s v="ZEN121"/>
        <s v="ZEN098"/>
        <s v="ZEN103"/>
        <s v="ZEN126"/>
        <s v="ZEN124"/>
        <s v="ZEN125"/>
        <s v="ZEN123"/>
        <s v="ZEN105"/>
        <s v="ZEN100"/>
        <s v="SAM001"/>
        <s v="ZEN129"/>
        <s v="ZEN130"/>
        <s v="ZEN127"/>
        <s v="ZEN108"/>
        <s v="ZEN118"/>
        <s v="ZEN133"/>
        <s v="ZEN088"/>
        <s v="ZEN117"/>
        <s v="ZEN114"/>
        <s v="ZEN136"/>
        <s v="ZEN138"/>
        <s v="SAM002"/>
        <s v="ZEN141"/>
        <s v="SAM003"/>
        <s v="ZEN116"/>
        <s v="ZEN142"/>
        <s v="ZEN143"/>
        <s v="ZEN144"/>
        <s v="ZEN128"/>
        <s v="ZEN146"/>
        <s v="ZEN149"/>
        <s v="ZEN148"/>
        <s v="ZEN137"/>
        <s v="ZEN140"/>
        <s v="KTS001"/>
        <s v="ZEN150"/>
        <s v="ZEN151"/>
        <s v="DDB000"/>
        <s v="ZEN152"/>
        <s v="ZEN104"/>
        <s v="ZEN130 &amp; 90"/>
        <s v="ZEN156"/>
        <s v="ZEN157"/>
        <s v="ZEN162"/>
        <s v="BBD004"/>
        <s v="GRI009"/>
        <m u="1"/>
      </sharedItems>
    </cacheField>
    <cacheField name="Candidate Number" numFmtId="0">
      <sharedItems containsMixedTypes="1" containsNumber="1" containsInteger="1" minValue="54" maxValue="5762"/>
    </cacheField>
    <cacheField name="Name" numFmtId="0">
      <sharedItems containsBlank="1"/>
    </cacheField>
    <cacheField name="Email Adress" numFmtId="0">
      <sharedItems/>
    </cacheField>
    <cacheField name="Date" numFmtId="14">
      <sharedItems containsSemiMixedTypes="0" containsNonDate="0" containsDate="1" containsString="0" minDate="2026-03-03T00:00:00" maxDate="2026-05-01T00:00:00" count="38">
        <d v="2026-03-03T00:00:00"/>
        <d v="2026-03-09T00:00:00"/>
        <d v="2026-03-10T00:00:00"/>
        <d v="2026-03-11T00:00:00"/>
        <d v="2026-03-12T00:00:00"/>
        <d v="2026-03-13T00:00:00"/>
        <d v="2026-03-16T00:00:00"/>
        <d v="2026-03-17T00:00:00"/>
        <d v="2026-03-18T00:00:00"/>
        <d v="2026-03-19T00:00:00"/>
        <d v="2026-03-20T00:00:00"/>
        <d v="2026-03-23T00:00:00"/>
        <d v="2026-03-24T00:00:00"/>
        <d v="2026-03-25T00:00:00"/>
        <d v="2026-03-26T00:00:00"/>
        <d v="2026-03-27T00:00:00"/>
        <d v="2026-03-30T00:00:00"/>
        <d v="2026-03-31T00:00:00"/>
        <d v="2026-04-01T00:00:00"/>
        <d v="2026-04-02T00:00:00"/>
        <d v="2026-04-07T00:00:00"/>
        <d v="2026-04-08T00:00:00"/>
        <d v="2026-04-09T00:00:00"/>
        <d v="2026-04-10T00:00:00"/>
        <d v="2026-04-13T00:00:00"/>
        <d v="2026-04-14T00:00:00"/>
        <d v="2026-04-15T00:00:00"/>
        <d v="2026-04-16T00:00:00"/>
        <d v="2026-04-17T00:00:00"/>
        <d v="2026-04-20T00:00:00"/>
        <d v="2026-04-21T00:00:00"/>
        <d v="2026-04-22T00:00:00"/>
        <d v="2026-04-23T00:00:00"/>
        <d v="2026-04-24T00:00:00"/>
        <d v="2026-04-28T00:00:00"/>
        <d v="2026-04-29T00:00:00"/>
        <d v="2026-04-30T00:00:00"/>
        <d v="2026-03-05T00:00:00" u="1"/>
      </sharedItems>
      <fieldGroup par="8"/>
    </cacheField>
    <cacheField name="DataBase or Not" numFmtId="0">
      <sharedItems count="2">
        <s v="New"/>
        <s v="On DDB"/>
      </sharedItems>
    </cacheField>
    <cacheField name="Status" numFmtId="0">
      <sharedItems containsBlank="1" count="11">
        <s v="04 - Submitted"/>
        <s v="01 - Email"/>
        <s v="02 - Not Interested"/>
        <s v="00 - No Response"/>
        <s v="03 - Screening call"/>
        <s v="01 - Phone call"/>
        <s v="00 - Headhunted"/>
        <s v="02 - Interested"/>
        <s v="05 - Interviews" u="1"/>
        <m u="1"/>
        <s v="02 - Not Interetsed" u="1"/>
      </sharedItems>
    </cacheField>
    <cacheField name="Comment" numFmtId="0">
      <sharedItems containsBlank="1" count="47">
        <m/>
        <s v="Contract is too short for candidate"/>
        <s v="Candidate wants R650 p/h starting which is over Budget"/>
        <s v="Candidate is currnetly on R780 per hour - Over Budget"/>
        <s v="Candidate wants R680 p/h which is over Budget"/>
        <s v="No answer to Email or Phone Call"/>
        <s v="Candidate does not want Hybrid work only remote"/>
        <s v="Candidate is not in SA And does not have legal documentation"/>
        <s v="Only interested In Permanent roles"/>
        <s v="Role Closed"/>
        <s v="She doesn’t have Oracle experience which is Mandatory"/>
        <s v="staying in Witbank at the moment and 3 days to Sandton might be inconvenient "/>
        <s v="Not suitable"/>
        <s v="he is looking for remote roles"/>
        <s v="he is unable to relocate"/>
        <s v="Candidate is overbudget and is only open to perm roles that are not work from office daily"/>
        <s v="Candidate only wants remote or Hybrod roles"/>
        <s v="Candidate is in Cape Town and is unable to relocate and is above budget on R1044 p/h"/>
        <s v="Candidate is in Cape Town and is unable to relocate"/>
        <s v="Phone again Thursday - 26 March 2026"/>
        <s v="Candidate is not in the market currently"/>
        <s v="Candidate is not wiling to relocate "/>
        <s v="Candidate is on R750 per hour which is over budget"/>
        <s v="Significantly below required experience (4 vs 7–10 years)"/>
        <s v="78% ⚠️ Borderline Submit"/>
        <s v="72% ⚠️ Borderline / Not Recommended"/>
        <s v="❌ Not Suitable"/>
        <s v="currently in Cape town"/>
        <s v="He has already been contacted by someone from Zensar and he looking for remote roles only"/>
        <s v="Candidate is on R650 p/h which is over budget"/>
        <s v="Already  been contacted by another vendor for the same role"/>
        <s v="Only Business analyst not Data Analyst"/>
        <s v="only wants  remote roles"/>
        <s v="Cant take a 6 Month contract"/>
        <s v="Has a Credit Dispute"/>
        <s v="081 761 0150"/>
        <s v="Not In the market"/>
        <s v="Looking perm roles only"/>
        <s v="no longer interested."/>
        <s v="Based in Capetown and will relocate if contract was longer"/>
        <s v="Candidate cannot relocate and looking for remote roles"/>
        <s v="Recently started a new role"/>
        <s v="Has limited exposure to mandatory requirements"/>
        <s v="Current rate - R850"/>
        <s v="Curre Rate R750"/>
        <s v="Looking for more senior role and does not want to work with Sambe Consulting"/>
        <s v="DOESNT WANT TO BE SUBMITED TO ZENSAR FOR ANY ROLES DUE TO PERSONAL REASONS."/>
      </sharedItems>
    </cacheField>
    <cacheField name="Days (Date)" numFmtId="0" databaseField="0">
      <fieldGroup base="4">
        <rangePr autoStart="0" autoEnd="0" groupBy="days" startDate="2026-01-05T00:00:00" endDate="2500-01-01T00:00:00" groupInterval="7"/>
        <groupItems count="24734">
          <s v="&lt;2026/01/05"/>
          <s v="2026/01/05 - 2026/01/11"/>
          <s v="2026/01/12 - 2026/01/18"/>
          <s v="2026/01/19 - 2026/01/25"/>
          <s v="2026/01/26 - 2026/02/01"/>
          <s v="2026/02/02 - 2026/02/08"/>
          <s v="2026/02/09 - 2026/02/15"/>
          <s v="2026/02/16 - 2026/02/22"/>
          <s v="2026/02/23 - 2026/03/01"/>
          <s v="2026/03/02 - 2026/03/08"/>
          <s v="2026/03/09 - 2026/03/15"/>
          <s v="2026/03/16 - 2026/03/22"/>
          <s v="2026/03/23 - 2026/03/29"/>
          <s v="2026/03/30 - 2026/04/05"/>
          <s v="2026/04/06 - 2026/04/12"/>
          <s v="2026/04/13 - 2026/04/19"/>
          <s v="2026/04/20 - 2026/04/26"/>
          <s v="2026/04/27 - 2026/05/03"/>
          <s v="2026/05/04 - 2026/05/10"/>
          <s v="2026/05/11 - 2026/05/17"/>
          <s v="2026/05/18 - 2026/05/24"/>
          <s v="2026/05/25 - 2026/05/31"/>
          <s v="2026/06/01 - 2026/06/07"/>
          <s v="2026/06/08 - 2026/06/14"/>
          <s v="2026/06/15 - 2026/06/21"/>
          <s v="2026/06/22 - 2026/06/28"/>
          <s v="2026/06/29 - 2026/07/05"/>
          <s v="2026/07/06 - 2026/07/12"/>
          <s v="2026/07/13 - 2026/07/19"/>
          <s v="2026/07/20 - 2026/07/26"/>
          <s v="2026/07/27 - 2026/08/02"/>
          <s v="2026/08/03 - 2026/08/09"/>
          <s v="2026/08/10 - 2026/08/16"/>
          <s v="2026/08/17 - 2026/08/23"/>
          <s v="2026/08/24 - 2026/08/30"/>
          <s v="2026/08/31 - 2026/09/06"/>
          <s v="2026/09/07 - 2026/09/13"/>
          <s v="2026/09/14 - 2026/09/20"/>
          <s v="2026/09/21 - 2026/09/27"/>
          <s v="2026/09/28 - 2026/10/04"/>
          <s v="2026/10/05 - 2026/10/11"/>
          <s v="2026/10/12 - 2026/10/18"/>
          <s v="2026/10/19 - 2026/10/25"/>
          <s v="2026/10/26 - 2026/11/01"/>
          <s v="2026/11/02 - 2026/11/08"/>
          <s v="2026/11/09 - 2026/11/15"/>
          <s v="2026/11/16 - 2026/11/22"/>
          <s v="2026/11/23 - 2026/11/29"/>
          <s v="2026/11/30 - 2026/12/06"/>
          <s v="2026/12/07 - 2026/12/13"/>
          <s v="2026/12/14 - 2026/12/20"/>
          <s v="2026/12/21 - 2026/12/27"/>
          <s v="2026/12/28 - 2027/01/03"/>
          <s v="2027/01/04 - 2027/01/10"/>
          <s v="2027/01/11 - 2027/01/17"/>
          <s v="2027/01/18 - 2027/01/24"/>
          <s v="2027/01/25 - 2027/01/31"/>
          <s v="2027/02/01 - 2027/02/07"/>
          <s v="2027/02/08 - 2027/02/14"/>
          <s v="2027/02/15 - 2027/02/21"/>
          <s v="2027/02/22 - 2027/02/28"/>
          <s v="2027/03/01 - 2027/03/07"/>
          <s v="2027/03/08 - 2027/03/14"/>
          <s v="2027/03/15 - 2027/03/21"/>
          <s v="2027/03/22 - 2027/03/28"/>
          <s v="2027/03/29 - 2027/04/04"/>
          <s v="2027/04/05 - 2027/04/11"/>
          <s v="2027/04/12 - 2027/04/18"/>
          <s v="2027/04/19 - 2027/04/25"/>
          <s v="2027/04/26 - 2027/05/02"/>
          <s v="2027/05/03 - 2027/05/09"/>
          <s v="2027/05/10 - 2027/05/16"/>
          <s v="2027/05/17 - 2027/05/23"/>
          <s v="2027/05/24 - 2027/05/30"/>
          <s v="2027/05/31 - 2027/06/06"/>
          <s v="2027/06/07 - 2027/06/13"/>
          <s v="2027/06/14 - 2027/06/20"/>
          <s v="2027/06/21 - 2027/06/27"/>
          <s v="2027/06/28 - 2027/07/04"/>
          <s v="2027/07/05 - 2027/07/11"/>
          <s v="2027/07/12 - 2027/07/18"/>
          <s v="2027/07/19 - 2027/07/25"/>
          <s v="2027/07/26 - 2027/08/01"/>
          <s v="2027/08/02 - 2027/08/08"/>
          <s v="2027/08/09 - 2027/08/15"/>
          <s v="2027/08/16 - 2027/08/22"/>
          <s v="2027/08/23 - 2027/08/29"/>
          <s v="2027/08/30 - 2027/09/05"/>
          <s v="2027/09/06 - 2027/09/12"/>
          <s v="2027/09/13 - 2027/09/19"/>
          <s v="2027/09/20 - 2027/09/26"/>
          <s v="2027/09/27 - 2027/10/03"/>
          <s v="2027/10/04 - 2027/10/10"/>
          <s v="2027/10/11 - 2027/10/17"/>
          <s v="2027/10/18 - 2027/10/24"/>
          <s v="2027/10/25 - 2027/10/31"/>
          <s v="2027/11/01 - 2027/11/07"/>
          <s v="2027/11/08 - 2027/11/14"/>
          <s v="2027/11/15 - 2027/11/21"/>
          <s v="2027/11/22 - 2027/11/28"/>
          <s v="2027/11/29 - 2027/12/05"/>
          <s v="2027/12/06 - 2027/12/12"/>
          <s v="2027/12/13 - 2027/12/19"/>
          <s v="2027/12/20 - 2027/12/26"/>
          <s v="2027/12/27 - 2028/01/02"/>
          <s v="2028/01/03 - 2028/01/09"/>
          <s v="2028/01/10 - 2028/01/16"/>
          <s v="2028/01/17 - 2028/01/23"/>
          <s v="2028/01/24 - 2028/01/30"/>
          <s v="2028/01/31 - 2028/02/06"/>
          <s v="2028/02/07 - 2028/02/13"/>
          <s v="2028/02/14 - 2028/02/20"/>
          <s v="2028/02/21 - 2028/02/27"/>
          <s v="2028/02/28 - 2028/03/05"/>
          <s v="2028/03/06 - 2028/03/12"/>
          <s v="2028/03/13 - 2028/03/19"/>
          <s v="2028/03/20 - 2028/03/26"/>
          <s v="2028/03/27 - 2028/04/02"/>
          <s v="2028/04/03 - 2028/04/09"/>
          <s v="2028/04/10 - 2028/04/16"/>
          <s v="2028/04/17 - 2028/04/23"/>
          <s v="2028/04/24 - 2028/04/30"/>
          <s v="2028/05/01 - 2028/05/07"/>
          <s v="2028/05/08 - 2028/05/14"/>
          <s v="2028/05/15 - 2028/05/21"/>
          <s v="2028/05/22 - 2028/05/28"/>
          <s v="2028/05/29 - 2028/06/04"/>
          <s v="2028/06/05 - 2028/06/11"/>
          <s v="2028/06/12 - 2028/06/18"/>
          <s v="2028/06/19 - 2028/06/25"/>
          <s v="2028/06/26 - 2028/07/02"/>
          <s v="2028/07/03 - 2028/07/09"/>
          <s v="2028/07/10 - 2028/07/16"/>
          <s v="2028/07/17 - 2028/07/23"/>
          <s v="2028/07/24 - 2028/07/30"/>
          <s v="2028/07/31 - 2028/08/06"/>
          <s v="2028/08/07 - 2028/08/13"/>
          <s v="2028/08/14 - 2028/08/20"/>
          <s v="2028/08/21 - 2028/08/27"/>
          <s v="2028/08/28 - 2028/09/03"/>
          <s v="2028/09/04 - 2028/09/10"/>
          <s v="2028/09/11 - 2028/09/17"/>
          <s v="2028/09/18 - 2028/09/24"/>
          <s v="2028/09/25 - 2028/10/01"/>
          <s v="2028/10/02 - 2028/10/08"/>
          <s v="2028/10/09 - 2028/10/15"/>
          <s v="2028/10/16 - 2028/10/22"/>
          <s v="2028/10/23 - 2028/10/29"/>
          <s v="2028/10/30 - 2028/11/05"/>
          <s v="2028/11/06 - 2028/11/12"/>
          <s v="2028/11/13 - 2028/11/19"/>
          <s v="2028/11/20 - 2028/11/26"/>
          <s v="2028/11/27 - 2028/12/03"/>
          <s v="2028/12/04 - 2028/12/10"/>
          <s v="2028/12/11 - 2028/12/17"/>
          <s v="2028/12/18 - 2028/12/24"/>
          <s v="2028/12/25 - 2028/12/31"/>
          <s v="2029/01/01 - 2029/01/07"/>
          <s v="2029/01/08 - 2029/01/14"/>
          <s v="2029/01/15 - 2029/01/21"/>
          <s v="2029/01/22 - 2029/01/28"/>
          <s v="2029/01/29 - 2029/02/04"/>
          <s v="2029/02/05 - 2029/02/11"/>
          <s v="2029/02/12 - 2029/02/18"/>
          <s v="2029/02/19 - 2029/02/25"/>
          <s v="2029/02/26 - 2029/03/04"/>
          <s v="2029/03/05 - 2029/03/11"/>
          <s v="2029/03/12 - 2029/03/18"/>
          <s v="2029/03/19 - 2029/03/25"/>
          <s v="2029/03/26 - 2029/04/01"/>
          <s v="2029/04/02 - 2029/04/08"/>
          <s v="2029/04/09 - 2029/04/15"/>
          <s v="2029/04/16 - 2029/04/22"/>
          <s v="2029/04/23 - 2029/04/29"/>
          <s v="2029/04/30 - 2029/05/06"/>
          <s v="2029/05/07 - 2029/05/13"/>
          <s v="2029/05/14 - 2029/05/20"/>
          <s v="2029/05/21 - 2029/05/27"/>
          <s v="2029/05/28 - 2029/06/03"/>
          <s v="2029/06/04 - 2029/06/10"/>
          <s v="2029/06/11 - 2029/06/17"/>
          <s v="2029/06/18 - 2029/06/24"/>
          <s v="2029/06/25 - 2029/07/01"/>
          <s v="2029/07/02 - 2029/07/08"/>
          <s v="2029/07/09 - 2029/07/15"/>
          <s v="2029/07/16 - 2029/07/22"/>
          <s v="2029/07/23 - 2029/07/29"/>
          <s v="2029/07/30 - 2029/08/05"/>
          <s v="2029/08/06 - 2029/08/12"/>
          <s v="2029/08/13 - 2029/08/19"/>
          <s v="2029/08/20 - 2029/08/26"/>
          <s v="2029/08/27 - 2029/09/02"/>
          <s v="2029/09/03 - 2029/09/09"/>
          <s v="2029/09/10 - 2029/09/16"/>
          <s v="2029/09/17 - 2029/09/23"/>
          <s v="2029/09/24 - 2029/09/30"/>
          <s v="2029/10/01 - 2029/10/07"/>
          <s v="2029/10/08 - 2029/10/14"/>
          <s v="2029/10/15 - 2029/10/21"/>
          <s v="2029/10/22 - 2029/10/28"/>
          <s v="2029/10/29 - 2029/11/04"/>
          <s v="2029/11/05 - 2029/11/11"/>
          <s v="2029/11/12 - 2029/11/18"/>
          <s v="2029/11/19 - 2029/11/25"/>
          <s v="2029/11/26 - 2029/12/02"/>
          <s v="2029/12/03 - 2029/12/09"/>
          <s v="2029/12/10 - 2029/12/16"/>
          <s v="2029/12/17 - 2029/12/23"/>
          <s v="2029/12/24 - 2029/12/30"/>
          <s v="2029/12/31 - 2030/01/06"/>
          <s v="2030/01/07 - 2030/01/13"/>
          <s v="2030/01/14 - 2030/01/20"/>
          <s v="2030/01/21 - 2030/01/27"/>
          <s v="2030/01/28 - 2030/02/03"/>
          <s v="2030/02/04 - 2030/02/10"/>
          <s v="2030/02/11 - 2030/02/17"/>
          <s v="2030/02/18 - 2030/02/24"/>
          <s v="2030/02/25 - 2030/03/03"/>
          <s v="2030/03/04 - 2030/03/10"/>
          <s v="2030/03/11 - 2030/03/17"/>
          <s v="2030/03/18 - 2030/03/24"/>
          <s v="2030/03/25 - 2030/03/31"/>
          <s v="2030/04/01 - 2030/04/07"/>
          <s v="2030/04/08 - 2030/04/14"/>
          <s v="2030/04/15 - 2030/04/21"/>
          <s v="2030/04/22 - 2030/04/28"/>
          <s v="2030/04/29 - 2030/05/05"/>
          <s v="2030/05/06 - 2030/05/12"/>
          <s v="2030/05/13 - 2030/05/19"/>
          <s v="2030/05/20 - 2030/05/26"/>
          <s v="2030/05/27 - 2030/06/02"/>
          <s v="2030/06/03 - 2030/06/09"/>
          <s v="2030/06/10 - 2030/06/16"/>
          <s v="2030/06/17 - 2030/06/23"/>
          <s v="2030/06/24 - 2030/06/30"/>
          <s v="2030/07/01 - 2030/07/07"/>
          <s v="2030/07/08 - 2030/07/14"/>
          <s v="2030/07/15 - 2030/07/21"/>
          <s v="2030/07/22 - 2030/07/28"/>
          <s v="2030/07/29 - 2030/08/04"/>
          <s v="2030/08/05 - 2030/08/11"/>
          <s v="2030/08/12 - 2030/08/18"/>
          <s v="2030/08/19 - 2030/08/25"/>
          <s v="2030/08/26 - 2030/09/01"/>
          <s v="2030/09/02 - 2030/09/08"/>
          <s v="2030/09/09 - 2030/09/15"/>
          <s v="2030/09/16 - 2030/09/22"/>
          <s v="2030/09/23 - 2030/09/29"/>
          <s v="2030/09/30 - 2030/10/06"/>
          <s v="2030/10/07 - 2030/10/13"/>
          <s v="2030/10/14 - 2030/10/20"/>
          <s v="2030/10/21 - 2030/10/27"/>
          <s v="2030/10/28 - 2030/11/03"/>
          <s v="2030/11/04 - 2030/11/10"/>
          <s v="2030/11/11 - 2030/11/17"/>
          <s v="2030/11/18 - 2030/11/24"/>
          <s v="2030/11/25 - 2030/12/01"/>
          <s v="2030/12/02 - 2030/12/08"/>
          <s v="2030/12/09 - 2030/12/15"/>
          <s v="2030/12/16 - 2030/12/22"/>
          <s v="2030/12/23 - 2030/12/29"/>
          <s v="2030/12/30 - 2031/01/05"/>
          <s v="2031/01/06 - 2031/01/12"/>
          <s v="2031/01/13 - 2031/01/19"/>
          <s v="2031/01/20 - 2031/01/26"/>
          <s v="2031/01/27 - 2031/02/02"/>
          <s v="2031/02/03 - 2031/02/09"/>
          <s v="2031/02/10 - 2031/02/16"/>
          <s v="2031/02/17 - 2031/02/23"/>
          <s v="2031/02/24 - 2031/03/02"/>
          <s v="2031/03/03 - 2031/03/09"/>
          <s v="2031/03/10 - 2031/03/16"/>
          <s v="2031/03/17 - 2031/03/23"/>
          <s v="2031/03/24 - 2031/03/30"/>
          <s v="2031/03/31 - 2031/04/06"/>
          <s v="2031/04/07 - 2031/04/13"/>
          <s v="2031/04/14 - 2031/04/20"/>
          <s v="2031/04/21 - 2031/04/27"/>
          <s v="2031/04/28 - 2031/05/04"/>
          <s v="2031/05/05 - 2031/05/11"/>
          <s v="2031/05/12 - 2031/05/18"/>
          <s v="2031/05/19 - 2031/05/25"/>
          <s v="2031/05/26 - 2031/06/01"/>
          <s v="2031/06/02 - 2031/06/08"/>
          <s v="2031/06/09 - 2031/06/15"/>
          <s v="2031/06/16 - 2031/06/22"/>
          <s v="2031/06/23 - 2031/06/29"/>
          <s v="2031/06/30 - 2031/07/06"/>
          <s v="2031/07/07 - 2031/07/13"/>
          <s v="2031/07/14 - 2031/07/20"/>
          <s v="2031/07/21 - 2031/07/27"/>
          <s v="2031/07/28 - 2031/08/03"/>
          <s v="2031/08/04 - 2031/08/10"/>
          <s v="2031/08/11 - 2031/08/17"/>
          <s v="2031/08/18 - 2031/08/24"/>
          <s v="2031/08/25 - 2031/08/31"/>
          <s v="2031/09/01 - 2031/09/07"/>
          <s v="2031/09/08 - 2031/09/14"/>
          <s v="2031/09/15 - 2031/09/21"/>
          <s v="2031/09/22 - 2031/09/28"/>
          <s v="2031/09/29 - 2031/10/05"/>
          <s v="2031/10/06 - 2031/10/12"/>
          <s v="2031/10/13 - 2031/10/19"/>
          <s v="2031/10/20 - 2031/10/26"/>
          <s v="2031/10/27 - 2031/11/02"/>
          <s v="2031/11/03 - 2031/11/09"/>
          <s v="2031/11/10 - 2031/11/16"/>
          <s v="2031/11/17 - 2031/11/23"/>
          <s v="2031/11/24 - 2031/11/30"/>
          <s v="2031/12/01 - 2031/12/07"/>
          <s v="2031/12/08 - 2031/12/14"/>
          <s v="2031/12/15 - 2031/12/21"/>
          <s v="2031/12/22 - 2031/12/28"/>
          <s v="2031/12/29 - 2032/01/04"/>
          <s v="2032/01/05 - 2032/01/11"/>
          <s v="2032/01/12 - 2032/01/18"/>
          <s v="2032/01/19 - 2032/01/25"/>
          <s v="2032/01/26 - 2032/02/01"/>
          <s v="2032/02/02 - 2032/02/08"/>
          <s v="2032/02/09 - 2032/02/15"/>
          <s v="2032/02/16 - 2032/02/22"/>
          <s v="2032/02/23 - 2032/02/29"/>
          <s v="2032/03/01 - 2032/03/07"/>
          <s v="2032/03/08 - 2032/03/14"/>
          <s v="2032/03/15 - 2032/03/21"/>
          <s v="2032/03/22 - 2032/03/28"/>
          <s v="2032/03/29 - 2032/04/04"/>
          <s v="2032/04/05 - 2032/04/11"/>
          <s v="2032/04/12 - 2032/04/18"/>
          <s v="2032/04/19 - 2032/04/25"/>
          <s v="2032/04/26 - 2032/05/02"/>
          <s v="2032/05/03 - 2032/05/09"/>
          <s v="2032/05/10 - 2032/05/16"/>
          <s v="2032/05/17 - 2032/05/23"/>
          <s v="2032/05/24 - 2032/05/30"/>
          <s v="2032/05/31 - 2032/06/06"/>
          <s v="2032/06/07 - 2032/06/13"/>
          <s v="2032/06/14 - 2032/06/20"/>
          <s v="2032/06/21 - 2032/06/27"/>
          <s v="2032/06/28 - 2032/07/04"/>
          <s v="2032/07/05 - 2032/07/11"/>
          <s v="2032/07/12 - 2032/07/18"/>
          <s v="2032/07/19 - 2032/07/25"/>
          <s v="2032/07/26 - 2032/08/01"/>
          <s v="2032/08/02 - 2032/08/08"/>
          <s v="2032/08/09 - 2032/08/15"/>
          <s v="2032/08/16 - 2032/08/22"/>
          <s v="2032/08/23 - 2032/08/29"/>
          <s v="2032/08/30 - 2032/09/05"/>
          <s v="2032/09/06 - 2032/09/12"/>
          <s v="2032/09/13 - 2032/09/19"/>
          <s v="2032/09/20 - 2032/09/26"/>
          <s v="2032/09/27 - 2032/10/03"/>
          <s v="2032/10/04 - 2032/10/10"/>
          <s v="2032/10/11 - 2032/10/17"/>
          <s v="2032/10/18 - 2032/10/24"/>
          <s v="2032/10/25 - 2032/10/31"/>
          <s v="2032/11/01 - 2032/11/07"/>
          <s v="2032/11/08 - 2032/11/14"/>
          <s v="2032/11/15 - 2032/11/21"/>
          <s v="2032/11/22 - 2032/11/28"/>
          <s v="2032/11/29 - 2032/12/05"/>
          <s v="2032/12/06 - 2032/12/12"/>
          <s v="2032/12/13 - 2032/12/19"/>
          <s v="2032/12/20 - 2032/12/26"/>
          <s v="2032/12/27 - 2033/01/02"/>
          <s v="2033/01/03 - 2033/01/09"/>
          <s v="2033/01/10 - 2033/01/16"/>
          <s v="2033/01/17 - 2033/01/23"/>
          <s v="2033/01/24 - 2033/01/30"/>
          <s v="2033/01/31 - 2033/02/06"/>
          <s v="2033/02/07 - 2033/02/13"/>
          <s v="2033/02/14 - 2033/02/20"/>
          <s v="2033/02/21 - 2033/02/27"/>
          <s v="2033/02/28 - 2033/03/06"/>
          <s v="2033/03/07 - 2033/03/13"/>
          <s v="2033/03/14 - 2033/03/20"/>
          <s v="2033/03/21 - 2033/03/27"/>
          <s v="2033/03/28 - 2033/04/03"/>
          <s v="2033/04/04 - 2033/04/10"/>
          <s v="2033/04/11 - 2033/04/17"/>
          <s v="2033/04/18 - 2033/04/24"/>
          <s v="2033/04/25 - 2033/05/01"/>
          <s v="2033/05/02 - 2033/05/08"/>
          <s v="2033/05/09 - 2033/05/15"/>
          <s v="2033/05/16 - 2033/05/22"/>
          <s v="2033/05/23 - 2033/05/29"/>
          <s v="2033/05/30 - 2033/06/05"/>
          <s v="2033/06/06 - 2033/06/12"/>
          <s v="2033/06/13 - 2033/06/19"/>
          <s v="2033/06/20 - 2033/06/26"/>
          <s v="2033/06/27 - 2033/07/03"/>
          <s v="2033/07/04 - 2033/07/10"/>
          <s v="2033/07/11 - 2033/07/17"/>
          <s v="2033/07/18 - 2033/07/24"/>
          <s v="2033/07/25 - 2033/07/31"/>
          <s v="2033/08/01 - 2033/08/07"/>
          <s v="2033/08/08 - 2033/08/14"/>
          <s v="2033/08/15 - 2033/08/21"/>
          <s v="2033/08/22 - 2033/08/28"/>
          <s v="2033/08/29 - 2033/09/04"/>
          <s v="2033/09/05 - 2033/09/11"/>
          <s v="2033/09/12 - 2033/09/18"/>
          <s v="2033/09/19 - 2033/09/25"/>
          <s v="2033/09/26 - 2033/10/02"/>
          <s v="2033/10/03 - 2033/10/09"/>
          <s v="2033/10/10 - 2033/10/16"/>
          <s v="2033/10/17 - 2033/10/23"/>
          <s v="2033/10/24 - 2033/10/30"/>
          <s v="2033/10/31 - 2033/11/06"/>
          <s v="2033/11/07 - 2033/11/13"/>
          <s v="2033/11/14 - 2033/11/20"/>
          <s v="2033/11/21 - 2033/11/27"/>
          <s v="2033/11/28 - 2033/12/04"/>
          <s v="2033/12/05 - 2033/12/11"/>
          <s v="2033/12/12 - 2033/12/18"/>
          <s v="2033/12/19 - 2033/12/25"/>
          <s v="2033/12/26 - 2034/01/01"/>
          <s v="2034/01/02 - 2034/01/08"/>
          <s v="2034/01/09 - 2034/01/15"/>
          <s v="2034/01/16 - 2034/01/22"/>
          <s v="2034/01/23 - 2034/01/29"/>
          <s v="2034/01/30 - 2034/02/05"/>
          <s v="2034/02/06 - 2034/02/12"/>
          <s v="2034/02/13 - 2034/02/19"/>
          <s v="2034/02/20 - 2034/02/26"/>
          <s v="2034/02/27 - 2034/03/05"/>
          <s v="2034/03/06 - 2034/03/12"/>
          <s v="2034/03/13 - 2034/03/19"/>
          <s v="2034/03/20 - 2034/03/26"/>
          <s v="2034/03/27 - 2034/04/02"/>
          <s v="2034/04/03 - 2034/04/09"/>
          <s v="2034/04/10 - 2034/04/16"/>
          <s v="2034/04/17 - 2034/04/23"/>
          <s v="2034/04/24 - 2034/04/30"/>
          <s v="2034/05/01 - 2034/05/07"/>
          <s v="2034/05/08 - 2034/05/14"/>
          <s v="2034/05/15 - 2034/05/21"/>
          <s v="2034/05/22 - 2034/05/28"/>
          <s v="2034/05/29 - 2034/06/04"/>
          <s v="2034/06/05 - 2034/06/11"/>
          <s v="2034/06/12 - 2034/06/18"/>
          <s v="2034/06/19 - 2034/06/25"/>
          <s v="2034/06/26 - 2034/07/02"/>
          <s v="2034/07/03 - 2034/07/09"/>
          <s v="2034/07/10 - 2034/07/16"/>
          <s v="2034/07/17 - 2034/07/23"/>
          <s v="2034/07/24 - 2034/07/30"/>
          <s v="2034/07/31 - 2034/08/06"/>
          <s v="2034/08/07 - 2034/08/13"/>
          <s v="2034/08/14 - 2034/08/20"/>
          <s v="2034/08/21 - 2034/08/27"/>
          <s v="2034/08/28 - 2034/09/03"/>
          <s v="2034/09/04 - 2034/09/10"/>
          <s v="2034/09/11 - 2034/09/17"/>
          <s v="2034/09/18 - 2034/09/24"/>
          <s v="2034/09/25 - 2034/10/01"/>
          <s v="2034/10/02 - 2034/10/08"/>
          <s v="2034/10/09 - 2034/10/15"/>
          <s v="2034/10/16 - 2034/10/22"/>
          <s v="2034/10/23 - 2034/10/29"/>
          <s v="2034/10/30 - 2034/11/05"/>
          <s v="2034/11/06 - 2034/11/12"/>
          <s v="2034/11/13 - 2034/11/19"/>
          <s v="2034/11/20 - 2034/11/26"/>
          <s v="2034/11/27 - 2034/12/03"/>
          <s v="2034/12/04 - 2034/12/10"/>
          <s v="2034/12/11 - 2034/12/17"/>
          <s v="2034/12/18 - 2034/12/24"/>
          <s v="2034/12/25 - 2034/12/31"/>
          <s v="2035/01/01 - 2035/01/07"/>
          <s v="2035/01/08 - 2035/01/14"/>
          <s v="2035/01/15 - 2035/01/21"/>
          <s v="2035/01/22 - 2035/01/28"/>
          <s v="2035/01/29 - 2035/02/04"/>
          <s v="2035/02/05 - 2035/02/11"/>
          <s v="2035/02/12 - 2035/02/18"/>
          <s v="2035/02/19 - 2035/02/25"/>
          <s v="2035/02/26 - 2035/03/04"/>
          <s v="2035/03/05 - 2035/03/11"/>
          <s v="2035/03/12 - 2035/03/18"/>
          <s v="2035/03/19 - 2035/03/25"/>
          <s v="2035/03/26 - 2035/04/01"/>
          <s v="2035/04/02 - 2035/04/08"/>
          <s v="2035/04/09 - 2035/04/15"/>
          <s v="2035/04/16 - 2035/04/22"/>
          <s v="2035/04/23 - 2035/04/29"/>
          <s v="2035/04/30 - 2035/05/06"/>
          <s v="2035/05/07 - 2035/05/13"/>
          <s v="2035/05/14 - 2035/05/20"/>
          <s v="2035/05/21 - 2035/05/27"/>
          <s v="2035/05/28 - 2035/06/03"/>
          <s v="2035/06/04 - 2035/06/10"/>
          <s v="2035/06/11 - 2035/06/17"/>
          <s v="2035/06/18 - 2035/06/24"/>
          <s v="2035/06/25 - 2035/07/01"/>
          <s v="2035/07/02 - 2035/07/08"/>
          <s v="2035/07/09 - 2035/07/15"/>
          <s v="2035/07/16 - 2035/07/22"/>
          <s v="2035/07/23 - 2035/07/29"/>
          <s v="2035/07/30 - 2035/08/05"/>
          <s v="2035/08/06 - 2035/08/12"/>
          <s v="2035/08/13 - 2035/08/19"/>
          <s v="2035/08/20 - 2035/08/26"/>
          <s v="2035/08/27 - 2035/09/02"/>
          <s v="2035/09/03 - 2035/09/09"/>
          <s v="2035/09/10 - 2035/09/16"/>
          <s v="2035/09/17 - 2035/09/23"/>
          <s v="2035/09/24 - 2035/09/30"/>
          <s v="2035/10/01 - 2035/10/07"/>
          <s v="2035/10/08 - 2035/10/14"/>
          <s v="2035/10/15 - 2035/10/21"/>
          <s v="2035/10/22 - 2035/10/28"/>
          <s v="2035/10/29 - 2035/11/04"/>
          <s v="2035/11/05 - 2035/11/11"/>
          <s v="2035/11/12 - 2035/11/18"/>
          <s v="2035/11/19 - 2035/11/25"/>
          <s v="2035/11/26 - 2035/12/02"/>
          <s v="2035/12/03 - 2035/12/09"/>
          <s v="2035/12/10 - 2035/12/16"/>
          <s v="2035/12/17 - 2035/12/23"/>
          <s v="2035/12/24 - 2035/12/30"/>
          <s v="2035/12/31 - 2036/01/06"/>
          <s v="2036/01/07 - 2036/01/13"/>
          <s v="2036/01/14 - 2036/01/20"/>
          <s v="2036/01/21 - 2036/01/27"/>
          <s v="2036/01/28 - 2036/02/03"/>
          <s v="2036/02/04 - 2036/02/10"/>
          <s v="2036/02/11 - 2036/02/17"/>
          <s v="2036/02/18 - 2036/02/24"/>
          <s v="2036/02/25 - 2036/03/02"/>
          <s v="2036/03/03 - 2036/03/09"/>
          <s v="2036/03/10 - 2036/03/16"/>
          <s v="2036/03/17 - 2036/03/23"/>
          <s v="2036/03/24 - 2036/03/30"/>
          <s v="2036/03/31 - 2036/04/06"/>
          <s v="2036/04/07 - 2036/04/13"/>
          <s v="2036/04/14 - 2036/04/20"/>
          <s v="2036/04/21 - 2036/04/27"/>
          <s v="2036/04/28 - 2036/05/04"/>
          <s v="2036/05/05 - 2036/05/11"/>
          <s v="2036/05/12 - 2036/05/18"/>
          <s v="2036/05/19 - 2036/05/25"/>
          <s v="2036/05/26 - 2036/06/01"/>
          <s v="2036/06/02 - 2036/06/08"/>
          <s v="2036/06/09 - 2036/06/15"/>
          <s v="2036/06/16 - 2036/06/22"/>
          <s v="2036/06/23 - 2036/06/29"/>
          <s v="2036/06/30 - 2036/07/06"/>
          <s v="2036/07/07 - 2036/07/13"/>
          <s v="2036/07/14 - 2036/07/20"/>
          <s v="2036/07/21 - 2036/07/27"/>
          <s v="2036/07/28 - 2036/08/03"/>
          <s v="2036/08/04 - 2036/08/10"/>
          <s v="2036/08/11 - 2036/08/17"/>
          <s v="2036/08/18 - 2036/08/24"/>
          <s v="2036/08/25 - 2036/08/31"/>
          <s v="2036/09/01 - 2036/09/07"/>
          <s v="2036/09/08 - 2036/09/14"/>
          <s v="2036/09/15 - 2036/09/21"/>
          <s v="2036/09/22 - 2036/09/28"/>
          <s v="2036/09/29 - 2036/10/05"/>
          <s v="2036/10/06 - 2036/10/12"/>
          <s v="2036/10/13 - 2036/10/19"/>
          <s v="2036/10/20 - 2036/10/26"/>
          <s v="2036/10/27 - 2036/11/02"/>
          <s v="2036/11/03 - 2036/11/09"/>
          <s v="2036/11/10 - 2036/11/16"/>
          <s v="2036/11/17 - 2036/11/23"/>
          <s v="2036/11/24 - 2036/11/30"/>
          <s v="2036/12/01 - 2036/12/07"/>
          <s v="2036/12/08 - 2036/12/14"/>
          <s v="2036/12/15 - 2036/12/21"/>
          <s v="2036/12/22 - 2036/12/28"/>
          <s v="2036/12/29 - 2037/01/04"/>
          <s v="2037/01/05 - 2037/01/11"/>
          <s v="2037/01/12 - 2037/01/18"/>
          <s v="2037/01/19 - 2037/01/25"/>
          <s v="2037/01/26 - 2037/02/01"/>
          <s v="2037/02/02 - 2037/02/08"/>
          <s v="2037/02/09 - 2037/02/15"/>
          <s v="2037/02/16 - 2037/02/22"/>
          <s v="2037/02/23 - 2037/03/01"/>
          <s v="2037/03/02 - 2037/03/08"/>
          <s v="2037/03/09 - 2037/03/15"/>
          <s v="2037/03/16 - 2037/03/22"/>
          <s v="2037/03/23 - 2037/03/29"/>
          <s v="2037/03/30 - 2037/04/05"/>
          <s v="2037/04/06 - 2037/04/12"/>
          <s v="2037/04/13 - 2037/04/19"/>
          <s v="2037/04/20 - 2037/04/26"/>
          <s v="2037/04/27 - 2037/05/03"/>
          <s v="2037/05/04 - 2037/05/10"/>
          <s v="2037/05/11 - 2037/05/17"/>
          <s v="2037/05/18 - 2037/05/24"/>
          <s v="2037/05/25 - 2037/05/31"/>
          <s v="2037/06/01 - 2037/06/07"/>
          <s v="2037/06/08 - 2037/06/14"/>
          <s v="2037/06/15 - 2037/06/21"/>
          <s v="2037/06/22 - 2037/06/28"/>
          <s v="2037/06/29 - 2037/07/05"/>
          <s v="2037/07/06 - 2037/07/12"/>
          <s v="2037/07/13 - 2037/07/19"/>
          <s v="2037/07/20 - 2037/07/26"/>
          <s v="2037/07/27 - 2037/08/02"/>
          <s v="2037/08/03 - 2037/08/09"/>
          <s v="2037/08/10 - 2037/08/16"/>
          <s v="2037/08/17 - 2037/08/23"/>
          <s v="2037/08/24 - 2037/08/30"/>
          <s v="2037/08/31 - 2037/09/06"/>
          <s v="2037/09/07 - 2037/09/13"/>
          <s v="2037/09/14 - 2037/09/20"/>
          <s v="2037/09/21 - 2037/09/27"/>
          <s v="2037/09/28 - 2037/10/04"/>
          <s v="2037/10/05 - 2037/10/11"/>
          <s v="2037/10/12 - 2037/10/18"/>
          <s v="2037/10/19 - 2037/10/25"/>
          <s v="2037/10/26 - 2037/11/01"/>
          <s v="2037/11/02 - 2037/11/08"/>
          <s v="2037/11/09 - 2037/11/15"/>
          <s v="2037/11/16 - 2037/11/22"/>
          <s v="2037/11/23 - 2037/11/29"/>
          <s v="2037/11/30 - 2037/12/06"/>
          <s v="2037/12/07 - 2037/12/13"/>
          <s v="2037/12/14 - 2037/12/20"/>
          <s v="2037/12/21 - 2037/12/27"/>
          <s v="2037/12/28 - 2038/01/03"/>
          <s v="2038/01/04 - 2038/01/10"/>
          <s v="2038/01/11 - 2038/01/17"/>
          <s v="2038/01/18 - 2038/01/24"/>
          <s v="2038/01/25 - 2038/01/31"/>
          <s v="2038/02/01 - 2038/02/07"/>
          <s v="2038/02/08 - 2038/02/14"/>
          <s v="2038/02/15 - 2038/02/21"/>
          <s v="2038/02/22 - 2038/02/28"/>
          <s v="2038/03/01 - 2038/03/07"/>
          <s v="2038/03/08 - 2038/03/14"/>
          <s v="2038/03/15 - 2038/03/21"/>
          <s v="2038/03/22 - 2038/03/28"/>
          <s v="2038/03/29 - 2038/04/04"/>
          <s v="2038/04/05 - 2038/04/11"/>
          <s v="2038/04/12 - 2038/04/18"/>
          <s v="2038/04/19 - 2038/04/25"/>
          <s v="2038/04/26 - 2038/05/02"/>
          <s v="2038/05/03 - 2038/05/09"/>
          <s v="2038/05/10 - 2038/05/16"/>
          <s v="2038/05/17 - 2038/05/23"/>
          <s v="2038/05/24 - 2038/05/30"/>
          <s v="2038/05/31 - 2038/06/06"/>
          <s v="2038/06/07 - 2038/06/13"/>
          <s v="2038/06/14 - 2038/06/20"/>
          <s v="2038/06/21 - 2038/06/27"/>
          <s v="2038/06/28 - 2038/07/04"/>
          <s v="2038/07/05 - 2038/07/11"/>
          <s v="2038/07/12 - 2038/07/18"/>
          <s v="2038/07/19 - 2038/07/25"/>
          <s v="2038/07/26 - 2038/08/01"/>
          <s v="2038/08/02 - 2038/08/08"/>
          <s v="2038/08/09 - 2038/08/15"/>
          <s v="2038/08/16 - 2038/08/22"/>
          <s v="2038/08/23 - 2038/08/29"/>
          <s v="2038/08/30 - 2038/09/05"/>
          <s v="2038/09/06 - 2038/09/12"/>
          <s v="2038/09/13 - 2038/09/19"/>
          <s v="2038/09/20 - 2038/09/26"/>
          <s v="2038/09/27 - 2038/10/03"/>
          <s v="2038/10/04 - 2038/10/10"/>
          <s v="2038/10/11 - 2038/10/17"/>
          <s v="2038/10/18 - 2038/10/24"/>
          <s v="2038/10/25 - 2038/10/31"/>
          <s v="2038/11/01 - 2038/11/07"/>
          <s v="2038/11/08 - 2038/11/14"/>
          <s v="2038/11/15 - 2038/11/21"/>
          <s v="2038/11/22 - 2038/11/28"/>
          <s v="2038/11/29 - 2038/12/05"/>
          <s v="2038/12/06 - 2038/12/12"/>
          <s v="2038/12/13 - 2038/12/19"/>
          <s v="2038/12/20 - 2038/12/26"/>
          <s v="2038/12/27 - 2039/01/02"/>
          <s v="2039/01/03 - 2039/01/09"/>
          <s v="2039/01/10 - 2039/01/16"/>
          <s v="2039/01/17 - 2039/01/23"/>
          <s v="2039/01/24 - 2039/01/30"/>
          <s v="2039/01/31 - 2039/02/06"/>
          <s v="2039/02/07 - 2039/02/13"/>
          <s v="2039/02/14 - 2039/02/20"/>
          <s v="2039/02/21 - 2039/02/27"/>
          <s v="2039/02/28 - 2039/03/06"/>
          <s v="2039/03/07 - 2039/03/13"/>
          <s v="2039/03/14 - 2039/03/20"/>
          <s v="2039/03/21 - 2039/03/27"/>
          <s v="2039/03/28 - 2039/04/03"/>
          <s v="2039/04/04 - 2039/04/10"/>
          <s v="2039/04/11 - 2039/04/17"/>
          <s v="2039/04/18 - 2039/04/24"/>
          <s v="2039/04/25 - 2039/05/01"/>
          <s v="2039/05/02 - 2039/05/08"/>
          <s v="2039/05/09 - 2039/05/15"/>
          <s v="2039/05/16 - 2039/05/22"/>
          <s v="2039/05/23 - 2039/05/29"/>
          <s v="2039/05/30 - 2039/06/05"/>
          <s v="2039/06/06 - 2039/06/12"/>
          <s v="2039/06/13 - 2039/06/19"/>
          <s v="2039/06/20 - 2039/06/26"/>
          <s v="2039/06/27 - 2039/07/03"/>
          <s v="2039/07/04 - 2039/07/10"/>
          <s v="2039/07/11 - 2039/07/17"/>
          <s v="2039/07/18 - 2039/07/24"/>
          <s v="2039/07/25 - 2039/07/31"/>
          <s v="2039/08/01 - 2039/08/07"/>
          <s v="2039/08/08 - 2039/08/14"/>
          <s v="2039/08/15 - 2039/08/21"/>
          <s v="2039/08/22 - 2039/08/28"/>
          <s v="2039/08/29 - 2039/09/04"/>
          <s v="2039/09/05 - 2039/09/11"/>
          <s v="2039/09/12 - 2039/09/18"/>
          <s v="2039/09/19 - 2039/09/25"/>
          <s v="2039/09/26 - 2039/10/02"/>
          <s v="2039/10/03 - 2039/10/09"/>
          <s v="2039/10/10 - 2039/10/16"/>
          <s v="2039/10/17 - 2039/10/23"/>
          <s v="2039/10/24 - 2039/10/30"/>
          <s v="2039/10/31 - 2039/11/06"/>
          <s v="2039/11/07 - 2039/11/13"/>
          <s v="2039/11/14 - 2039/11/20"/>
          <s v="2039/11/21 - 2039/11/27"/>
          <s v="2039/11/28 - 2039/12/04"/>
          <s v="2039/12/05 - 2039/12/11"/>
          <s v="2039/12/12 - 2039/12/18"/>
          <s v="2039/12/19 - 2039/12/25"/>
          <s v="2039/12/26 - 2040/01/01"/>
          <s v="2040/01/02 - 2040/01/08"/>
          <s v="2040/01/09 - 2040/01/15"/>
          <s v="2040/01/16 - 2040/01/22"/>
          <s v="2040/01/23 - 2040/01/29"/>
          <s v="2040/01/30 - 2040/02/05"/>
          <s v="2040/02/06 - 2040/02/12"/>
          <s v="2040/02/13 - 2040/02/19"/>
          <s v="2040/02/20 - 2040/02/26"/>
          <s v="2040/02/27 - 2040/03/04"/>
          <s v="2040/03/05 - 2040/03/11"/>
          <s v="2040/03/12 - 2040/03/18"/>
          <s v="2040/03/19 - 2040/03/25"/>
          <s v="2040/03/26 - 2040/04/01"/>
          <s v="2040/04/02 - 2040/04/08"/>
          <s v="2040/04/09 - 2040/04/15"/>
          <s v="2040/04/16 - 2040/04/22"/>
          <s v="2040/04/23 - 2040/04/29"/>
          <s v="2040/04/30 - 2040/05/06"/>
          <s v="2040/05/07 - 2040/05/13"/>
          <s v="2040/05/14 - 2040/05/20"/>
          <s v="2040/05/21 - 2040/05/27"/>
          <s v="2040/05/28 - 2040/06/03"/>
          <s v="2040/06/04 - 2040/06/10"/>
          <s v="2040/06/11 - 2040/06/17"/>
          <s v="2040/06/18 - 2040/06/24"/>
          <s v="2040/06/25 - 2040/07/01"/>
          <s v="2040/07/02 - 2040/07/08"/>
          <s v="2040/07/09 - 2040/07/15"/>
          <s v="2040/07/16 - 2040/07/22"/>
          <s v="2040/07/23 - 2040/07/29"/>
          <s v="2040/07/30 - 2040/08/05"/>
          <s v="2040/08/06 - 2040/08/12"/>
          <s v="2040/08/13 - 2040/08/19"/>
          <s v="2040/08/20 - 2040/08/26"/>
          <s v="2040/08/27 - 2040/09/02"/>
          <s v="2040/09/03 - 2040/09/09"/>
          <s v="2040/09/10 - 2040/09/16"/>
          <s v="2040/09/17 - 2040/09/23"/>
          <s v="2040/09/24 - 2040/09/30"/>
          <s v="2040/10/01 - 2040/10/07"/>
          <s v="2040/10/08 - 2040/10/14"/>
          <s v="2040/10/15 - 2040/10/21"/>
          <s v="2040/10/22 - 2040/10/28"/>
          <s v="2040/10/29 - 2040/11/04"/>
          <s v="2040/11/05 - 2040/11/11"/>
          <s v="2040/11/12 - 2040/11/18"/>
          <s v="2040/11/19 - 2040/11/25"/>
          <s v="2040/11/26 - 2040/12/02"/>
          <s v="2040/12/03 - 2040/12/09"/>
          <s v="2040/12/10 - 2040/12/16"/>
          <s v="2040/12/17 - 2040/12/23"/>
          <s v="2040/12/24 - 2040/12/30"/>
          <s v="2040/12/31 - 2041/01/06"/>
          <s v="2041/01/07 - 2041/01/13"/>
          <s v="2041/01/14 - 2041/01/20"/>
          <s v="2041/01/21 - 2041/01/27"/>
          <s v="2041/01/28 - 2041/02/03"/>
          <s v="2041/02/04 - 2041/02/10"/>
          <s v="2041/02/11 - 2041/02/17"/>
          <s v="2041/02/18 - 2041/02/24"/>
          <s v="2041/02/25 - 2041/03/03"/>
          <s v="2041/03/04 - 2041/03/10"/>
          <s v="2041/03/11 - 2041/03/17"/>
          <s v="2041/03/18 - 2041/03/24"/>
          <s v="2041/03/25 - 2041/03/31"/>
          <s v="2041/04/01 - 2041/04/07"/>
          <s v="2041/04/08 - 2041/04/14"/>
          <s v="2041/04/15 - 2041/04/21"/>
          <s v="2041/04/22 - 2041/04/28"/>
          <s v="2041/04/29 - 2041/05/05"/>
          <s v="2041/05/06 - 2041/05/12"/>
          <s v="2041/05/13 - 2041/05/19"/>
          <s v="2041/05/20 - 2041/05/26"/>
          <s v="2041/05/27 - 2041/06/02"/>
          <s v="2041/06/03 - 2041/06/09"/>
          <s v="2041/06/10 - 2041/06/16"/>
          <s v="2041/06/17 - 2041/06/23"/>
          <s v="2041/06/24 - 2041/06/30"/>
          <s v="2041/07/01 - 2041/07/07"/>
          <s v="2041/07/08 - 2041/07/14"/>
          <s v="2041/07/15 - 2041/07/21"/>
          <s v="2041/07/22 - 2041/07/28"/>
          <s v="2041/07/29 - 2041/08/04"/>
          <s v="2041/08/05 - 2041/08/11"/>
          <s v="2041/08/12 - 2041/08/18"/>
          <s v="2041/08/19 - 2041/08/25"/>
          <s v="2041/08/26 - 2041/09/01"/>
          <s v="2041/09/02 - 2041/09/08"/>
          <s v="2041/09/09 - 2041/09/15"/>
          <s v="2041/09/16 - 2041/09/22"/>
          <s v="2041/09/23 - 2041/09/29"/>
          <s v="2041/09/30 - 2041/10/06"/>
          <s v="2041/10/07 - 2041/10/13"/>
          <s v="2041/10/14 - 2041/10/20"/>
          <s v="2041/10/21 - 2041/10/27"/>
          <s v="2041/10/28 - 2041/11/03"/>
          <s v="2041/11/04 - 2041/11/10"/>
          <s v="2041/11/11 - 2041/11/17"/>
          <s v="2041/11/18 - 2041/11/24"/>
          <s v="2041/11/25 - 2041/12/01"/>
          <s v="2041/12/02 - 2041/12/08"/>
          <s v="2041/12/09 - 2041/12/15"/>
          <s v="2041/12/16 - 2041/12/22"/>
          <s v="2041/12/23 - 2041/12/29"/>
          <s v="2041/12/30 - 2042/01/05"/>
          <s v="2042/01/06 - 2042/01/12"/>
          <s v="2042/01/13 - 2042/01/19"/>
          <s v="2042/01/20 - 2042/01/26"/>
          <s v="2042/01/27 - 2042/02/02"/>
          <s v="2042/02/03 - 2042/02/09"/>
          <s v="2042/02/10 - 2042/02/16"/>
          <s v="2042/02/17 - 2042/02/23"/>
          <s v="2042/02/24 - 2042/03/02"/>
          <s v="2042/03/03 - 2042/03/09"/>
          <s v="2042/03/10 - 2042/03/16"/>
          <s v="2042/03/17 - 2042/03/23"/>
          <s v="2042/03/24 - 2042/03/30"/>
          <s v="2042/03/31 - 2042/04/06"/>
          <s v="2042/04/07 - 2042/04/13"/>
          <s v="2042/04/14 - 2042/04/20"/>
          <s v="2042/04/21 - 2042/04/27"/>
          <s v="2042/04/28 - 2042/05/04"/>
          <s v="2042/05/05 - 2042/05/11"/>
          <s v="2042/05/12 - 2042/05/18"/>
          <s v="2042/05/19 - 2042/05/25"/>
          <s v="2042/05/26 - 2042/06/01"/>
          <s v="2042/06/02 - 2042/06/08"/>
          <s v="2042/06/09 - 2042/06/15"/>
          <s v="2042/06/16 - 2042/06/22"/>
          <s v="2042/06/23 - 2042/06/29"/>
          <s v="2042/06/30 - 2042/07/06"/>
          <s v="2042/07/07 - 2042/07/13"/>
          <s v="2042/07/14 - 2042/07/20"/>
          <s v="2042/07/21 - 2042/07/27"/>
          <s v="2042/07/28 - 2042/08/03"/>
          <s v="2042/08/04 - 2042/08/10"/>
          <s v="2042/08/11 - 2042/08/17"/>
          <s v="2042/08/18 - 2042/08/24"/>
          <s v="2042/08/25 - 2042/08/31"/>
          <s v="2042/09/01 - 2042/09/07"/>
          <s v="2042/09/08 - 2042/09/14"/>
          <s v="2042/09/15 - 2042/09/21"/>
          <s v="2042/09/22 - 2042/09/28"/>
          <s v="2042/09/29 - 2042/10/05"/>
          <s v="2042/10/06 - 2042/10/12"/>
          <s v="2042/10/13 - 2042/10/19"/>
          <s v="2042/10/20 - 2042/10/26"/>
          <s v="2042/10/27 - 2042/11/02"/>
          <s v="2042/11/03 - 2042/11/09"/>
          <s v="2042/11/10 - 2042/11/16"/>
          <s v="2042/11/17 - 2042/11/23"/>
          <s v="2042/11/24 - 2042/11/30"/>
          <s v="2042/12/01 - 2042/12/07"/>
          <s v="2042/12/08 - 2042/12/14"/>
          <s v="2042/12/15 - 2042/12/21"/>
          <s v="2042/12/22 - 2042/12/28"/>
          <s v="2042/12/29 - 2043/01/04"/>
          <s v="2043/01/05 - 2043/01/11"/>
          <s v="2043/01/12 - 2043/01/18"/>
          <s v="2043/01/19 - 2043/01/25"/>
          <s v="2043/01/26 - 2043/02/01"/>
          <s v="2043/02/02 - 2043/02/08"/>
          <s v="2043/02/09 - 2043/02/15"/>
          <s v="2043/02/16 - 2043/02/22"/>
          <s v="2043/02/23 - 2043/03/01"/>
          <s v="2043/03/02 - 2043/03/08"/>
          <s v="2043/03/09 - 2043/03/15"/>
          <s v="2043/03/16 - 2043/03/22"/>
          <s v="2043/03/23 - 2043/03/29"/>
          <s v="2043/03/30 - 2043/04/05"/>
          <s v="2043/04/06 - 2043/04/12"/>
          <s v="2043/04/13 - 2043/04/19"/>
          <s v="2043/04/20 - 2043/04/26"/>
          <s v="2043/04/27 - 2043/05/03"/>
          <s v="2043/05/04 - 2043/05/10"/>
          <s v="2043/05/11 - 2043/05/17"/>
          <s v="2043/05/18 - 2043/05/24"/>
          <s v="2043/05/25 - 2043/05/31"/>
          <s v="2043/06/01 - 2043/06/07"/>
          <s v="2043/06/08 - 2043/06/14"/>
          <s v="2043/06/15 - 2043/06/21"/>
          <s v="2043/06/22 - 2043/06/28"/>
          <s v="2043/06/29 - 2043/07/05"/>
          <s v="2043/07/06 - 2043/07/12"/>
          <s v="2043/07/13 - 2043/07/19"/>
          <s v="2043/07/20 - 2043/07/26"/>
          <s v="2043/07/27 - 2043/08/02"/>
          <s v="2043/08/03 - 2043/08/09"/>
          <s v="2043/08/10 - 2043/08/16"/>
          <s v="2043/08/17 - 2043/08/23"/>
          <s v="2043/08/24 - 2043/08/30"/>
          <s v="2043/08/31 - 2043/09/06"/>
          <s v="2043/09/07 - 2043/09/13"/>
          <s v="2043/09/14 - 2043/09/20"/>
          <s v="2043/09/21 - 2043/09/27"/>
          <s v="2043/09/28 - 2043/10/04"/>
          <s v="2043/10/05 - 2043/10/11"/>
          <s v="2043/10/12 - 2043/10/18"/>
          <s v="2043/10/19 - 2043/10/25"/>
          <s v="2043/10/26 - 2043/11/01"/>
          <s v="2043/11/02 - 2043/11/08"/>
          <s v="2043/11/09 - 2043/11/15"/>
          <s v="2043/11/16 - 2043/11/22"/>
          <s v="2043/11/23 - 2043/11/29"/>
          <s v="2043/11/30 - 2043/12/06"/>
          <s v="2043/12/07 - 2043/12/13"/>
          <s v="2043/12/14 - 2043/12/20"/>
          <s v="2043/12/21 - 2043/12/27"/>
          <s v="2043/12/28 - 2044/01/03"/>
          <s v="2044/01/04 - 2044/01/10"/>
          <s v="2044/01/11 - 2044/01/17"/>
          <s v="2044/01/18 - 2044/01/24"/>
          <s v="2044/01/25 - 2044/01/31"/>
          <s v="2044/02/01 - 2044/02/07"/>
          <s v="2044/02/08 - 2044/02/14"/>
          <s v="2044/02/15 - 2044/02/21"/>
          <s v="2044/02/22 - 2044/02/28"/>
          <s v="2044/02/29 - 2044/03/06"/>
          <s v="2044/03/07 - 2044/03/13"/>
          <s v="2044/03/14 - 2044/03/20"/>
          <s v="2044/03/21 - 2044/03/27"/>
          <s v="2044/03/28 - 2044/04/03"/>
          <s v="2044/04/04 - 2044/04/10"/>
          <s v="2044/04/11 - 2044/04/17"/>
          <s v="2044/04/18 - 2044/04/24"/>
          <s v="2044/04/25 - 2044/05/01"/>
          <s v="2044/05/02 - 2044/05/08"/>
          <s v="2044/05/09 - 2044/05/15"/>
          <s v="2044/05/16 - 2044/05/22"/>
          <s v="2044/05/23 - 2044/05/29"/>
          <s v="2044/05/30 - 2044/06/05"/>
          <s v="2044/06/06 - 2044/06/12"/>
          <s v="2044/06/13 - 2044/06/19"/>
          <s v="2044/06/20 - 2044/06/26"/>
          <s v="2044/06/27 - 2044/07/03"/>
          <s v="2044/07/04 - 2044/07/10"/>
          <s v="2044/07/11 - 2044/07/17"/>
          <s v="2044/07/18 - 2044/07/24"/>
          <s v="2044/07/25 - 2044/07/31"/>
          <s v="2044/08/01 - 2044/08/07"/>
          <s v="2044/08/08 - 2044/08/14"/>
          <s v="2044/08/15 - 2044/08/21"/>
          <s v="2044/08/22 - 2044/08/28"/>
          <s v="2044/08/29 - 2044/09/04"/>
          <s v="2044/09/05 - 2044/09/11"/>
          <s v="2044/09/12 - 2044/09/18"/>
          <s v="2044/09/19 - 2044/09/25"/>
          <s v="2044/09/26 - 2044/10/02"/>
          <s v="2044/10/03 - 2044/10/09"/>
          <s v="2044/10/10 - 2044/10/16"/>
          <s v="2044/10/17 - 2044/10/23"/>
          <s v="2044/10/24 - 2044/10/30"/>
          <s v="2044/10/31 - 2044/11/06"/>
          <s v="2044/11/07 - 2044/11/13"/>
          <s v="2044/11/14 - 2044/11/20"/>
          <s v="2044/11/21 - 2044/11/27"/>
          <s v="2044/11/28 - 2044/12/04"/>
          <s v="2044/12/05 - 2044/12/11"/>
          <s v="2044/12/12 - 2044/12/18"/>
          <s v="2044/12/19 - 2044/12/25"/>
          <s v="2044/12/26 - 2045/01/01"/>
          <s v="2045/01/02 - 2045/01/08"/>
          <s v="2045/01/09 - 2045/01/15"/>
          <s v="2045/01/16 - 2045/01/22"/>
          <s v="2045/01/23 - 2045/01/29"/>
          <s v="2045/01/30 - 2045/02/05"/>
          <s v="2045/02/06 - 2045/02/12"/>
          <s v="2045/02/13 - 2045/02/19"/>
          <s v="2045/02/20 - 2045/02/26"/>
          <s v="2045/02/27 - 2045/03/05"/>
          <s v="2045/03/06 - 2045/03/12"/>
          <s v="2045/03/13 - 2045/03/19"/>
          <s v="2045/03/20 - 2045/03/26"/>
          <s v="2045/03/27 - 2045/04/02"/>
          <s v="2045/04/03 - 2045/04/09"/>
          <s v="2045/04/10 - 2045/04/16"/>
          <s v="2045/04/17 - 2045/04/23"/>
          <s v="2045/04/24 - 2045/04/30"/>
          <s v="2045/05/01 - 2045/05/07"/>
          <s v="2045/05/08 - 2045/05/14"/>
          <s v="2045/05/15 - 2045/05/21"/>
          <s v="2045/05/22 - 2045/05/28"/>
          <s v="2045/05/29 - 2045/06/04"/>
          <s v="2045/06/05 - 2045/06/11"/>
          <s v="2045/06/12 - 2045/06/18"/>
          <s v="2045/06/19 - 2045/06/25"/>
          <s v="2045/06/26 - 2045/07/02"/>
          <s v="2045/07/03 - 2045/07/09"/>
          <s v="2045/07/10 - 2045/07/16"/>
          <s v="2045/07/17 - 2045/07/23"/>
          <s v="2045/07/24 - 2045/07/30"/>
          <s v="2045/07/31 - 2045/08/06"/>
          <s v="2045/08/07 - 2045/08/13"/>
          <s v="2045/08/14 - 2045/08/20"/>
          <s v="2045/08/21 - 2045/08/27"/>
          <s v="2045/08/28 - 2045/09/03"/>
          <s v="2045/09/04 - 2045/09/10"/>
          <s v="2045/09/11 - 2045/09/17"/>
          <s v="2045/09/18 - 2045/09/24"/>
          <s v="2045/09/25 - 2045/10/01"/>
          <s v="2045/10/02 - 2045/10/08"/>
          <s v="2045/10/09 - 2045/10/15"/>
          <s v="2045/10/16 - 2045/10/22"/>
          <s v="2045/10/23 - 2045/10/29"/>
          <s v="2045/10/30 - 2045/11/05"/>
          <s v="2045/11/06 - 2045/11/12"/>
          <s v="2045/11/13 - 2045/11/19"/>
          <s v="2045/11/20 - 2045/11/26"/>
          <s v="2045/11/27 - 2045/12/03"/>
          <s v="2045/12/04 - 2045/12/10"/>
          <s v="2045/12/11 - 2045/12/17"/>
          <s v="2045/12/18 - 2045/12/24"/>
          <s v="2045/12/25 - 2045/12/31"/>
          <s v="2046/01/01 - 2046/01/07"/>
          <s v="2046/01/08 - 2046/01/14"/>
          <s v="2046/01/15 - 2046/01/21"/>
          <s v="2046/01/22 - 2046/01/28"/>
          <s v="2046/01/29 - 2046/02/04"/>
          <s v="2046/02/05 - 2046/02/11"/>
          <s v="2046/02/12 - 2046/02/18"/>
          <s v="2046/02/19 - 2046/02/25"/>
          <s v="2046/02/26 - 2046/03/04"/>
          <s v="2046/03/05 - 2046/03/11"/>
          <s v="2046/03/12 - 2046/03/18"/>
          <s v="2046/03/19 - 2046/03/25"/>
          <s v="2046/03/26 - 2046/04/01"/>
          <s v="2046/04/02 - 2046/04/08"/>
          <s v="2046/04/09 - 2046/04/15"/>
          <s v="2046/04/16 - 2046/04/22"/>
          <s v="2046/04/23 - 2046/04/29"/>
          <s v="2046/04/30 - 2046/05/06"/>
          <s v="2046/05/07 - 2046/05/13"/>
          <s v="2046/05/14 - 2046/05/20"/>
          <s v="2046/05/21 - 2046/05/27"/>
          <s v="2046/05/28 - 2046/06/03"/>
          <s v="2046/06/04 - 2046/06/10"/>
          <s v="2046/06/11 - 2046/06/17"/>
          <s v="2046/06/18 - 2046/06/24"/>
          <s v="2046/06/25 - 2046/07/01"/>
          <s v="2046/07/02 - 2046/07/08"/>
          <s v="2046/07/09 - 2046/07/15"/>
          <s v="2046/07/16 - 2046/07/22"/>
          <s v="2046/07/23 - 2046/07/29"/>
          <s v="2046/07/30 - 2046/08/05"/>
          <s v="2046/08/06 - 2046/08/12"/>
          <s v="2046/08/13 - 2046/08/19"/>
          <s v="2046/08/20 - 2046/08/26"/>
          <s v="2046/08/27 - 2046/09/02"/>
          <s v="2046/09/03 - 2046/09/09"/>
          <s v="2046/09/10 - 2046/09/16"/>
          <s v="2046/09/17 - 2046/09/23"/>
          <s v="2046/09/24 - 2046/09/30"/>
          <s v="2046/10/01 - 2046/10/07"/>
          <s v="2046/10/08 - 2046/10/14"/>
          <s v="2046/10/15 - 2046/10/21"/>
          <s v="2046/10/22 - 2046/10/28"/>
          <s v="2046/10/29 - 2046/11/04"/>
          <s v="2046/11/05 - 2046/11/11"/>
          <s v="2046/11/12 - 2046/11/18"/>
          <s v="2046/11/19 - 2046/11/25"/>
          <s v="2046/11/26 - 2046/12/02"/>
          <s v="2046/12/03 - 2046/12/09"/>
          <s v="2046/12/10 - 2046/12/16"/>
          <s v="2046/12/17 - 2046/12/23"/>
          <s v="2046/12/24 - 2046/12/30"/>
          <s v="2046/12/31 - 2047/01/06"/>
          <s v="2047/01/07 - 2047/01/13"/>
          <s v="2047/01/14 - 2047/01/20"/>
          <s v="2047/01/21 - 2047/01/27"/>
          <s v="2047/01/28 - 2047/02/03"/>
          <s v="2047/02/04 - 2047/02/10"/>
          <s v="2047/02/11 - 2047/02/17"/>
          <s v="2047/02/18 - 2047/02/24"/>
          <s v="2047/02/25 - 2047/03/03"/>
          <s v="2047/03/04 - 2047/03/10"/>
          <s v="2047/03/11 - 2047/03/17"/>
          <s v="2047/03/18 - 2047/03/24"/>
          <s v="2047/03/25 - 2047/03/31"/>
          <s v="2047/04/01 - 2047/04/07"/>
          <s v="2047/04/08 - 2047/04/14"/>
          <s v="2047/04/15 - 2047/04/21"/>
          <s v="2047/04/22 - 2047/04/28"/>
          <s v="2047/04/29 - 2047/05/05"/>
          <s v="2047/05/06 - 2047/05/12"/>
          <s v="2047/05/13 - 2047/05/19"/>
          <s v="2047/05/20 - 2047/05/26"/>
          <s v="2047/05/27 - 2047/06/02"/>
          <s v="2047/06/03 - 2047/06/09"/>
          <s v="2047/06/10 - 2047/06/16"/>
          <s v="2047/06/17 - 2047/06/23"/>
          <s v="2047/06/24 - 2047/06/30"/>
          <s v="2047/07/01 - 2047/07/07"/>
          <s v="2047/07/08 - 2047/07/14"/>
          <s v="2047/07/15 - 2047/07/21"/>
          <s v="2047/07/22 - 2047/07/28"/>
          <s v="2047/07/29 - 2047/08/04"/>
          <s v="2047/08/05 - 2047/08/11"/>
          <s v="2047/08/12 - 2047/08/18"/>
          <s v="2047/08/19 - 2047/08/25"/>
          <s v="2047/08/26 - 2047/09/01"/>
          <s v="2047/09/02 - 2047/09/08"/>
          <s v="2047/09/09 - 2047/09/15"/>
          <s v="2047/09/16 - 2047/09/22"/>
          <s v="2047/09/23 - 2047/09/29"/>
          <s v="2047/09/30 - 2047/10/06"/>
          <s v="2047/10/07 - 2047/10/13"/>
          <s v="2047/10/14 - 2047/10/20"/>
          <s v="2047/10/21 - 2047/10/27"/>
          <s v="2047/10/28 - 2047/11/03"/>
          <s v="2047/11/04 - 2047/11/10"/>
          <s v="2047/11/11 - 2047/11/17"/>
          <s v="2047/11/18 - 2047/11/24"/>
          <s v="2047/11/25 - 2047/12/01"/>
          <s v="2047/12/02 - 2047/12/08"/>
          <s v="2047/12/09 - 2047/12/15"/>
          <s v="2047/12/16 - 2047/12/22"/>
          <s v="2047/12/23 - 2047/12/29"/>
          <s v="2047/12/30 - 2048/01/05"/>
          <s v="2048/01/06 - 2048/01/12"/>
          <s v="2048/01/13 - 2048/01/19"/>
          <s v="2048/01/20 - 2048/01/26"/>
          <s v="2048/01/27 - 2048/02/02"/>
          <s v="2048/02/03 - 2048/02/09"/>
          <s v="2048/02/10 - 2048/02/16"/>
          <s v="2048/02/17 - 2048/02/23"/>
          <s v="2048/02/24 - 2048/03/01"/>
          <s v="2048/03/02 - 2048/03/08"/>
          <s v="2048/03/09 - 2048/03/15"/>
          <s v="2048/03/16 - 2048/03/22"/>
          <s v="2048/03/23 - 2048/03/29"/>
          <s v="2048/03/30 - 2048/04/05"/>
          <s v="2048/04/06 - 2048/04/12"/>
          <s v="2048/04/13 - 2048/04/19"/>
          <s v="2048/04/20 - 2048/04/26"/>
          <s v="2048/04/27 - 2048/05/03"/>
          <s v="2048/05/04 - 2048/05/10"/>
          <s v="2048/05/11 - 2048/05/17"/>
          <s v="2048/05/18 - 2048/05/24"/>
          <s v="2048/05/25 - 2048/05/31"/>
          <s v="2048/06/01 - 2048/06/07"/>
          <s v="2048/06/08 - 2048/06/14"/>
          <s v="2048/06/15 - 2048/06/21"/>
          <s v="2048/06/22 - 2048/06/28"/>
          <s v="2048/06/29 - 2048/07/05"/>
          <s v="2048/07/06 - 2048/07/12"/>
          <s v="2048/07/13 - 2048/07/19"/>
          <s v="2048/07/20 - 2048/07/26"/>
          <s v="2048/07/27 - 2048/08/02"/>
          <s v="2048/08/03 - 2048/08/09"/>
          <s v="2048/08/10 - 2048/08/16"/>
          <s v="2048/08/17 - 2048/08/23"/>
          <s v="2048/08/24 - 2048/08/30"/>
          <s v="2048/08/31 - 2048/09/06"/>
          <s v="2048/09/07 - 2048/09/13"/>
          <s v="2048/09/14 - 2048/09/20"/>
          <s v="2048/09/21 - 2048/09/27"/>
          <s v="2048/09/28 - 2048/10/04"/>
          <s v="2048/10/05 - 2048/10/11"/>
          <s v="2048/10/12 - 2048/10/18"/>
          <s v="2048/10/19 - 2048/10/25"/>
          <s v="2048/10/26 - 2048/11/01"/>
          <s v="2048/11/02 - 2048/11/08"/>
          <s v="2048/11/09 - 2048/11/15"/>
          <s v="2048/11/16 - 2048/11/22"/>
          <s v="2048/11/23 - 2048/11/29"/>
          <s v="2048/11/30 - 2048/12/06"/>
          <s v="2048/12/07 - 2048/12/13"/>
          <s v="2048/12/14 - 2048/12/20"/>
          <s v="2048/12/21 - 2048/12/27"/>
          <s v="2048/12/28 - 2049/01/03"/>
          <s v="2049/01/04 - 2049/01/10"/>
          <s v="2049/01/11 - 2049/01/17"/>
          <s v="2049/01/18 - 2049/01/24"/>
          <s v="2049/01/25 - 2049/01/31"/>
          <s v="2049/02/01 - 2049/02/07"/>
          <s v="2049/02/08 - 2049/02/14"/>
          <s v="2049/02/15 - 2049/02/21"/>
          <s v="2049/02/22 - 2049/02/28"/>
          <s v="2049/03/01 - 2049/03/07"/>
          <s v="2049/03/08 - 2049/03/14"/>
          <s v="2049/03/15 - 2049/03/21"/>
          <s v="2049/03/22 - 2049/03/28"/>
          <s v="2049/03/29 - 2049/04/04"/>
          <s v="2049/04/05 - 2049/04/11"/>
          <s v="2049/04/12 - 2049/04/18"/>
          <s v="2049/04/19 - 2049/04/25"/>
          <s v="2049/04/26 - 2049/05/02"/>
          <s v="2049/05/03 - 2049/05/09"/>
          <s v="2049/05/10 - 2049/05/16"/>
          <s v="2049/05/17 - 2049/05/23"/>
          <s v="2049/05/24 - 2049/05/30"/>
          <s v="2049/05/31 - 2049/06/06"/>
          <s v="2049/06/07 - 2049/06/13"/>
          <s v="2049/06/14 - 2049/06/20"/>
          <s v="2049/06/21 - 2049/06/27"/>
          <s v="2049/06/28 - 2049/07/04"/>
          <s v="2049/07/05 - 2049/07/11"/>
          <s v="2049/07/12 - 2049/07/18"/>
          <s v="2049/07/19 - 2049/07/25"/>
          <s v="2049/07/26 - 2049/08/01"/>
          <s v="2049/08/02 - 2049/08/08"/>
          <s v="2049/08/09 - 2049/08/15"/>
          <s v="2049/08/16 - 2049/08/22"/>
          <s v="2049/08/23 - 2049/08/29"/>
          <s v="2049/08/30 - 2049/09/05"/>
          <s v="2049/09/06 - 2049/09/12"/>
          <s v="2049/09/13 - 2049/09/19"/>
          <s v="2049/09/20 - 2049/09/26"/>
          <s v="2049/09/27 - 2049/10/03"/>
          <s v="2049/10/04 - 2049/10/10"/>
          <s v="2049/10/11 - 2049/10/17"/>
          <s v="2049/10/18 - 2049/10/24"/>
          <s v="2049/10/25 - 2049/10/31"/>
          <s v="2049/11/01 - 2049/11/07"/>
          <s v="2049/11/08 - 2049/11/14"/>
          <s v="2049/11/15 - 2049/11/21"/>
          <s v="2049/11/22 - 2049/11/28"/>
          <s v="2049/11/29 - 2049/12/05"/>
          <s v="2049/12/06 - 2049/12/12"/>
          <s v="2049/12/13 - 2049/12/19"/>
          <s v="2049/12/20 - 2049/12/26"/>
          <s v="2049/12/27 - 2050/01/02"/>
          <s v="2050/01/03 - 2050/01/09"/>
          <s v="2050/01/10 - 2050/01/16"/>
          <s v="2050/01/17 - 2050/01/23"/>
          <s v="2050/01/24 - 2050/01/30"/>
          <s v="2050/01/31 - 2050/02/06"/>
          <s v="2050/02/07 - 2050/02/13"/>
          <s v="2050/02/14 - 2050/02/20"/>
          <s v="2050/02/21 - 2050/02/27"/>
          <s v="2050/02/28 - 2050/03/06"/>
          <s v="2050/03/07 - 2050/03/13"/>
          <s v="2050/03/14 - 2050/03/20"/>
          <s v="2050/03/21 - 2050/03/27"/>
          <s v="2050/03/28 - 2050/04/03"/>
          <s v="2050/04/04 - 2050/04/10"/>
          <s v="2050/04/11 - 2050/04/17"/>
          <s v="2050/04/18 - 2050/04/24"/>
          <s v="2050/04/25 - 2050/05/01"/>
          <s v="2050/05/02 - 2050/05/08"/>
          <s v="2050/05/09 - 2050/05/15"/>
          <s v="2050/05/16 - 2050/05/22"/>
          <s v="2050/05/23 - 2050/05/29"/>
          <s v="2050/05/30 - 2050/06/05"/>
          <s v="2050/06/06 - 2050/06/12"/>
          <s v="2050/06/13 - 2050/06/19"/>
          <s v="2050/06/20 - 2050/06/26"/>
          <s v="2050/06/27 - 2050/07/03"/>
          <s v="2050/07/04 - 2050/07/10"/>
          <s v="2050/07/11 - 2050/07/17"/>
          <s v="2050/07/18 - 2050/07/24"/>
          <s v="2050/07/25 - 2050/07/31"/>
          <s v="2050/08/01 - 2050/08/07"/>
          <s v="2050/08/08 - 2050/08/14"/>
          <s v="2050/08/15 - 2050/08/21"/>
          <s v="2050/08/22 - 2050/08/28"/>
          <s v="2050/08/29 - 2050/09/04"/>
          <s v="2050/09/05 - 2050/09/11"/>
          <s v="2050/09/12 - 2050/09/18"/>
          <s v="2050/09/19 - 2050/09/25"/>
          <s v="2050/09/26 - 2050/10/02"/>
          <s v="2050/10/03 - 2050/10/09"/>
          <s v="2050/10/10 - 2050/10/16"/>
          <s v="2050/10/17 - 2050/10/23"/>
          <s v="2050/10/24 - 2050/10/30"/>
          <s v="2050/10/31 - 2050/11/06"/>
          <s v="2050/11/07 - 2050/11/13"/>
          <s v="2050/11/14 - 2050/11/20"/>
          <s v="2050/11/21 - 2050/11/27"/>
          <s v="2050/11/28 - 2050/12/04"/>
          <s v="2050/12/05 - 2050/12/11"/>
          <s v="2050/12/12 - 2050/12/18"/>
          <s v="2050/12/19 - 2050/12/25"/>
          <s v="2050/12/26 - 2051/01/01"/>
          <s v="2051/01/02 - 2051/01/08"/>
          <s v="2051/01/09 - 2051/01/15"/>
          <s v="2051/01/16 - 2051/01/22"/>
          <s v="2051/01/23 - 2051/01/29"/>
          <s v="2051/01/30 - 2051/02/05"/>
          <s v="2051/02/06 - 2051/02/12"/>
          <s v="2051/02/13 - 2051/02/19"/>
          <s v="2051/02/20 - 2051/02/26"/>
          <s v="2051/02/27 - 2051/03/05"/>
          <s v="2051/03/06 - 2051/03/12"/>
          <s v="2051/03/13 - 2051/03/19"/>
          <s v="2051/03/20 - 2051/03/26"/>
          <s v="2051/03/27 - 2051/04/02"/>
          <s v="2051/04/03 - 2051/04/09"/>
          <s v="2051/04/10 - 2051/04/16"/>
          <s v="2051/04/17 - 2051/04/23"/>
          <s v="2051/04/24 - 2051/04/30"/>
          <s v="2051/05/01 - 2051/05/07"/>
          <s v="2051/05/08 - 2051/05/14"/>
          <s v="2051/05/15 - 2051/05/21"/>
          <s v="2051/05/22 - 2051/05/28"/>
          <s v="2051/05/29 - 2051/06/04"/>
          <s v="2051/06/05 - 2051/06/11"/>
          <s v="2051/06/12 - 2051/06/18"/>
          <s v="2051/06/19 - 2051/06/25"/>
          <s v="2051/06/26 - 2051/07/02"/>
          <s v="2051/07/03 - 2051/07/09"/>
          <s v="2051/07/10 - 2051/07/16"/>
          <s v="2051/07/17 - 2051/07/23"/>
          <s v="2051/07/24 - 2051/07/30"/>
          <s v="2051/07/31 - 2051/08/06"/>
          <s v="2051/08/07 - 2051/08/13"/>
          <s v="2051/08/14 - 2051/08/20"/>
          <s v="2051/08/21 - 2051/08/27"/>
          <s v="2051/08/28 - 2051/09/03"/>
          <s v="2051/09/04 - 2051/09/10"/>
          <s v="2051/09/11 - 2051/09/17"/>
          <s v="2051/09/18 - 2051/09/24"/>
          <s v="2051/09/25 - 2051/10/01"/>
          <s v="2051/10/02 - 2051/10/08"/>
          <s v="2051/10/09 - 2051/10/15"/>
          <s v="2051/10/16 - 2051/10/22"/>
          <s v="2051/10/23 - 2051/10/29"/>
          <s v="2051/10/30 - 2051/11/05"/>
          <s v="2051/11/06 - 2051/11/12"/>
          <s v="2051/11/13 - 2051/11/19"/>
          <s v="2051/11/20 - 2051/11/26"/>
          <s v="2051/11/27 - 2051/12/03"/>
          <s v="2051/12/04 - 2051/12/10"/>
          <s v="2051/12/11 - 2051/12/17"/>
          <s v="2051/12/18 - 2051/12/24"/>
          <s v="2051/12/25 - 2051/12/31"/>
          <s v="2052/01/01 - 2052/01/07"/>
          <s v="2052/01/08 - 2052/01/14"/>
          <s v="2052/01/15 - 2052/01/21"/>
          <s v="2052/01/22 - 2052/01/28"/>
          <s v="2052/01/29 - 2052/02/04"/>
          <s v="2052/02/05 - 2052/02/11"/>
          <s v="2052/02/12 - 2052/02/18"/>
          <s v="2052/02/19 - 2052/02/25"/>
          <s v="2052/02/26 - 2052/03/03"/>
          <s v="2052/03/04 - 2052/03/10"/>
          <s v="2052/03/11 - 2052/03/17"/>
          <s v="2052/03/18 - 2052/03/24"/>
          <s v="2052/03/25 - 2052/03/31"/>
          <s v="2052/04/01 - 2052/04/07"/>
          <s v="2052/04/08 - 2052/04/14"/>
          <s v="2052/04/15 - 2052/04/21"/>
          <s v="2052/04/22 - 2052/04/28"/>
          <s v="2052/04/29 - 2052/05/05"/>
          <s v="2052/05/06 - 2052/05/12"/>
          <s v="2052/05/13 - 2052/05/19"/>
          <s v="2052/05/20 - 2052/05/26"/>
          <s v="2052/05/27 - 2052/06/02"/>
          <s v="2052/06/03 - 2052/06/09"/>
          <s v="2052/06/10 - 2052/06/16"/>
          <s v="2052/06/17 - 2052/06/23"/>
          <s v="2052/06/24 - 2052/06/30"/>
          <s v="2052/07/01 - 2052/07/07"/>
          <s v="2052/07/08 - 2052/07/14"/>
          <s v="2052/07/15 - 2052/07/21"/>
          <s v="2052/07/22 - 2052/07/28"/>
          <s v="2052/07/29 - 2052/08/04"/>
          <s v="2052/08/05 - 2052/08/11"/>
          <s v="2052/08/12 - 2052/08/18"/>
          <s v="2052/08/19 - 2052/08/25"/>
          <s v="2052/08/26 - 2052/09/01"/>
          <s v="2052/09/02 - 2052/09/08"/>
          <s v="2052/09/09 - 2052/09/15"/>
          <s v="2052/09/16 - 2052/09/22"/>
          <s v="2052/09/23 - 2052/09/29"/>
          <s v="2052/09/30 - 2052/10/06"/>
          <s v="2052/10/07 - 2052/10/13"/>
          <s v="2052/10/14 - 2052/10/20"/>
          <s v="2052/10/21 - 2052/10/27"/>
          <s v="2052/10/28 - 2052/11/03"/>
          <s v="2052/11/04 - 2052/11/10"/>
          <s v="2052/11/11 - 2052/11/17"/>
          <s v="2052/11/18 - 2052/11/24"/>
          <s v="2052/11/25 - 2052/12/01"/>
          <s v="2052/12/02 - 2052/12/08"/>
          <s v="2052/12/09 - 2052/12/15"/>
          <s v="2052/12/16 - 2052/12/22"/>
          <s v="2052/12/23 - 2052/12/29"/>
          <s v="2052/12/30 - 2053/01/05"/>
          <s v="2053/01/06 - 2053/01/12"/>
          <s v="2053/01/13 - 2053/01/19"/>
          <s v="2053/01/20 - 2053/01/26"/>
          <s v="2053/01/27 - 2053/02/02"/>
          <s v="2053/02/03 - 2053/02/09"/>
          <s v="2053/02/10 - 2053/02/16"/>
          <s v="2053/02/17 - 2053/02/23"/>
          <s v="2053/02/24 - 2053/03/02"/>
          <s v="2053/03/03 - 2053/03/09"/>
          <s v="2053/03/10 - 2053/03/16"/>
          <s v="2053/03/17 - 2053/03/23"/>
          <s v="2053/03/24 - 2053/03/30"/>
          <s v="2053/03/31 - 2053/04/06"/>
          <s v="2053/04/07 - 2053/04/13"/>
          <s v="2053/04/14 - 2053/04/20"/>
          <s v="2053/04/21 - 2053/04/27"/>
          <s v="2053/04/28 - 2053/05/04"/>
          <s v="2053/05/05 - 2053/05/11"/>
          <s v="2053/05/12 - 2053/05/18"/>
          <s v="2053/05/19 - 2053/05/25"/>
          <s v="2053/05/26 - 2053/06/01"/>
          <s v="2053/06/02 - 2053/06/08"/>
          <s v="2053/06/09 - 2053/06/15"/>
          <s v="2053/06/16 - 2053/06/22"/>
          <s v="2053/06/23 - 2053/06/29"/>
          <s v="2053/06/30 - 2053/07/06"/>
          <s v="2053/07/07 - 2053/07/13"/>
          <s v="2053/07/14 - 2053/07/20"/>
          <s v="2053/07/21 - 2053/07/27"/>
          <s v="2053/07/28 - 2053/08/03"/>
          <s v="2053/08/04 - 2053/08/10"/>
          <s v="2053/08/11 - 2053/08/17"/>
          <s v="2053/08/18 - 2053/08/24"/>
          <s v="2053/08/25 - 2053/08/31"/>
          <s v="2053/09/01 - 2053/09/07"/>
          <s v="2053/09/08 - 2053/09/14"/>
          <s v="2053/09/15 - 2053/09/21"/>
          <s v="2053/09/22 - 2053/09/28"/>
          <s v="2053/09/29 - 2053/10/05"/>
          <s v="2053/10/06 - 2053/10/12"/>
          <s v="2053/10/13 - 2053/10/19"/>
          <s v="2053/10/20 - 2053/10/26"/>
          <s v="2053/10/27 - 2053/11/02"/>
          <s v="2053/11/03 - 2053/11/09"/>
          <s v="2053/11/10 - 2053/11/16"/>
          <s v="2053/11/17 - 2053/11/23"/>
          <s v="2053/11/24 - 2053/11/30"/>
          <s v="2053/12/01 - 2053/12/07"/>
          <s v="2053/12/08 - 2053/12/14"/>
          <s v="2053/12/15 - 2053/12/21"/>
          <s v="2053/12/22 - 2053/12/28"/>
          <s v="2053/12/29 - 2054/01/04"/>
          <s v="2054/01/05 - 2054/01/11"/>
          <s v="2054/01/12 - 2054/01/18"/>
          <s v="2054/01/19 - 2054/01/25"/>
          <s v="2054/01/26 - 2054/02/01"/>
          <s v="2054/02/02 - 2054/02/08"/>
          <s v="2054/02/09 - 2054/02/15"/>
          <s v="2054/02/16 - 2054/02/22"/>
          <s v="2054/02/23 - 2054/03/01"/>
          <s v="2054/03/02 - 2054/03/08"/>
          <s v="2054/03/09 - 2054/03/15"/>
          <s v="2054/03/16 - 2054/03/22"/>
          <s v="2054/03/23 - 2054/03/29"/>
          <s v="2054/03/30 - 2054/04/05"/>
          <s v="2054/04/06 - 2054/04/12"/>
          <s v="2054/04/13 - 2054/04/19"/>
          <s v="2054/04/20 - 2054/04/26"/>
          <s v="2054/04/27 - 2054/05/03"/>
          <s v="2054/05/04 - 2054/05/10"/>
          <s v="2054/05/11 - 2054/05/17"/>
          <s v="2054/05/18 - 2054/05/24"/>
          <s v="2054/05/25 - 2054/05/31"/>
          <s v="2054/06/01 - 2054/06/07"/>
          <s v="2054/06/08 - 2054/06/14"/>
          <s v="2054/06/15 - 2054/06/21"/>
          <s v="2054/06/22 - 2054/06/28"/>
          <s v="2054/06/29 - 2054/07/05"/>
          <s v="2054/07/06 - 2054/07/12"/>
          <s v="2054/07/13 - 2054/07/19"/>
          <s v="2054/07/20 - 2054/07/26"/>
          <s v="2054/07/27 - 2054/08/02"/>
          <s v="2054/08/03 - 2054/08/09"/>
          <s v="2054/08/10 - 2054/08/16"/>
          <s v="2054/08/17 - 2054/08/23"/>
          <s v="2054/08/24 - 2054/08/30"/>
          <s v="2054/08/31 - 2054/09/06"/>
          <s v="2054/09/07 - 2054/09/13"/>
          <s v="2054/09/14 - 2054/09/20"/>
          <s v="2054/09/21 - 2054/09/27"/>
          <s v="2054/09/28 - 2054/10/04"/>
          <s v="2054/10/05 - 2054/10/11"/>
          <s v="2054/10/12 - 2054/10/18"/>
          <s v="2054/10/19 - 2054/10/25"/>
          <s v="2054/10/26 - 2054/11/01"/>
          <s v="2054/11/02 - 2054/11/08"/>
          <s v="2054/11/09 - 2054/11/15"/>
          <s v="2054/11/16 - 2054/11/22"/>
          <s v="2054/11/23 - 2054/11/29"/>
          <s v="2054/11/30 - 2054/12/06"/>
          <s v="2054/12/07 - 2054/12/13"/>
          <s v="2054/12/14 - 2054/12/20"/>
          <s v="2054/12/21 - 2054/12/27"/>
          <s v="2054/12/28 - 2055/01/03"/>
          <s v="2055/01/04 - 2055/01/10"/>
          <s v="2055/01/11 - 2055/01/17"/>
          <s v="2055/01/18 - 2055/01/24"/>
          <s v="2055/01/25 - 2055/01/31"/>
          <s v="2055/02/01 - 2055/02/07"/>
          <s v="2055/02/08 - 2055/02/14"/>
          <s v="2055/02/15 - 2055/02/21"/>
          <s v="2055/02/22 - 2055/02/28"/>
          <s v="2055/03/01 - 2055/03/07"/>
          <s v="2055/03/08 - 2055/03/14"/>
          <s v="2055/03/15 - 2055/03/21"/>
          <s v="2055/03/22 - 2055/03/28"/>
          <s v="2055/03/29 - 2055/04/04"/>
          <s v="2055/04/05 - 2055/04/11"/>
          <s v="2055/04/12 - 2055/04/18"/>
          <s v="2055/04/19 - 2055/04/25"/>
          <s v="2055/04/26 - 2055/05/02"/>
          <s v="2055/05/03 - 2055/05/09"/>
          <s v="2055/05/10 - 2055/05/16"/>
          <s v="2055/05/17 - 2055/05/23"/>
          <s v="2055/05/24 - 2055/05/30"/>
          <s v="2055/05/31 - 2055/06/06"/>
          <s v="2055/06/07 - 2055/06/13"/>
          <s v="2055/06/14 - 2055/06/20"/>
          <s v="2055/06/21 - 2055/06/27"/>
          <s v="2055/06/28 - 2055/07/04"/>
          <s v="2055/07/05 - 2055/07/11"/>
          <s v="2055/07/12 - 2055/07/18"/>
          <s v="2055/07/19 - 2055/07/25"/>
          <s v="2055/07/26 - 2055/08/01"/>
          <s v="2055/08/02 - 2055/08/08"/>
          <s v="2055/08/09 - 2055/08/15"/>
          <s v="2055/08/16 - 2055/08/22"/>
          <s v="2055/08/23 - 2055/08/29"/>
          <s v="2055/08/30 - 2055/09/05"/>
          <s v="2055/09/06 - 2055/09/12"/>
          <s v="2055/09/13 - 2055/09/19"/>
          <s v="2055/09/20 - 2055/09/26"/>
          <s v="2055/09/27 - 2055/10/03"/>
          <s v="2055/10/04 - 2055/10/10"/>
          <s v="2055/10/11 - 2055/10/17"/>
          <s v="2055/10/18 - 2055/10/24"/>
          <s v="2055/10/25 - 2055/10/31"/>
          <s v="2055/11/01 - 2055/11/07"/>
          <s v="2055/11/08 - 2055/11/14"/>
          <s v="2055/11/15 - 2055/11/21"/>
          <s v="2055/11/22 - 2055/11/28"/>
          <s v="2055/11/29 - 2055/12/05"/>
          <s v="2055/12/06 - 2055/12/12"/>
          <s v="2055/12/13 - 2055/12/19"/>
          <s v="2055/12/20 - 2055/12/26"/>
          <s v="2055/12/27 - 2056/01/02"/>
          <s v="2056/01/03 - 2056/01/09"/>
          <s v="2056/01/10 - 2056/01/16"/>
          <s v="2056/01/17 - 2056/01/23"/>
          <s v="2056/01/24 - 2056/01/30"/>
          <s v="2056/01/31 - 2056/02/06"/>
          <s v="2056/02/07 - 2056/02/13"/>
          <s v="2056/02/14 - 2056/02/20"/>
          <s v="2056/02/21 - 2056/02/27"/>
          <s v="2056/02/28 - 2056/03/05"/>
          <s v="2056/03/06 - 2056/03/12"/>
          <s v="2056/03/13 - 2056/03/19"/>
          <s v="2056/03/20 - 2056/03/26"/>
          <s v="2056/03/27 - 2056/04/02"/>
          <s v="2056/04/03 - 2056/04/09"/>
          <s v="2056/04/10 - 2056/04/16"/>
          <s v="2056/04/17 - 2056/04/23"/>
          <s v="2056/04/24 - 2056/04/30"/>
          <s v="2056/05/01 - 2056/05/07"/>
          <s v="2056/05/08 - 2056/05/14"/>
          <s v="2056/05/15 - 2056/05/21"/>
          <s v="2056/05/22 - 2056/05/28"/>
          <s v="2056/05/29 - 2056/06/04"/>
          <s v="2056/06/05 - 2056/06/11"/>
          <s v="2056/06/12 - 2056/06/18"/>
          <s v="2056/06/19 - 2056/06/25"/>
          <s v="2056/06/26 - 2056/07/02"/>
          <s v="2056/07/03 - 2056/07/09"/>
          <s v="2056/07/10 - 2056/07/16"/>
          <s v="2056/07/17 - 2056/07/23"/>
          <s v="2056/07/24 - 2056/07/30"/>
          <s v="2056/07/31 - 2056/08/06"/>
          <s v="2056/08/07 - 2056/08/13"/>
          <s v="2056/08/14 - 2056/08/20"/>
          <s v="2056/08/21 - 2056/08/27"/>
          <s v="2056/08/28 - 2056/09/03"/>
          <s v="2056/09/04 - 2056/09/10"/>
          <s v="2056/09/11 - 2056/09/17"/>
          <s v="2056/09/18 - 2056/09/24"/>
          <s v="2056/09/25 - 2056/10/01"/>
          <s v="2056/10/02 - 2056/10/08"/>
          <s v="2056/10/09 - 2056/10/15"/>
          <s v="2056/10/16 - 2056/10/22"/>
          <s v="2056/10/23 - 2056/10/29"/>
          <s v="2056/10/30 - 2056/11/05"/>
          <s v="2056/11/06 - 2056/11/12"/>
          <s v="2056/11/13 - 2056/11/19"/>
          <s v="2056/11/20 - 2056/11/26"/>
          <s v="2056/11/27 - 2056/12/03"/>
          <s v="2056/12/04 - 2056/12/10"/>
          <s v="2056/12/11 - 2056/12/17"/>
          <s v="2056/12/18 - 2056/12/24"/>
          <s v="2056/12/25 - 2056/12/31"/>
          <s v="2057/01/01 - 2057/01/07"/>
          <s v="2057/01/08 - 2057/01/14"/>
          <s v="2057/01/15 - 2057/01/21"/>
          <s v="2057/01/22 - 2057/01/28"/>
          <s v="2057/01/29 - 2057/02/04"/>
          <s v="2057/02/05 - 2057/02/11"/>
          <s v="2057/02/12 - 2057/02/18"/>
          <s v="2057/02/19 - 2057/02/25"/>
          <s v="2057/02/26 - 2057/03/04"/>
          <s v="2057/03/05 - 2057/03/11"/>
          <s v="2057/03/12 - 2057/03/18"/>
          <s v="2057/03/19 - 2057/03/25"/>
          <s v="2057/03/26 - 2057/04/01"/>
          <s v="2057/04/02 - 2057/04/08"/>
          <s v="2057/04/09 - 2057/04/15"/>
          <s v="2057/04/16 - 2057/04/22"/>
          <s v="2057/04/23 - 2057/04/29"/>
          <s v="2057/04/30 - 2057/05/06"/>
          <s v="2057/05/07 - 2057/05/13"/>
          <s v="2057/05/14 - 2057/05/20"/>
          <s v="2057/05/21 - 2057/05/27"/>
          <s v="2057/05/28 - 2057/06/03"/>
          <s v="2057/06/04 - 2057/06/10"/>
          <s v="2057/06/11 - 2057/06/17"/>
          <s v="2057/06/18 - 2057/06/24"/>
          <s v="2057/06/25 - 2057/07/01"/>
          <s v="2057/07/02 - 2057/07/08"/>
          <s v="2057/07/09 - 2057/07/15"/>
          <s v="2057/07/16 - 2057/07/22"/>
          <s v="2057/07/23 - 2057/07/29"/>
          <s v="2057/07/30 - 2057/08/05"/>
          <s v="2057/08/06 - 2057/08/12"/>
          <s v="2057/08/13 - 2057/08/19"/>
          <s v="2057/08/20 - 2057/08/26"/>
          <s v="2057/08/27 - 2057/09/02"/>
          <s v="2057/09/03 - 2057/09/09"/>
          <s v="2057/09/10 - 2057/09/16"/>
          <s v="2057/09/17 - 2057/09/23"/>
          <s v="2057/09/24 - 2057/09/30"/>
          <s v="2057/10/01 - 2057/10/07"/>
          <s v="2057/10/08 - 2057/10/14"/>
          <s v="2057/10/15 - 2057/10/21"/>
          <s v="2057/10/22 - 2057/10/28"/>
          <s v="2057/10/29 - 2057/11/04"/>
          <s v="2057/11/05 - 2057/11/11"/>
          <s v="2057/11/12 - 2057/11/18"/>
          <s v="2057/11/19 - 2057/11/25"/>
          <s v="2057/11/26 - 2057/12/02"/>
          <s v="2057/12/03 - 2057/12/09"/>
          <s v="2057/12/10 - 2057/12/16"/>
          <s v="2057/12/17 - 2057/12/23"/>
          <s v="2057/12/24 - 2057/12/30"/>
          <s v="2057/12/31 - 2058/01/06"/>
          <s v="2058/01/07 - 2058/01/13"/>
          <s v="2058/01/14 - 2058/01/20"/>
          <s v="2058/01/21 - 2058/01/27"/>
          <s v="2058/01/28 - 2058/02/03"/>
          <s v="2058/02/04 - 2058/02/10"/>
          <s v="2058/02/11 - 2058/02/17"/>
          <s v="2058/02/18 - 2058/02/24"/>
          <s v="2058/02/25 - 2058/03/03"/>
          <s v="2058/03/04 - 2058/03/10"/>
          <s v="2058/03/11 - 2058/03/17"/>
          <s v="2058/03/18 - 2058/03/24"/>
          <s v="2058/03/25 - 2058/03/31"/>
          <s v="2058/04/01 - 2058/04/07"/>
          <s v="2058/04/08 - 2058/04/14"/>
          <s v="2058/04/15 - 2058/04/21"/>
          <s v="2058/04/22 - 2058/04/28"/>
          <s v="2058/04/29 - 2058/05/05"/>
          <s v="2058/05/06 - 2058/05/12"/>
          <s v="2058/05/13 - 2058/05/19"/>
          <s v="2058/05/20 - 2058/05/26"/>
          <s v="2058/05/27 - 2058/06/02"/>
          <s v="2058/06/03 - 2058/06/09"/>
          <s v="2058/06/10 - 2058/06/16"/>
          <s v="2058/06/17 - 2058/06/23"/>
          <s v="2058/06/24 - 2058/06/30"/>
          <s v="2058/07/01 - 2058/07/07"/>
          <s v="2058/07/08 - 2058/07/14"/>
          <s v="2058/07/15 - 2058/07/21"/>
          <s v="2058/07/22 - 2058/07/28"/>
          <s v="2058/07/29 - 2058/08/04"/>
          <s v="2058/08/05 - 2058/08/11"/>
          <s v="2058/08/12 - 2058/08/18"/>
          <s v="2058/08/19 - 2058/08/25"/>
          <s v="2058/08/26 - 2058/09/01"/>
          <s v="2058/09/02 - 2058/09/08"/>
          <s v="2058/09/09 - 2058/09/15"/>
          <s v="2058/09/16 - 2058/09/22"/>
          <s v="2058/09/23 - 2058/09/29"/>
          <s v="2058/09/30 - 2058/10/06"/>
          <s v="2058/10/07 - 2058/10/13"/>
          <s v="2058/10/14 - 2058/10/20"/>
          <s v="2058/10/21 - 2058/10/27"/>
          <s v="2058/10/28 - 2058/11/03"/>
          <s v="2058/11/04 - 2058/11/10"/>
          <s v="2058/11/11 - 2058/11/17"/>
          <s v="2058/11/18 - 2058/11/24"/>
          <s v="2058/11/25 - 2058/12/01"/>
          <s v="2058/12/02 - 2058/12/08"/>
          <s v="2058/12/09 - 2058/12/15"/>
          <s v="2058/12/16 - 2058/12/22"/>
          <s v="2058/12/23 - 2058/12/29"/>
          <s v="2058/12/30 - 2059/01/05"/>
          <s v="2059/01/06 - 2059/01/12"/>
          <s v="2059/01/13 - 2059/01/19"/>
          <s v="2059/01/20 - 2059/01/26"/>
          <s v="2059/01/27 - 2059/02/02"/>
          <s v="2059/02/03 - 2059/02/09"/>
          <s v="2059/02/10 - 2059/02/16"/>
          <s v="2059/02/17 - 2059/02/23"/>
          <s v="2059/02/24 - 2059/03/02"/>
          <s v="2059/03/03 - 2059/03/09"/>
          <s v="2059/03/10 - 2059/03/16"/>
          <s v="2059/03/17 - 2059/03/23"/>
          <s v="2059/03/24 - 2059/03/30"/>
          <s v="2059/03/31 - 2059/04/06"/>
          <s v="2059/04/07 - 2059/04/13"/>
          <s v="2059/04/14 - 2059/04/20"/>
          <s v="2059/04/21 - 2059/04/27"/>
          <s v="2059/04/28 - 2059/05/04"/>
          <s v="2059/05/05 - 2059/05/11"/>
          <s v="2059/05/12 - 2059/05/18"/>
          <s v="2059/05/19 - 2059/05/25"/>
          <s v="2059/05/26 - 2059/06/01"/>
          <s v="2059/06/02 - 2059/06/08"/>
          <s v="2059/06/09 - 2059/06/15"/>
          <s v="2059/06/16 - 2059/06/22"/>
          <s v="2059/06/23 - 2059/06/29"/>
          <s v="2059/06/30 - 2059/07/06"/>
          <s v="2059/07/07 - 2059/07/13"/>
          <s v="2059/07/14 - 2059/07/20"/>
          <s v="2059/07/21 - 2059/07/27"/>
          <s v="2059/07/28 - 2059/08/03"/>
          <s v="2059/08/04 - 2059/08/10"/>
          <s v="2059/08/11 - 2059/08/17"/>
          <s v="2059/08/18 - 2059/08/24"/>
          <s v="2059/08/25 - 2059/08/31"/>
          <s v="2059/09/01 - 2059/09/07"/>
          <s v="2059/09/08 - 2059/09/14"/>
          <s v="2059/09/15 - 2059/09/21"/>
          <s v="2059/09/22 - 2059/09/28"/>
          <s v="2059/09/29 - 2059/10/05"/>
          <s v="2059/10/06 - 2059/10/12"/>
          <s v="2059/10/13 - 2059/10/19"/>
          <s v="2059/10/20 - 2059/10/26"/>
          <s v="2059/10/27 - 2059/11/02"/>
          <s v="2059/11/03 - 2059/11/09"/>
          <s v="2059/11/10 - 2059/11/16"/>
          <s v="2059/11/17 - 2059/11/23"/>
          <s v="2059/11/24 - 2059/11/30"/>
          <s v="2059/12/01 - 2059/12/07"/>
          <s v="2059/12/08 - 2059/12/14"/>
          <s v="2059/12/15 - 2059/12/21"/>
          <s v="2059/12/22 - 2059/12/28"/>
          <s v="2059/12/29 - 2060/01/04"/>
          <s v="2060/01/05 - 2060/01/11"/>
          <s v="2060/01/12 - 2060/01/18"/>
          <s v="2060/01/19 - 2060/01/25"/>
          <s v="2060/01/26 - 2060/02/01"/>
          <s v="2060/02/02 - 2060/02/08"/>
          <s v="2060/02/09 - 2060/02/15"/>
          <s v="2060/02/16 - 2060/02/22"/>
          <s v="2060/02/23 - 2060/02/29"/>
          <s v="2060/03/01 - 2060/03/07"/>
          <s v="2060/03/08 - 2060/03/14"/>
          <s v="2060/03/15 - 2060/03/21"/>
          <s v="2060/03/22 - 2060/03/28"/>
          <s v="2060/03/29 - 2060/04/04"/>
          <s v="2060/04/05 - 2060/04/11"/>
          <s v="2060/04/12 - 2060/04/18"/>
          <s v="2060/04/19 - 2060/04/25"/>
          <s v="2060/04/26 - 2060/05/02"/>
          <s v="2060/05/03 - 2060/05/09"/>
          <s v="2060/05/10 - 2060/05/16"/>
          <s v="2060/05/17 - 2060/05/23"/>
          <s v="2060/05/24 - 2060/05/30"/>
          <s v="2060/05/31 - 2060/06/06"/>
          <s v="2060/06/07 - 2060/06/13"/>
          <s v="2060/06/14 - 2060/06/20"/>
          <s v="2060/06/21 - 2060/06/27"/>
          <s v="2060/06/28 - 2060/07/04"/>
          <s v="2060/07/05 - 2060/07/11"/>
          <s v="2060/07/12 - 2060/07/18"/>
          <s v="2060/07/19 - 2060/07/25"/>
          <s v="2060/07/26 - 2060/08/01"/>
          <s v="2060/08/02 - 2060/08/08"/>
          <s v="2060/08/09 - 2060/08/15"/>
          <s v="2060/08/16 - 2060/08/22"/>
          <s v="2060/08/23 - 2060/08/29"/>
          <s v="2060/08/30 - 2060/09/05"/>
          <s v="2060/09/06 - 2060/09/12"/>
          <s v="2060/09/13 - 2060/09/19"/>
          <s v="2060/09/20 - 2060/09/26"/>
          <s v="2060/09/27 - 2060/10/03"/>
          <s v="2060/10/04 - 2060/10/10"/>
          <s v="2060/10/11 - 2060/10/17"/>
          <s v="2060/10/18 - 2060/10/24"/>
          <s v="2060/10/25 - 2060/10/31"/>
          <s v="2060/11/01 - 2060/11/07"/>
          <s v="2060/11/08 - 2060/11/14"/>
          <s v="2060/11/15 - 2060/11/21"/>
          <s v="2060/11/22 - 2060/11/28"/>
          <s v="2060/11/29 - 2060/12/05"/>
          <s v="2060/12/06 - 2060/12/12"/>
          <s v="2060/12/13 - 2060/12/19"/>
          <s v="2060/12/20 - 2060/12/26"/>
          <s v="2060/12/27 - 2061/01/02"/>
          <s v="2061/01/03 - 2061/01/09"/>
          <s v="2061/01/10 - 2061/01/16"/>
          <s v="2061/01/17 - 2061/01/23"/>
          <s v="2061/01/24 - 2061/01/30"/>
          <s v="2061/01/31 - 2061/02/06"/>
          <s v="2061/02/07 - 2061/02/13"/>
          <s v="2061/02/14 - 2061/02/20"/>
          <s v="2061/02/21 - 2061/02/27"/>
          <s v="2061/02/28 - 2061/03/06"/>
          <s v="2061/03/07 - 2061/03/13"/>
          <s v="2061/03/14 - 2061/03/20"/>
          <s v="2061/03/21 - 2061/03/27"/>
          <s v="2061/03/28 - 2061/04/03"/>
          <s v="2061/04/04 - 2061/04/10"/>
          <s v="2061/04/11 - 2061/04/17"/>
          <s v="2061/04/18 - 2061/04/24"/>
          <s v="2061/04/25 - 2061/05/01"/>
          <s v="2061/05/02 - 2061/05/08"/>
          <s v="2061/05/09 - 2061/05/15"/>
          <s v="2061/05/16 - 2061/05/22"/>
          <s v="2061/05/23 - 2061/05/29"/>
          <s v="2061/05/30 - 2061/06/05"/>
          <s v="2061/06/06 - 2061/06/12"/>
          <s v="2061/06/13 - 2061/06/19"/>
          <s v="2061/06/20 - 2061/06/26"/>
          <s v="2061/06/27 - 2061/07/03"/>
          <s v="2061/07/04 - 2061/07/10"/>
          <s v="2061/07/11 - 2061/07/17"/>
          <s v="2061/07/18 - 2061/07/24"/>
          <s v="2061/07/25 - 2061/07/31"/>
          <s v="2061/08/01 - 2061/08/07"/>
          <s v="2061/08/08 - 2061/08/14"/>
          <s v="2061/08/15 - 2061/08/21"/>
          <s v="2061/08/22 - 2061/08/28"/>
          <s v="2061/08/29 - 2061/09/04"/>
          <s v="2061/09/05 - 2061/09/11"/>
          <s v="2061/09/12 - 2061/09/18"/>
          <s v="2061/09/19 - 2061/09/25"/>
          <s v="2061/09/26 - 2061/10/02"/>
          <s v="2061/10/03 - 2061/10/09"/>
          <s v="2061/10/10 - 2061/10/16"/>
          <s v="2061/10/17 - 2061/10/23"/>
          <s v="2061/10/24 - 2061/10/30"/>
          <s v="2061/10/31 - 2061/11/06"/>
          <s v="2061/11/07 - 2061/11/13"/>
          <s v="2061/11/14 - 2061/11/20"/>
          <s v="2061/11/21 - 2061/11/27"/>
          <s v="2061/11/28 - 2061/12/04"/>
          <s v="2061/12/05 - 2061/12/11"/>
          <s v="2061/12/12 - 2061/12/18"/>
          <s v="2061/12/19 - 2061/12/25"/>
          <s v="2061/12/26 - 2062/01/01"/>
          <s v="2062/01/02 - 2062/01/08"/>
          <s v="2062/01/09 - 2062/01/15"/>
          <s v="2062/01/16 - 2062/01/22"/>
          <s v="2062/01/23 - 2062/01/29"/>
          <s v="2062/01/30 - 2062/02/05"/>
          <s v="2062/02/06 - 2062/02/12"/>
          <s v="2062/02/13 - 2062/02/19"/>
          <s v="2062/02/20 - 2062/02/26"/>
          <s v="2062/02/27 - 2062/03/05"/>
          <s v="2062/03/06 - 2062/03/12"/>
          <s v="2062/03/13 - 2062/03/19"/>
          <s v="2062/03/20 - 2062/03/26"/>
          <s v="2062/03/27 - 2062/04/02"/>
          <s v="2062/04/03 - 2062/04/09"/>
          <s v="2062/04/10 - 2062/04/16"/>
          <s v="2062/04/17 - 2062/04/23"/>
          <s v="2062/04/24 - 2062/04/30"/>
          <s v="2062/05/01 - 2062/05/07"/>
          <s v="2062/05/08 - 2062/05/14"/>
          <s v="2062/05/15 - 2062/05/21"/>
          <s v="2062/05/22 - 2062/05/28"/>
          <s v="2062/05/29 - 2062/06/04"/>
          <s v="2062/06/05 - 2062/06/11"/>
          <s v="2062/06/12 - 2062/06/18"/>
          <s v="2062/06/19 - 2062/06/25"/>
          <s v="2062/06/26 - 2062/07/02"/>
          <s v="2062/07/03 - 2062/07/09"/>
          <s v="2062/07/10 - 2062/07/16"/>
          <s v="2062/07/17 - 2062/07/23"/>
          <s v="2062/07/24 - 2062/07/30"/>
          <s v="2062/07/31 - 2062/08/06"/>
          <s v="2062/08/07 - 2062/08/13"/>
          <s v="2062/08/14 - 2062/08/20"/>
          <s v="2062/08/21 - 2062/08/27"/>
          <s v="2062/08/28 - 2062/09/03"/>
          <s v="2062/09/04 - 2062/09/10"/>
          <s v="2062/09/11 - 2062/09/17"/>
          <s v="2062/09/18 - 2062/09/24"/>
          <s v="2062/09/25 - 2062/10/01"/>
          <s v="2062/10/02 - 2062/10/08"/>
          <s v="2062/10/09 - 2062/10/15"/>
          <s v="2062/10/16 - 2062/10/22"/>
          <s v="2062/10/23 - 2062/10/29"/>
          <s v="2062/10/30 - 2062/11/05"/>
          <s v="2062/11/06 - 2062/11/12"/>
          <s v="2062/11/13 - 2062/11/19"/>
          <s v="2062/11/20 - 2062/11/26"/>
          <s v="2062/11/27 - 2062/12/03"/>
          <s v="2062/12/04 - 2062/12/10"/>
          <s v="2062/12/11 - 2062/12/17"/>
          <s v="2062/12/18 - 2062/12/24"/>
          <s v="2062/12/25 - 2062/12/31"/>
          <s v="2063/01/01 - 2063/01/07"/>
          <s v="2063/01/08 - 2063/01/14"/>
          <s v="2063/01/15 - 2063/01/21"/>
          <s v="2063/01/22 - 2063/01/28"/>
          <s v="2063/01/29 - 2063/02/04"/>
          <s v="2063/02/05 - 2063/02/11"/>
          <s v="2063/02/12 - 2063/02/18"/>
          <s v="2063/02/19 - 2063/02/25"/>
          <s v="2063/02/26 - 2063/03/04"/>
          <s v="2063/03/05 - 2063/03/11"/>
          <s v="2063/03/12 - 2063/03/18"/>
          <s v="2063/03/19 - 2063/03/25"/>
          <s v="2063/03/26 - 2063/04/01"/>
          <s v="2063/04/02 - 2063/04/08"/>
          <s v="2063/04/09 - 2063/04/15"/>
          <s v="2063/04/16 - 2063/04/22"/>
          <s v="2063/04/23 - 2063/04/29"/>
          <s v="2063/04/30 - 2063/05/06"/>
          <s v="2063/05/07 - 2063/05/13"/>
          <s v="2063/05/14 - 2063/05/20"/>
          <s v="2063/05/21 - 2063/05/27"/>
          <s v="2063/05/28 - 2063/06/03"/>
          <s v="2063/06/04 - 2063/06/10"/>
          <s v="2063/06/11 - 2063/06/17"/>
          <s v="2063/06/18 - 2063/06/24"/>
          <s v="2063/06/25 - 2063/07/01"/>
          <s v="2063/07/02 - 2063/07/08"/>
          <s v="2063/07/09 - 2063/07/15"/>
          <s v="2063/07/16 - 2063/07/22"/>
          <s v="2063/07/23 - 2063/07/29"/>
          <s v="2063/07/30 - 2063/08/05"/>
          <s v="2063/08/06 - 2063/08/12"/>
          <s v="2063/08/13 - 2063/08/19"/>
          <s v="2063/08/20 - 2063/08/26"/>
          <s v="2063/08/27 - 2063/09/02"/>
          <s v="2063/09/03 - 2063/09/09"/>
          <s v="2063/09/10 - 2063/09/16"/>
          <s v="2063/09/17 - 2063/09/23"/>
          <s v="2063/09/24 - 2063/09/30"/>
          <s v="2063/10/01 - 2063/10/07"/>
          <s v="2063/10/08 - 2063/10/14"/>
          <s v="2063/10/15 - 2063/10/21"/>
          <s v="2063/10/22 - 2063/10/28"/>
          <s v="2063/10/29 - 2063/11/04"/>
          <s v="2063/11/05 - 2063/11/11"/>
          <s v="2063/11/12 - 2063/11/18"/>
          <s v="2063/11/19 - 2063/11/25"/>
          <s v="2063/11/26 - 2063/12/02"/>
          <s v="2063/12/03 - 2063/12/09"/>
          <s v="2063/12/10 - 2063/12/16"/>
          <s v="2063/12/17 - 2063/12/23"/>
          <s v="2063/12/24 - 2063/12/30"/>
          <s v="2063/12/31 - 2064/01/06"/>
          <s v="2064/01/07 - 2064/01/13"/>
          <s v="2064/01/14 - 2064/01/20"/>
          <s v="2064/01/21 - 2064/01/27"/>
          <s v="2064/01/28 - 2064/02/03"/>
          <s v="2064/02/04 - 2064/02/10"/>
          <s v="2064/02/11 - 2064/02/17"/>
          <s v="2064/02/18 - 2064/02/24"/>
          <s v="2064/02/25 - 2064/03/02"/>
          <s v="2064/03/03 - 2064/03/09"/>
          <s v="2064/03/10 - 2064/03/16"/>
          <s v="2064/03/17 - 2064/03/23"/>
          <s v="2064/03/24 - 2064/03/30"/>
          <s v="2064/03/31 - 2064/04/06"/>
          <s v="2064/04/07 - 2064/04/13"/>
          <s v="2064/04/14 - 2064/04/20"/>
          <s v="2064/04/21 - 2064/04/27"/>
          <s v="2064/04/28 - 2064/05/04"/>
          <s v="2064/05/05 - 2064/05/11"/>
          <s v="2064/05/12 - 2064/05/18"/>
          <s v="2064/05/19 - 2064/05/25"/>
          <s v="2064/05/26 - 2064/06/01"/>
          <s v="2064/06/02 - 2064/06/08"/>
          <s v="2064/06/09 - 2064/06/15"/>
          <s v="2064/06/16 - 2064/06/22"/>
          <s v="2064/06/23 - 2064/06/29"/>
          <s v="2064/06/30 - 2064/07/06"/>
          <s v="2064/07/07 - 2064/07/13"/>
          <s v="2064/07/14 - 2064/07/20"/>
          <s v="2064/07/21 - 2064/07/27"/>
          <s v="2064/07/28 - 2064/08/03"/>
          <s v="2064/08/04 - 2064/08/10"/>
          <s v="2064/08/11 - 2064/08/17"/>
          <s v="2064/08/18 - 2064/08/24"/>
          <s v="2064/08/25 - 2064/08/31"/>
          <s v="2064/09/01 - 2064/09/07"/>
          <s v="2064/09/08 - 2064/09/14"/>
          <s v="2064/09/15 - 2064/09/21"/>
          <s v="2064/09/22 - 2064/09/28"/>
          <s v="2064/09/29 - 2064/10/05"/>
          <s v="2064/10/06 - 2064/10/12"/>
          <s v="2064/10/13 - 2064/10/19"/>
          <s v="2064/10/20 - 2064/10/26"/>
          <s v="2064/10/27 - 2064/11/02"/>
          <s v="2064/11/03 - 2064/11/09"/>
          <s v="2064/11/10 - 2064/11/16"/>
          <s v="2064/11/17 - 2064/11/23"/>
          <s v="2064/11/24 - 2064/11/30"/>
          <s v="2064/12/01 - 2064/12/07"/>
          <s v="2064/12/08 - 2064/12/14"/>
          <s v="2064/12/15 - 2064/12/21"/>
          <s v="2064/12/22 - 2064/12/28"/>
          <s v="2064/12/29 - 2065/01/04"/>
          <s v="2065/01/05 - 2065/01/11"/>
          <s v="2065/01/12 - 2065/01/18"/>
          <s v="2065/01/19 - 2065/01/25"/>
          <s v="2065/01/26 - 2065/02/01"/>
          <s v="2065/02/02 - 2065/02/08"/>
          <s v="2065/02/09 - 2065/02/15"/>
          <s v="2065/02/16 - 2065/02/22"/>
          <s v="2065/02/23 - 2065/03/01"/>
          <s v="2065/03/02 - 2065/03/08"/>
          <s v="2065/03/09 - 2065/03/15"/>
          <s v="2065/03/16 - 2065/03/22"/>
          <s v="2065/03/23 - 2065/03/29"/>
          <s v="2065/03/30 - 2065/04/05"/>
          <s v="2065/04/06 - 2065/04/12"/>
          <s v="2065/04/13 - 2065/04/19"/>
          <s v="2065/04/20 - 2065/04/26"/>
          <s v="2065/04/27 - 2065/05/03"/>
          <s v="2065/05/04 - 2065/05/10"/>
          <s v="2065/05/11 - 2065/05/17"/>
          <s v="2065/05/18 - 2065/05/24"/>
          <s v="2065/05/25 - 2065/05/31"/>
          <s v="2065/06/01 - 2065/06/07"/>
          <s v="2065/06/08 - 2065/06/14"/>
          <s v="2065/06/15 - 2065/06/21"/>
          <s v="2065/06/22 - 2065/06/28"/>
          <s v="2065/06/29 - 2065/07/05"/>
          <s v="2065/07/06 - 2065/07/12"/>
          <s v="2065/07/13 - 2065/07/19"/>
          <s v="2065/07/20 - 2065/07/26"/>
          <s v="2065/07/27 - 2065/08/02"/>
          <s v="2065/08/03 - 2065/08/09"/>
          <s v="2065/08/10 - 2065/08/16"/>
          <s v="2065/08/17 - 2065/08/23"/>
          <s v="2065/08/24 - 2065/08/30"/>
          <s v="2065/08/31 - 2065/09/06"/>
          <s v="2065/09/07 - 2065/09/13"/>
          <s v="2065/09/14 - 2065/09/20"/>
          <s v="2065/09/21 - 2065/09/27"/>
          <s v="2065/09/28 - 2065/10/04"/>
          <s v="2065/10/05 - 2065/10/11"/>
          <s v="2065/10/12 - 2065/10/18"/>
          <s v="2065/10/19 - 2065/10/25"/>
          <s v="2065/10/26 - 2065/11/01"/>
          <s v="2065/11/02 - 2065/11/08"/>
          <s v="2065/11/09 - 2065/11/15"/>
          <s v="2065/11/16 - 2065/11/22"/>
          <s v="2065/11/23 - 2065/11/29"/>
          <s v="2065/11/30 - 2065/12/06"/>
          <s v="2065/12/07 - 2065/12/13"/>
          <s v="2065/12/14 - 2065/12/20"/>
          <s v="2065/12/21 - 2065/12/27"/>
          <s v="2065/12/28 - 2066/01/03"/>
          <s v="2066/01/04 - 2066/01/10"/>
          <s v="2066/01/11 - 2066/01/17"/>
          <s v="2066/01/18 - 2066/01/24"/>
          <s v="2066/01/25 - 2066/01/31"/>
          <s v="2066/02/01 - 2066/02/07"/>
          <s v="2066/02/08 - 2066/02/14"/>
          <s v="2066/02/15 - 2066/02/21"/>
          <s v="2066/02/22 - 2066/02/28"/>
          <s v="2066/03/01 - 2066/03/07"/>
          <s v="2066/03/08 - 2066/03/14"/>
          <s v="2066/03/15 - 2066/03/21"/>
          <s v="2066/03/22 - 2066/03/28"/>
          <s v="2066/03/29 - 2066/04/04"/>
          <s v="2066/04/05 - 2066/04/11"/>
          <s v="2066/04/12 - 2066/04/18"/>
          <s v="2066/04/19 - 2066/04/25"/>
          <s v="2066/04/26 - 2066/05/02"/>
          <s v="2066/05/03 - 2066/05/09"/>
          <s v="2066/05/10 - 2066/05/16"/>
          <s v="2066/05/17 - 2066/05/23"/>
          <s v="2066/05/24 - 2066/05/30"/>
          <s v="2066/05/31 - 2066/06/06"/>
          <s v="2066/06/07 - 2066/06/13"/>
          <s v="2066/06/14 - 2066/06/20"/>
          <s v="2066/06/21 - 2066/06/27"/>
          <s v="2066/06/28 - 2066/07/04"/>
          <s v="2066/07/05 - 2066/07/11"/>
          <s v="2066/07/12 - 2066/07/18"/>
          <s v="2066/07/19 - 2066/07/25"/>
          <s v="2066/07/26 - 2066/08/01"/>
          <s v="2066/08/02 - 2066/08/08"/>
          <s v="2066/08/09 - 2066/08/15"/>
          <s v="2066/08/16 - 2066/08/22"/>
          <s v="2066/08/23 - 2066/08/29"/>
          <s v="2066/08/30 - 2066/09/05"/>
          <s v="2066/09/06 - 2066/09/12"/>
          <s v="2066/09/13 - 2066/09/19"/>
          <s v="2066/09/20 - 2066/09/26"/>
          <s v="2066/09/27 - 2066/10/03"/>
          <s v="2066/10/04 - 2066/10/10"/>
          <s v="2066/10/11 - 2066/10/17"/>
          <s v="2066/10/18 - 2066/10/24"/>
          <s v="2066/10/25 - 2066/10/31"/>
          <s v="2066/11/01 - 2066/11/07"/>
          <s v="2066/11/08 - 2066/11/14"/>
          <s v="2066/11/15 - 2066/11/21"/>
          <s v="2066/11/22 - 2066/11/28"/>
          <s v="2066/11/29 - 2066/12/05"/>
          <s v="2066/12/06 - 2066/12/12"/>
          <s v="2066/12/13 - 2066/12/19"/>
          <s v="2066/12/20 - 2066/12/26"/>
          <s v="2066/12/27 - 2067/01/02"/>
          <s v="2067/01/03 - 2067/01/09"/>
          <s v="2067/01/10 - 2067/01/16"/>
          <s v="2067/01/17 - 2067/01/23"/>
          <s v="2067/01/24 - 2067/01/30"/>
          <s v="2067/01/31 - 2067/02/06"/>
          <s v="2067/02/07 - 2067/02/13"/>
          <s v="2067/02/14 - 2067/02/20"/>
          <s v="2067/02/21 - 2067/02/27"/>
          <s v="2067/02/28 - 2067/03/06"/>
          <s v="2067/03/07 - 2067/03/13"/>
          <s v="2067/03/14 - 2067/03/20"/>
          <s v="2067/03/21 - 2067/03/27"/>
          <s v="2067/03/28 - 2067/04/03"/>
          <s v="2067/04/04 - 2067/04/10"/>
          <s v="2067/04/11 - 2067/04/17"/>
          <s v="2067/04/18 - 2067/04/24"/>
          <s v="2067/04/25 - 2067/05/01"/>
          <s v="2067/05/02 - 2067/05/08"/>
          <s v="2067/05/09 - 2067/05/15"/>
          <s v="2067/05/16 - 2067/05/22"/>
          <s v="2067/05/23 - 2067/05/29"/>
          <s v="2067/05/30 - 2067/06/05"/>
          <s v="2067/06/06 - 2067/06/12"/>
          <s v="2067/06/13 - 2067/06/19"/>
          <s v="2067/06/20 - 2067/06/26"/>
          <s v="2067/06/27 - 2067/07/03"/>
          <s v="2067/07/04 - 2067/07/10"/>
          <s v="2067/07/11 - 2067/07/17"/>
          <s v="2067/07/18 - 2067/07/24"/>
          <s v="2067/07/25 - 2067/07/31"/>
          <s v="2067/08/01 - 2067/08/07"/>
          <s v="2067/08/08 - 2067/08/14"/>
          <s v="2067/08/15 - 2067/08/21"/>
          <s v="2067/08/22 - 2067/08/28"/>
          <s v="2067/08/29 - 2067/09/04"/>
          <s v="2067/09/05 - 2067/09/11"/>
          <s v="2067/09/12 - 2067/09/18"/>
          <s v="2067/09/19 - 2067/09/25"/>
          <s v="2067/09/26 - 2067/10/02"/>
          <s v="2067/10/03 - 2067/10/09"/>
          <s v="2067/10/10 - 2067/10/16"/>
          <s v="2067/10/17 - 2067/10/23"/>
          <s v="2067/10/24 - 2067/10/30"/>
          <s v="2067/10/31 - 2067/11/06"/>
          <s v="2067/11/07 - 2067/11/13"/>
          <s v="2067/11/14 - 2067/11/20"/>
          <s v="2067/11/21 - 2067/11/27"/>
          <s v="2067/11/28 - 2067/12/04"/>
          <s v="2067/12/05 - 2067/12/11"/>
          <s v="2067/12/12 - 2067/12/18"/>
          <s v="2067/12/19 - 2067/12/25"/>
          <s v="2067/12/26 - 2068/01/01"/>
          <s v="2068/01/02 - 2068/01/08"/>
          <s v="2068/01/09 - 2068/01/15"/>
          <s v="2068/01/16 - 2068/01/22"/>
          <s v="2068/01/23 - 2068/01/29"/>
          <s v="2068/01/30 - 2068/02/05"/>
          <s v="2068/02/06 - 2068/02/12"/>
          <s v="2068/02/13 - 2068/02/19"/>
          <s v="2068/02/20 - 2068/02/26"/>
          <s v="2068/02/27 - 2068/03/04"/>
          <s v="2068/03/05 - 2068/03/11"/>
          <s v="2068/03/12 - 2068/03/18"/>
          <s v="2068/03/19 - 2068/03/25"/>
          <s v="2068/03/26 - 2068/04/01"/>
          <s v="2068/04/02 - 2068/04/08"/>
          <s v="2068/04/09 - 2068/04/15"/>
          <s v="2068/04/16 - 2068/04/22"/>
          <s v="2068/04/23 - 2068/04/29"/>
          <s v="2068/04/30 - 2068/05/06"/>
          <s v="2068/05/07 - 2068/05/13"/>
          <s v="2068/05/14 - 2068/05/20"/>
          <s v="2068/05/21 - 2068/05/27"/>
          <s v="2068/05/28 - 2068/06/03"/>
          <s v="2068/06/04 - 2068/06/10"/>
          <s v="2068/06/11 - 2068/06/17"/>
          <s v="2068/06/18 - 2068/06/24"/>
          <s v="2068/06/25 - 2068/07/01"/>
          <s v="2068/07/02 - 2068/07/08"/>
          <s v="2068/07/09 - 2068/07/15"/>
          <s v="2068/07/16 - 2068/07/22"/>
          <s v="2068/07/23 - 2068/07/29"/>
          <s v="2068/07/30 - 2068/08/05"/>
          <s v="2068/08/06 - 2068/08/12"/>
          <s v="2068/08/13 - 2068/08/19"/>
          <s v="2068/08/20 - 2068/08/26"/>
          <s v="2068/08/27 - 2068/09/02"/>
          <s v="2068/09/03 - 2068/09/09"/>
          <s v="2068/09/10 - 2068/09/16"/>
          <s v="2068/09/17 - 2068/09/23"/>
          <s v="2068/09/24 - 2068/09/30"/>
          <s v="2068/10/01 - 2068/10/07"/>
          <s v="2068/10/08 - 2068/10/14"/>
          <s v="2068/10/15 - 2068/10/21"/>
          <s v="2068/10/22 - 2068/10/28"/>
          <s v="2068/10/29 - 2068/11/04"/>
          <s v="2068/11/05 - 2068/11/11"/>
          <s v="2068/11/12 - 2068/11/18"/>
          <s v="2068/11/19 - 2068/11/25"/>
          <s v="2068/11/26 - 2068/12/02"/>
          <s v="2068/12/03 - 2068/12/09"/>
          <s v="2068/12/10 - 2068/12/16"/>
          <s v="2068/12/17 - 2068/12/23"/>
          <s v="2068/12/24 - 2068/12/30"/>
          <s v="2068/12/31 - 2069/01/06"/>
          <s v="2069/01/07 - 2069/01/13"/>
          <s v="2069/01/14 - 2069/01/20"/>
          <s v="2069/01/21 - 2069/01/27"/>
          <s v="2069/01/28 - 2069/02/03"/>
          <s v="2069/02/04 - 2069/02/10"/>
          <s v="2069/02/11 - 2069/02/17"/>
          <s v="2069/02/18 - 2069/02/24"/>
          <s v="2069/02/25 - 2069/03/03"/>
          <s v="2069/03/04 - 2069/03/10"/>
          <s v="2069/03/11 - 2069/03/17"/>
          <s v="2069/03/18 - 2069/03/24"/>
          <s v="2069/03/25 - 2069/03/31"/>
          <s v="2069/04/01 - 2069/04/07"/>
          <s v="2069/04/08 - 2069/04/14"/>
          <s v="2069/04/15 - 2069/04/21"/>
          <s v="2069/04/22 - 2069/04/28"/>
          <s v="2069/04/29 - 2069/05/05"/>
          <s v="2069/05/06 - 2069/05/12"/>
          <s v="2069/05/13 - 2069/05/19"/>
          <s v="2069/05/20 - 2069/05/26"/>
          <s v="2069/05/27 - 2069/06/02"/>
          <s v="2069/06/03 - 2069/06/09"/>
          <s v="2069/06/10 - 2069/06/16"/>
          <s v="2069/06/17 - 2069/06/23"/>
          <s v="2069/06/24 - 2069/06/30"/>
          <s v="2069/07/01 - 2069/07/07"/>
          <s v="2069/07/08 - 2069/07/14"/>
          <s v="2069/07/15 - 2069/07/21"/>
          <s v="2069/07/22 - 2069/07/28"/>
          <s v="2069/07/29 - 2069/08/04"/>
          <s v="2069/08/05 - 2069/08/11"/>
          <s v="2069/08/12 - 2069/08/18"/>
          <s v="2069/08/19 - 2069/08/25"/>
          <s v="2069/08/26 - 2069/09/01"/>
          <s v="2069/09/02 - 2069/09/08"/>
          <s v="2069/09/09 - 2069/09/15"/>
          <s v="2069/09/16 - 2069/09/22"/>
          <s v="2069/09/23 - 2069/09/29"/>
          <s v="2069/09/30 - 2069/10/06"/>
          <s v="2069/10/07 - 2069/10/13"/>
          <s v="2069/10/14 - 2069/10/20"/>
          <s v="2069/10/21 - 2069/10/27"/>
          <s v="2069/10/28 - 2069/11/03"/>
          <s v="2069/11/04 - 2069/11/10"/>
          <s v="2069/11/11 - 2069/11/17"/>
          <s v="2069/11/18 - 2069/11/24"/>
          <s v="2069/11/25 - 2069/12/01"/>
          <s v="2069/12/02 - 2069/12/08"/>
          <s v="2069/12/09 - 2069/12/15"/>
          <s v="2069/12/16 - 2069/12/22"/>
          <s v="2069/12/23 - 2069/12/29"/>
          <s v="2069/12/30 - 2070/01/05"/>
          <s v="2070/01/06 - 2070/01/12"/>
          <s v="2070/01/13 - 2070/01/19"/>
          <s v="2070/01/20 - 2070/01/26"/>
          <s v="2070/01/27 - 2070/02/02"/>
          <s v="2070/02/03 - 2070/02/09"/>
          <s v="2070/02/10 - 2070/02/16"/>
          <s v="2070/02/17 - 2070/02/23"/>
          <s v="2070/02/24 - 2070/03/02"/>
          <s v="2070/03/03 - 2070/03/09"/>
          <s v="2070/03/10 - 2070/03/16"/>
          <s v="2070/03/17 - 2070/03/23"/>
          <s v="2070/03/24 - 2070/03/30"/>
          <s v="2070/03/31 - 2070/04/06"/>
          <s v="2070/04/07 - 2070/04/13"/>
          <s v="2070/04/14 - 2070/04/20"/>
          <s v="2070/04/21 - 2070/04/27"/>
          <s v="2070/04/28 - 2070/05/04"/>
          <s v="2070/05/05 - 2070/05/11"/>
          <s v="2070/05/12 - 2070/05/18"/>
          <s v="2070/05/19 - 2070/05/25"/>
          <s v="2070/05/26 - 2070/06/01"/>
          <s v="2070/06/02 - 2070/06/08"/>
          <s v="2070/06/09 - 2070/06/15"/>
          <s v="2070/06/16 - 2070/06/22"/>
          <s v="2070/06/23 - 2070/06/29"/>
          <s v="2070/06/30 - 2070/07/06"/>
          <s v="2070/07/07 - 2070/07/13"/>
          <s v="2070/07/14 - 2070/07/20"/>
          <s v="2070/07/21 - 2070/07/27"/>
          <s v="2070/07/28 - 2070/08/03"/>
          <s v="2070/08/04 - 2070/08/10"/>
          <s v="2070/08/11 - 2070/08/17"/>
          <s v="2070/08/18 - 2070/08/24"/>
          <s v="2070/08/25 - 2070/08/31"/>
          <s v="2070/09/01 - 2070/09/07"/>
          <s v="2070/09/08 - 2070/09/14"/>
          <s v="2070/09/15 - 2070/09/21"/>
          <s v="2070/09/22 - 2070/09/28"/>
          <s v="2070/09/29 - 2070/10/05"/>
          <s v="2070/10/06 - 2070/10/12"/>
          <s v="2070/10/13 - 2070/10/19"/>
          <s v="2070/10/20 - 2070/10/26"/>
          <s v="2070/10/27 - 2070/11/02"/>
          <s v="2070/11/03 - 2070/11/09"/>
          <s v="2070/11/10 - 2070/11/16"/>
          <s v="2070/11/17 - 2070/11/23"/>
          <s v="2070/11/24 - 2070/11/30"/>
          <s v="2070/12/01 - 2070/12/07"/>
          <s v="2070/12/08 - 2070/12/14"/>
          <s v="2070/12/15 - 2070/12/21"/>
          <s v="2070/12/22 - 2070/12/28"/>
          <s v="2070/12/29 - 2071/01/04"/>
          <s v="2071/01/05 - 2071/01/11"/>
          <s v="2071/01/12 - 2071/01/18"/>
          <s v="2071/01/19 - 2071/01/25"/>
          <s v="2071/01/26 - 2071/02/01"/>
          <s v="2071/02/02 - 2071/02/08"/>
          <s v="2071/02/09 - 2071/02/15"/>
          <s v="2071/02/16 - 2071/02/22"/>
          <s v="2071/02/23 - 2071/03/01"/>
          <s v="2071/03/02 - 2071/03/08"/>
          <s v="2071/03/09 - 2071/03/15"/>
          <s v="2071/03/16 - 2071/03/22"/>
          <s v="2071/03/23 - 2071/03/29"/>
          <s v="2071/03/30 - 2071/04/05"/>
          <s v="2071/04/06 - 2071/04/12"/>
          <s v="2071/04/13 - 2071/04/19"/>
          <s v="2071/04/20 - 2071/04/26"/>
          <s v="2071/04/27 - 2071/05/03"/>
          <s v="2071/05/04 - 2071/05/10"/>
          <s v="2071/05/11 - 2071/05/17"/>
          <s v="2071/05/18 - 2071/05/24"/>
          <s v="2071/05/25 - 2071/05/31"/>
          <s v="2071/06/01 - 2071/06/07"/>
          <s v="2071/06/08 - 2071/06/14"/>
          <s v="2071/06/15 - 2071/06/21"/>
          <s v="2071/06/22 - 2071/06/28"/>
          <s v="2071/06/29 - 2071/07/05"/>
          <s v="2071/07/06 - 2071/07/12"/>
          <s v="2071/07/13 - 2071/07/19"/>
          <s v="2071/07/20 - 2071/07/26"/>
          <s v="2071/07/27 - 2071/08/02"/>
          <s v="2071/08/03 - 2071/08/09"/>
          <s v="2071/08/10 - 2071/08/16"/>
          <s v="2071/08/17 - 2071/08/23"/>
          <s v="2071/08/24 - 2071/08/30"/>
          <s v="2071/08/31 - 2071/09/06"/>
          <s v="2071/09/07 - 2071/09/13"/>
          <s v="2071/09/14 - 2071/09/20"/>
          <s v="2071/09/21 - 2071/09/27"/>
          <s v="2071/09/28 - 2071/10/04"/>
          <s v="2071/10/05 - 2071/10/11"/>
          <s v="2071/10/12 - 2071/10/18"/>
          <s v="2071/10/19 - 2071/10/25"/>
          <s v="2071/10/26 - 2071/11/01"/>
          <s v="2071/11/02 - 2071/11/08"/>
          <s v="2071/11/09 - 2071/11/15"/>
          <s v="2071/11/16 - 2071/11/22"/>
          <s v="2071/11/23 - 2071/11/29"/>
          <s v="2071/11/30 - 2071/12/06"/>
          <s v="2071/12/07 - 2071/12/13"/>
          <s v="2071/12/14 - 2071/12/20"/>
          <s v="2071/12/21 - 2071/12/27"/>
          <s v="2071/12/28 - 2072/01/03"/>
          <s v="2072/01/04 - 2072/01/10"/>
          <s v="2072/01/11 - 2072/01/17"/>
          <s v="2072/01/18 - 2072/01/24"/>
          <s v="2072/01/25 - 2072/01/31"/>
          <s v="2072/02/01 - 2072/02/07"/>
          <s v="2072/02/08 - 2072/02/14"/>
          <s v="2072/02/15 - 2072/02/21"/>
          <s v="2072/02/22 - 2072/02/28"/>
          <s v="2072/02/29 - 2072/03/06"/>
          <s v="2072/03/07 - 2072/03/13"/>
          <s v="2072/03/14 - 2072/03/20"/>
          <s v="2072/03/21 - 2072/03/27"/>
          <s v="2072/03/28 - 2072/04/03"/>
          <s v="2072/04/04 - 2072/04/10"/>
          <s v="2072/04/11 - 2072/04/17"/>
          <s v="2072/04/18 - 2072/04/24"/>
          <s v="2072/04/25 - 2072/05/01"/>
          <s v="2072/05/02 - 2072/05/08"/>
          <s v="2072/05/09 - 2072/05/15"/>
          <s v="2072/05/16 - 2072/05/22"/>
          <s v="2072/05/23 - 2072/05/29"/>
          <s v="2072/05/30 - 2072/06/05"/>
          <s v="2072/06/06 - 2072/06/12"/>
          <s v="2072/06/13 - 2072/06/19"/>
          <s v="2072/06/20 - 2072/06/26"/>
          <s v="2072/06/27 - 2072/07/03"/>
          <s v="2072/07/04 - 2072/07/10"/>
          <s v="2072/07/11 - 2072/07/17"/>
          <s v="2072/07/18 - 2072/07/24"/>
          <s v="2072/07/25 - 2072/07/31"/>
          <s v="2072/08/01 - 2072/08/07"/>
          <s v="2072/08/08 - 2072/08/14"/>
          <s v="2072/08/15 - 2072/08/21"/>
          <s v="2072/08/22 - 2072/08/28"/>
          <s v="2072/08/29 - 2072/09/04"/>
          <s v="2072/09/05 - 2072/09/11"/>
          <s v="2072/09/12 - 2072/09/18"/>
          <s v="2072/09/19 - 2072/09/25"/>
          <s v="2072/09/26 - 2072/10/02"/>
          <s v="2072/10/03 - 2072/10/09"/>
          <s v="2072/10/10 - 2072/10/16"/>
          <s v="2072/10/17 - 2072/10/23"/>
          <s v="2072/10/24 - 2072/10/30"/>
          <s v="2072/10/31 - 2072/11/06"/>
          <s v="2072/11/07 - 2072/11/13"/>
          <s v="2072/11/14 - 2072/11/20"/>
          <s v="2072/11/21 - 2072/11/27"/>
          <s v="2072/11/28 - 2072/12/04"/>
          <s v="2072/12/05 - 2072/12/11"/>
          <s v="2072/12/12 - 2072/12/18"/>
          <s v="2072/12/19 - 2072/12/25"/>
          <s v="2072/12/26 - 2073/01/01"/>
          <s v="2073/01/02 - 2073/01/08"/>
          <s v="2073/01/09 - 2073/01/15"/>
          <s v="2073/01/16 - 2073/01/22"/>
          <s v="2073/01/23 - 2073/01/29"/>
          <s v="2073/01/30 - 2073/02/05"/>
          <s v="2073/02/06 - 2073/02/12"/>
          <s v="2073/02/13 - 2073/02/19"/>
          <s v="2073/02/20 - 2073/02/26"/>
          <s v="2073/02/27 - 2073/03/05"/>
          <s v="2073/03/06 - 2073/03/12"/>
          <s v="2073/03/13 - 2073/03/19"/>
          <s v="2073/03/20 - 2073/03/26"/>
          <s v="2073/03/27 - 2073/04/02"/>
          <s v="2073/04/03 - 2073/04/09"/>
          <s v="2073/04/10 - 2073/04/16"/>
          <s v="2073/04/17 - 2073/04/23"/>
          <s v="2073/04/24 - 2073/04/30"/>
          <s v="2073/05/01 - 2073/05/07"/>
          <s v="2073/05/08 - 2073/05/14"/>
          <s v="2073/05/15 - 2073/05/21"/>
          <s v="2073/05/22 - 2073/05/28"/>
          <s v="2073/05/29 - 2073/06/04"/>
          <s v="2073/06/05 - 2073/06/11"/>
          <s v="2073/06/12 - 2073/06/18"/>
          <s v="2073/06/19 - 2073/06/25"/>
          <s v="2073/06/26 - 2073/07/02"/>
          <s v="2073/07/03 - 2073/07/09"/>
          <s v="2073/07/10 - 2073/07/16"/>
          <s v="2073/07/17 - 2073/07/23"/>
          <s v="2073/07/24 - 2073/07/30"/>
          <s v="2073/07/31 - 2073/08/06"/>
          <s v="2073/08/07 - 2073/08/13"/>
          <s v="2073/08/14 - 2073/08/20"/>
          <s v="2073/08/21 - 2073/08/27"/>
          <s v="2073/08/28 - 2073/09/03"/>
          <s v="2073/09/04 - 2073/09/10"/>
          <s v="2073/09/11 - 2073/09/17"/>
          <s v="2073/09/18 - 2073/09/24"/>
          <s v="2073/09/25 - 2073/10/01"/>
          <s v="2073/10/02 - 2073/10/08"/>
          <s v="2073/10/09 - 2073/10/15"/>
          <s v="2073/10/16 - 2073/10/22"/>
          <s v="2073/10/23 - 2073/10/29"/>
          <s v="2073/10/30 - 2073/11/05"/>
          <s v="2073/11/06 - 2073/11/12"/>
          <s v="2073/11/13 - 2073/11/19"/>
          <s v="2073/11/20 - 2073/11/26"/>
          <s v="2073/11/27 - 2073/12/03"/>
          <s v="2073/12/04 - 2073/12/10"/>
          <s v="2073/12/11 - 2073/12/17"/>
          <s v="2073/12/18 - 2073/12/24"/>
          <s v="2073/12/25 - 2073/12/31"/>
          <s v="2074/01/01 - 2074/01/07"/>
          <s v="2074/01/08 - 2074/01/14"/>
          <s v="2074/01/15 - 2074/01/21"/>
          <s v="2074/01/22 - 2074/01/28"/>
          <s v="2074/01/29 - 2074/02/04"/>
          <s v="2074/02/05 - 2074/02/11"/>
          <s v="2074/02/12 - 2074/02/18"/>
          <s v="2074/02/19 - 2074/02/25"/>
          <s v="2074/02/26 - 2074/03/04"/>
          <s v="2074/03/05 - 2074/03/11"/>
          <s v="2074/03/12 - 2074/03/18"/>
          <s v="2074/03/19 - 2074/03/25"/>
          <s v="2074/03/26 - 2074/04/01"/>
          <s v="2074/04/02 - 2074/04/08"/>
          <s v="2074/04/09 - 2074/04/15"/>
          <s v="2074/04/16 - 2074/04/22"/>
          <s v="2074/04/23 - 2074/04/29"/>
          <s v="2074/04/30 - 2074/05/06"/>
          <s v="2074/05/07 - 2074/05/13"/>
          <s v="2074/05/14 - 2074/05/20"/>
          <s v="2074/05/21 - 2074/05/27"/>
          <s v="2074/05/28 - 2074/06/03"/>
          <s v="2074/06/04 - 2074/06/10"/>
          <s v="2074/06/11 - 2074/06/17"/>
          <s v="2074/06/18 - 2074/06/24"/>
          <s v="2074/06/25 - 2074/07/01"/>
          <s v="2074/07/02 - 2074/07/08"/>
          <s v="2074/07/09 - 2074/07/15"/>
          <s v="2074/07/16 - 2074/07/22"/>
          <s v="2074/07/23 - 2074/07/29"/>
          <s v="2074/07/30 - 2074/08/05"/>
          <s v="2074/08/06 - 2074/08/12"/>
          <s v="2074/08/13 - 2074/08/19"/>
          <s v="2074/08/20 - 2074/08/26"/>
          <s v="2074/08/27 - 2074/09/02"/>
          <s v="2074/09/03 - 2074/09/09"/>
          <s v="2074/09/10 - 2074/09/16"/>
          <s v="2074/09/17 - 2074/09/23"/>
          <s v="2074/09/24 - 2074/09/30"/>
          <s v="2074/10/01 - 2074/10/07"/>
          <s v="2074/10/08 - 2074/10/14"/>
          <s v="2074/10/15 - 2074/10/21"/>
          <s v="2074/10/22 - 2074/10/28"/>
          <s v="2074/10/29 - 2074/11/04"/>
          <s v="2074/11/05 - 2074/11/11"/>
          <s v="2074/11/12 - 2074/11/18"/>
          <s v="2074/11/19 - 2074/11/25"/>
          <s v="2074/11/26 - 2074/12/02"/>
          <s v="2074/12/03 - 2074/12/09"/>
          <s v="2074/12/10 - 2074/12/16"/>
          <s v="2074/12/17 - 2074/12/23"/>
          <s v="2074/12/24 - 2074/12/30"/>
          <s v="2074/12/31 - 2075/01/06"/>
          <s v="2075/01/07 - 2075/01/13"/>
          <s v="2075/01/14 - 2075/01/20"/>
          <s v="2075/01/21 - 2075/01/27"/>
          <s v="2075/01/28 - 2075/02/03"/>
          <s v="2075/02/04 - 2075/02/10"/>
          <s v="2075/02/11 - 2075/02/17"/>
          <s v="2075/02/18 - 2075/02/24"/>
          <s v="2075/02/25 - 2075/03/03"/>
          <s v="2075/03/04 - 2075/03/10"/>
          <s v="2075/03/11 - 2075/03/17"/>
          <s v="2075/03/18 - 2075/03/24"/>
          <s v="2075/03/25 - 2075/03/31"/>
          <s v="2075/04/01 - 2075/04/07"/>
          <s v="2075/04/08 - 2075/04/14"/>
          <s v="2075/04/15 - 2075/04/21"/>
          <s v="2075/04/22 - 2075/04/28"/>
          <s v="2075/04/29 - 2075/05/05"/>
          <s v="2075/05/06 - 2075/05/12"/>
          <s v="2075/05/13 - 2075/05/19"/>
          <s v="2075/05/20 - 2075/05/26"/>
          <s v="2075/05/27 - 2075/06/02"/>
          <s v="2075/06/03 - 2075/06/09"/>
          <s v="2075/06/10 - 2075/06/16"/>
          <s v="2075/06/17 - 2075/06/23"/>
          <s v="2075/06/24 - 2075/06/30"/>
          <s v="2075/07/01 - 2075/07/07"/>
          <s v="2075/07/08 - 2075/07/14"/>
          <s v="2075/07/15 - 2075/07/21"/>
          <s v="2075/07/22 - 2075/07/28"/>
          <s v="2075/07/29 - 2075/08/04"/>
          <s v="2075/08/05 - 2075/08/11"/>
          <s v="2075/08/12 - 2075/08/18"/>
          <s v="2075/08/19 - 2075/08/25"/>
          <s v="2075/08/26 - 2075/09/01"/>
          <s v="2075/09/02 - 2075/09/08"/>
          <s v="2075/09/09 - 2075/09/15"/>
          <s v="2075/09/16 - 2075/09/22"/>
          <s v="2075/09/23 - 2075/09/29"/>
          <s v="2075/09/30 - 2075/10/06"/>
          <s v="2075/10/07 - 2075/10/13"/>
          <s v="2075/10/14 - 2075/10/20"/>
          <s v="2075/10/21 - 2075/10/27"/>
          <s v="2075/10/28 - 2075/11/03"/>
          <s v="2075/11/04 - 2075/11/10"/>
          <s v="2075/11/11 - 2075/11/17"/>
          <s v="2075/11/18 - 2075/11/24"/>
          <s v="2075/11/25 - 2075/12/01"/>
          <s v="2075/12/02 - 2075/12/08"/>
          <s v="2075/12/09 - 2075/12/15"/>
          <s v="2075/12/16 - 2075/12/22"/>
          <s v="2075/12/23 - 2075/12/29"/>
          <s v="2075/12/30 - 2076/01/05"/>
          <s v="2076/01/06 - 2076/01/12"/>
          <s v="2076/01/13 - 2076/01/19"/>
          <s v="2076/01/20 - 2076/01/26"/>
          <s v="2076/01/27 - 2076/02/02"/>
          <s v="2076/02/03 - 2076/02/09"/>
          <s v="2076/02/10 - 2076/02/16"/>
          <s v="2076/02/17 - 2076/02/23"/>
          <s v="2076/02/24 - 2076/03/01"/>
          <s v="2076/03/02 - 2076/03/08"/>
          <s v="2076/03/09 - 2076/03/15"/>
          <s v="2076/03/16 - 2076/03/22"/>
          <s v="2076/03/23 - 2076/03/29"/>
          <s v="2076/03/30 - 2076/04/05"/>
          <s v="2076/04/06 - 2076/04/12"/>
          <s v="2076/04/13 - 2076/04/19"/>
          <s v="2076/04/20 - 2076/04/26"/>
          <s v="2076/04/27 - 2076/05/03"/>
          <s v="2076/05/04 - 2076/05/10"/>
          <s v="2076/05/11 - 2076/05/17"/>
          <s v="2076/05/18 - 2076/05/24"/>
          <s v="2076/05/25 - 2076/05/31"/>
          <s v="2076/06/01 - 2076/06/07"/>
          <s v="2076/06/08 - 2076/06/14"/>
          <s v="2076/06/15 - 2076/06/21"/>
          <s v="2076/06/22 - 2076/06/28"/>
          <s v="2076/06/29 - 2076/07/05"/>
          <s v="2076/07/06 - 2076/07/12"/>
          <s v="2076/07/13 - 2076/07/19"/>
          <s v="2076/07/20 - 2076/07/26"/>
          <s v="2076/07/27 - 2076/08/02"/>
          <s v="2076/08/03 - 2076/08/09"/>
          <s v="2076/08/10 - 2076/08/16"/>
          <s v="2076/08/17 - 2076/08/23"/>
          <s v="2076/08/24 - 2076/08/30"/>
          <s v="2076/08/31 - 2076/09/06"/>
          <s v="2076/09/07 - 2076/09/13"/>
          <s v="2076/09/14 - 2076/09/20"/>
          <s v="2076/09/21 - 2076/09/27"/>
          <s v="2076/09/28 - 2076/10/04"/>
          <s v="2076/10/05 - 2076/10/11"/>
          <s v="2076/10/12 - 2076/10/18"/>
          <s v="2076/10/19 - 2076/10/25"/>
          <s v="2076/10/26 - 2076/11/01"/>
          <s v="2076/11/02 - 2076/11/08"/>
          <s v="2076/11/09 - 2076/11/15"/>
          <s v="2076/11/16 - 2076/11/22"/>
          <s v="2076/11/23 - 2076/11/29"/>
          <s v="2076/11/30 - 2076/12/06"/>
          <s v="2076/12/07 - 2076/12/13"/>
          <s v="2076/12/14 - 2076/12/20"/>
          <s v="2076/12/21 - 2076/12/27"/>
          <s v="2076/12/28 - 2077/01/03"/>
          <s v="2077/01/04 - 2077/01/10"/>
          <s v="2077/01/11 - 2077/01/17"/>
          <s v="2077/01/18 - 2077/01/24"/>
          <s v="2077/01/25 - 2077/01/31"/>
          <s v="2077/02/01 - 2077/02/07"/>
          <s v="2077/02/08 - 2077/02/14"/>
          <s v="2077/02/15 - 2077/02/21"/>
          <s v="2077/02/22 - 2077/02/28"/>
          <s v="2077/03/01 - 2077/03/07"/>
          <s v="2077/03/08 - 2077/03/14"/>
          <s v="2077/03/15 - 2077/03/21"/>
          <s v="2077/03/22 - 2077/03/28"/>
          <s v="2077/03/29 - 2077/04/04"/>
          <s v="2077/04/05 - 2077/04/11"/>
          <s v="2077/04/12 - 2077/04/18"/>
          <s v="2077/04/19 - 2077/04/25"/>
          <s v="2077/04/26 - 2077/05/02"/>
          <s v="2077/05/03 - 2077/05/09"/>
          <s v="2077/05/10 - 2077/05/16"/>
          <s v="2077/05/17 - 2077/05/23"/>
          <s v="2077/05/24 - 2077/05/30"/>
          <s v="2077/05/31 - 2077/06/06"/>
          <s v="2077/06/07 - 2077/06/13"/>
          <s v="2077/06/14 - 2077/06/20"/>
          <s v="2077/06/21 - 2077/06/27"/>
          <s v="2077/06/28 - 2077/07/04"/>
          <s v="2077/07/05 - 2077/07/11"/>
          <s v="2077/07/12 - 2077/07/18"/>
          <s v="2077/07/19 - 2077/07/25"/>
          <s v="2077/07/26 - 2077/08/01"/>
          <s v="2077/08/02 - 2077/08/08"/>
          <s v="2077/08/09 - 2077/08/15"/>
          <s v="2077/08/16 - 2077/08/22"/>
          <s v="2077/08/23 - 2077/08/29"/>
          <s v="2077/08/30 - 2077/09/05"/>
          <s v="2077/09/06 - 2077/09/12"/>
          <s v="2077/09/13 - 2077/09/19"/>
          <s v="2077/09/20 - 2077/09/26"/>
          <s v="2077/09/27 - 2077/10/03"/>
          <s v="2077/10/04 - 2077/10/10"/>
          <s v="2077/10/11 - 2077/10/17"/>
          <s v="2077/10/18 - 2077/10/24"/>
          <s v="2077/10/25 - 2077/10/31"/>
          <s v="2077/11/01 - 2077/11/07"/>
          <s v="2077/11/08 - 2077/11/14"/>
          <s v="2077/11/15 - 2077/11/21"/>
          <s v="2077/11/22 - 2077/11/28"/>
          <s v="2077/11/29 - 2077/12/05"/>
          <s v="2077/12/06 - 2077/12/12"/>
          <s v="2077/12/13 - 2077/12/19"/>
          <s v="2077/12/20 - 2077/12/26"/>
          <s v="2077/12/27 - 2078/01/02"/>
          <s v="2078/01/03 - 2078/01/09"/>
          <s v="2078/01/10 - 2078/01/16"/>
          <s v="2078/01/17 - 2078/01/23"/>
          <s v="2078/01/24 - 2078/01/30"/>
          <s v="2078/01/31 - 2078/02/06"/>
          <s v="2078/02/07 - 2078/02/13"/>
          <s v="2078/02/14 - 2078/02/20"/>
          <s v="2078/02/21 - 2078/02/27"/>
          <s v="2078/02/28 - 2078/03/06"/>
          <s v="2078/03/07 - 2078/03/13"/>
          <s v="2078/03/14 - 2078/03/20"/>
          <s v="2078/03/21 - 2078/03/27"/>
          <s v="2078/03/28 - 2078/04/03"/>
          <s v="2078/04/04 - 2078/04/10"/>
          <s v="2078/04/11 - 2078/04/17"/>
          <s v="2078/04/18 - 2078/04/24"/>
          <s v="2078/04/25 - 2078/05/01"/>
          <s v="2078/05/02 - 2078/05/08"/>
          <s v="2078/05/09 - 2078/05/15"/>
          <s v="2078/05/16 - 2078/05/22"/>
          <s v="2078/05/23 - 2078/05/29"/>
          <s v="2078/05/30 - 2078/06/05"/>
          <s v="2078/06/06 - 2078/06/12"/>
          <s v="2078/06/13 - 2078/06/19"/>
          <s v="2078/06/20 - 2078/06/26"/>
          <s v="2078/06/27 - 2078/07/03"/>
          <s v="2078/07/04 - 2078/07/10"/>
          <s v="2078/07/11 - 2078/07/17"/>
          <s v="2078/07/18 - 2078/07/24"/>
          <s v="2078/07/25 - 2078/07/31"/>
          <s v="2078/08/01 - 2078/08/07"/>
          <s v="2078/08/08 - 2078/08/14"/>
          <s v="2078/08/15 - 2078/08/21"/>
          <s v="2078/08/22 - 2078/08/28"/>
          <s v="2078/08/29 - 2078/09/04"/>
          <s v="2078/09/05 - 2078/09/11"/>
          <s v="2078/09/12 - 2078/09/18"/>
          <s v="2078/09/19 - 2078/09/25"/>
          <s v="2078/09/26 - 2078/10/02"/>
          <s v="2078/10/03 - 2078/10/09"/>
          <s v="2078/10/10 - 2078/10/16"/>
          <s v="2078/10/17 - 2078/10/23"/>
          <s v="2078/10/24 - 2078/10/30"/>
          <s v="2078/10/31 - 2078/11/06"/>
          <s v="2078/11/07 - 2078/11/13"/>
          <s v="2078/11/14 - 2078/11/20"/>
          <s v="2078/11/21 - 2078/11/27"/>
          <s v="2078/11/28 - 2078/12/04"/>
          <s v="2078/12/05 - 2078/12/11"/>
          <s v="2078/12/12 - 2078/12/18"/>
          <s v="2078/12/19 - 2078/12/25"/>
          <s v="2078/12/26 - 2079/01/01"/>
          <s v="2079/01/02 - 2079/01/08"/>
          <s v="2079/01/09 - 2079/01/15"/>
          <s v="2079/01/16 - 2079/01/22"/>
          <s v="2079/01/23 - 2079/01/29"/>
          <s v="2079/01/30 - 2079/02/05"/>
          <s v="2079/02/06 - 2079/02/12"/>
          <s v="2079/02/13 - 2079/02/19"/>
          <s v="2079/02/20 - 2079/02/26"/>
          <s v="2079/02/27 - 2079/03/05"/>
          <s v="2079/03/06 - 2079/03/12"/>
          <s v="2079/03/13 - 2079/03/19"/>
          <s v="2079/03/20 - 2079/03/26"/>
          <s v="2079/03/27 - 2079/04/02"/>
          <s v="2079/04/03 - 2079/04/09"/>
          <s v="2079/04/10 - 2079/04/16"/>
          <s v="2079/04/17 - 2079/04/23"/>
          <s v="2079/04/24 - 2079/04/30"/>
          <s v="2079/05/01 - 2079/05/07"/>
          <s v="2079/05/08 - 2079/05/14"/>
          <s v="2079/05/15 - 2079/05/21"/>
          <s v="2079/05/22 - 2079/05/28"/>
          <s v="2079/05/29 - 2079/06/04"/>
          <s v="2079/06/05 - 2079/06/11"/>
          <s v="2079/06/12 - 2079/06/18"/>
          <s v="2079/06/19 - 2079/06/25"/>
          <s v="2079/06/26 - 2079/07/02"/>
          <s v="2079/07/03 - 2079/07/09"/>
          <s v="2079/07/10 - 2079/07/16"/>
          <s v="2079/07/17 - 2079/07/23"/>
          <s v="2079/07/24 - 2079/07/30"/>
          <s v="2079/07/31 - 2079/08/06"/>
          <s v="2079/08/07 - 2079/08/13"/>
          <s v="2079/08/14 - 2079/08/20"/>
          <s v="2079/08/21 - 2079/08/27"/>
          <s v="2079/08/28 - 2079/09/03"/>
          <s v="2079/09/04 - 2079/09/10"/>
          <s v="2079/09/11 - 2079/09/17"/>
          <s v="2079/09/18 - 2079/09/24"/>
          <s v="2079/09/25 - 2079/10/01"/>
          <s v="2079/10/02 - 2079/10/08"/>
          <s v="2079/10/09 - 2079/10/15"/>
          <s v="2079/10/16 - 2079/10/22"/>
          <s v="2079/10/23 - 2079/10/29"/>
          <s v="2079/10/30 - 2079/11/05"/>
          <s v="2079/11/06 - 2079/11/12"/>
          <s v="2079/11/13 - 2079/11/19"/>
          <s v="2079/11/20 - 2079/11/26"/>
          <s v="2079/11/27 - 2079/12/03"/>
          <s v="2079/12/04 - 2079/12/10"/>
          <s v="2079/12/11 - 2079/12/17"/>
          <s v="2079/12/18 - 2079/12/24"/>
          <s v="2079/12/25 - 2079/12/31"/>
          <s v="2080/01/01 - 2080/01/07"/>
          <s v="2080/01/08 - 2080/01/14"/>
          <s v="2080/01/15 - 2080/01/21"/>
          <s v="2080/01/22 - 2080/01/28"/>
          <s v="2080/01/29 - 2080/02/04"/>
          <s v="2080/02/05 - 2080/02/11"/>
          <s v="2080/02/12 - 2080/02/18"/>
          <s v="2080/02/19 - 2080/02/25"/>
          <s v="2080/02/26 - 2080/03/03"/>
          <s v="2080/03/04 - 2080/03/10"/>
          <s v="2080/03/11 - 2080/03/17"/>
          <s v="2080/03/18 - 2080/03/24"/>
          <s v="2080/03/25 - 2080/03/31"/>
          <s v="2080/04/01 - 2080/04/07"/>
          <s v="2080/04/08 - 2080/04/14"/>
          <s v="2080/04/15 - 2080/04/21"/>
          <s v="2080/04/22 - 2080/04/28"/>
          <s v="2080/04/29 - 2080/05/05"/>
          <s v="2080/05/06 - 2080/05/12"/>
          <s v="2080/05/13 - 2080/05/19"/>
          <s v="2080/05/20 - 2080/05/26"/>
          <s v="2080/05/27 - 2080/06/02"/>
          <s v="2080/06/03 - 2080/06/09"/>
          <s v="2080/06/10 - 2080/06/16"/>
          <s v="2080/06/17 - 2080/06/23"/>
          <s v="2080/06/24 - 2080/06/30"/>
          <s v="2080/07/01 - 2080/07/07"/>
          <s v="2080/07/08 - 2080/07/14"/>
          <s v="2080/07/15 - 2080/07/21"/>
          <s v="2080/07/22 - 2080/07/28"/>
          <s v="2080/07/29 - 2080/08/04"/>
          <s v="2080/08/05 - 2080/08/11"/>
          <s v="2080/08/12 - 2080/08/18"/>
          <s v="2080/08/19 - 2080/08/25"/>
          <s v="2080/08/26 - 2080/09/01"/>
          <s v="2080/09/02 - 2080/09/08"/>
          <s v="2080/09/09 - 2080/09/15"/>
          <s v="2080/09/16 - 2080/09/22"/>
          <s v="2080/09/23 - 2080/09/29"/>
          <s v="2080/09/30 - 2080/10/06"/>
          <s v="2080/10/07 - 2080/10/13"/>
          <s v="2080/10/14 - 2080/10/20"/>
          <s v="2080/10/21 - 2080/10/27"/>
          <s v="2080/10/28 - 2080/11/03"/>
          <s v="2080/11/04 - 2080/11/10"/>
          <s v="2080/11/11 - 2080/11/17"/>
          <s v="2080/11/18 - 2080/11/24"/>
          <s v="2080/11/25 - 2080/12/01"/>
          <s v="2080/12/02 - 2080/12/08"/>
          <s v="2080/12/09 - 2080/12/15"/>
          <s v="2080/12/16 - 2080/12/22"/>
          <s v="2080/12/23 - 2080/12/29"/>
          <s v="2080/12/30 - 2081/01/05"/>
          <s v="2081/01/06 - 2081/01/12"/>
          <s v="2081/01/13 - 2081/01/19"/>
          <s v="2081/01/20 - 2081/01/26"/>
          <s v="2081/01/27 - 2081/02/02"/>
          <s v="2081/02/03 - 2081/02/09"/>
          <s v="2081/02/10 - 2081/02/16"/>
          <s v="2081/02/17 - 2081/02/23"/>
          <s v="2081/02/24 - 2081/03/02"/>
          <s v="2081/03/03 - 2081/03/09"/>
          <s v="2081/03/10 - 2081/03/16"/>
          <s v="2081/03/17 - 2081/03/23"/>
          <s v="2081/03/24 - 2081/03/30"/>
          <s v="2081/03/31 - 2081/04/06"/>
          <s v="2081/04/07 - 2081/04/13"/>
          <s v="2081/04/14 - 2081/04/20"/>
          <s v="2081/04/21 - 2081/04/27"/>
          <s v="2081/04/28 - 2081/05/04"/>
          <s v="2081/05/05 - 2081/05/11"/>
          <s v="2081/05/12 - 2081/05/18"/>
          <s v="2081/05/19 - 2081/05/25"/>
          <s v="2081/05/26 - 2081/06/01"/>
          <s v="2081/06/02 - 2081/06/08"/>
          <s v="2081/06/09 - 2081/06/15"/>
          <s v="2081/06/16 - 2081/06/22"/>
          <s v="2081/06/23 - 2081/06/29"/>
          <s v="2081/06/30 - 2081/07/06"/>
          <s v="2081/07/07 - 2081/07/13"/>
          <s v="2081/07/14 - 2081/07/20"/>
          <s v="2081/07/21 - 2081/07/27"/>
          <s v="2081/07/28 - 2081/08/03"/>
          <s v="2081/08/04 - 2081/08/10"/>
          <s v="2081/08/11 - 2081/08/17"/>
          <s v="2081/08/18 - 2081/08/24"/>
          <s v="2081/08/25 - 2081/08/31"/>
          <s v="2081/09/01 - 2081/09/07"/>
          <s v="2081/09/08 - 2081/09/14"/>
          <s v="2081/09/15 - 2081/09/21"/>
          <s v="2081/09/22 - 2081/09/28"/>
          <s v="2081/09/29 - 2081/10/05"/>
          <s v="2081/10/06 - 2081/10/12"/>
          <s v="2081/10/13 - 2081/10/19"/>
          <s v="2081/10/20 - 2081/10/26"/>
          <s v="2081/10/27 - 2081/11/02"/>
          <s v="2081/11/03 - 2081/11/09"/>
          <s v="2081/11/10 - 2081/11/16"/>
          <s v="2081/11/17 - 2081/11/23"/>
          <s v="2081/11/24 - 2081/11/30"/>
          <s v="2081/12/01 - 2081/12/07"/>
          <s v="2081/12/08 - 2081/12/14"/>
          <s v="2081/12/15 - 2081/12/21"/>
          <s v="2081/12/22 - 2081/12/28"/>
          <s v="2081/12/29 - 2082/01/04"/>
          <s v="2082/01/05 - 2082/01/11"/>
          <s v="2082/01/12 - 2082/01/18"/>
          <s v="2082/01/19 - 2082/01/25"/>
          <s v="2082/01/26 - 2082/02/01"/>
          <s v="2082/02/02 - 2082/02/08"/>
          <s v="2082/02/09 - 2082/02/15"/>
          <s v="2082/02/16 - 2082/02/22"/>
          <s v="2082/02/23 - 2082/03/01"/>
          <s v="2082/03/02 - 2082/03/08"/>
          <s v="2082/03/09 - 2082/03/15"/>
          <s v="2082/03/16 - 2082/03/22"/>
          <s v="2082/03/23 - 2082/03/29"/>
          <s v="2082/03/30 - 2082/04/05"/>
          <s v="2082/04/06 - 2082/04/12"/>
          <s v="2082/04/13 - 2082/04/19"/>
          <s v="2082/04/20 - 2082/04/26"/>
          <s v="2082/04/27 - 2082/05/03"/>
          <s v="2082/05/04 - 2082/05/10"/>
          <s v="2082/05/11 - 2082/05/17"/>
          <s v="2082/05/18 - 2082/05/24"/>
          <s v="2082/05/25 - 2082/05/31"/>
          <s v="2082/06/01 - 2082/06/07"/>
          <s v="2082/06/08 - 2082/06/14"/>
          <s v="2082/06/15 - 2082/06/21"/>
          <s v="2082/06/22 - 2082/06/28"/>
          <s v="2082/06/29 - 2082/07/05"/>
          <s v="2082/07/06 - 2082/07/12"/>
          <s v="2082/07/13 - 2082/07/19"/>
          <s v="2082/07/20 - 2082/07/26"/>
          <s v="2082/07/27 - 2082/08/02"/>
          <s v="2082/08/03 - 2082/08/09"/>
          <s v="2082/08/10 - 2082/08/16"/>
          <s v="2082/08/17 - 2082/08/23"/>
          <s v="2082/08/24 - 2082/08/30"/>
          <s v="2082/08/31 - 2082/09/06"/>
          <s v="2082/09/07 - 2082/09/13"/>
          <s v="2082/09/14 - 2082/09/20"/>
          <s v="2082/09/21 - 2082/09/27"/>
          <s v="2082/09/28 - 2082/10/04"/>
          <s v="2082/10/05 - 2082/10/11"/>
          <s v="2082/10/12 - 2082/10/18"/>
          <s v="2082/10/19 - 2082/10/25"/>
          <s v="2082/10/26 - 2082/11/01"/>
          <s v="2082/11/02 - 2082/11/08"/>
          <s v="2082/11/09 - 2082/11/15"/>
          <s v="2082/11/16 - 2082/11/22"/>
          <s v="2082/11/23 - 2082/11/29"/>
          <s v="2082/11/30 - 2082/12/06"/>
          <s v="2082/12/07 - 2082/12/13"/>
          <s v="2082/12/14 - 2082/12/20"/>
          <s v="2082/12/21 - 2082/12/27"/>
          <s v="2082/12/28 - 2083/01/03"/>
          <s v="2083/01/04 - 2083/01/10"/>
          <s v="2083/01/11 - 2083/01/17"/>
          <s v="2083/01/18 - 2083/01/24"/>
          <s v="2083/01/25 - 2083/01/31"/>
          <s v="2083/02/01 - 2083/02/07"/>
          <s v="2083/02/08 - 2083/02/14"/>
          <s v="2083/02/15 - 2083/02/21"/>
          <s v="2083/02/22 - 2083/02/28"/>
          <s v="2083/03/01 - 2083/03/07"/>
          <s v="2083/03/08 - 2083/03/14"/>
          <s v="2083/03/15 - 2083/03/21"/>
          <s v="2083/03/22 - 2083/03/28"/>
          <s v="2083/03/29 - 2083/04/04"/>
          <s v="2083/04/05 - 2083/04/11"/>
          <s v="2083/04/12 - 2083/04/18"/>
          <s v="2083/04/19 - 2083/04/25"/>
          <s v="2083/04/26 - 2083/05/02"/>
          <s v="2083/05/03 - 2083/05/09"/>
          <s v="2083/05/10 - 2083/05/16"/>
          <s v="2083/05/17 - 2083/05/23"/>
          <s v="2083/05/24 - 2083/05/30"/>
          <s v="2083/05/31 - 2083/06/06"/>
          <s v="2083/06/07 - 2083/06/13"/>
          <s v="2083/06/14 - 2083/06/20"/>
          <s v="2083/06/21 - 2083/06/27"/>
          <s v="2083/06/28 - 2083/07/04"/>
          <s v="2083/07/05 - 2083/07/11"/>
          <s v="2083/07/12 - 2083/07/18"/>
          <s v="2083/07/19 - 2083/07/25"/>
          <s v="2083/07/26 - 2083/08/01"/>
          <s v="2083/08/02 - 2083/08/08"/>
          <s v="2083/08/09 - 2083/08/15"/>
          <s v="2083/08/16 - 2083/08/22"/>
          <s v="2083/08/23 - 2083/08/29"/>
          <s v="2083/08/30 - 2083/09/05"/>
          <s v="2083/09/06 - 2083/09/12"/>
          <s v="2083/09/13 - 2083/09/19"/>
          <s v="2083/09/20 - 2083/09/26"/>
          <s v="2083/09/27 - 2083/10/03"/>
          <s v="2083/10/04 - 2083/10/10"/>
          <s v="2083/10/11 - 2083/10/17"/>
          <s v="2083/10/18 - 2083/10/24"/>
          <s v="2083/10/25 - 2083/10/31"/>
          <s v="2083/11/01 - 2083/11/07"/>
          <s v="2083/11/08 - 2083/11/14"/>
          <s v="2083/11/15 - 2083/11/21"/>
          <s v="2083/11/22 - 2083/11/28"/>
          <s v="2083/11/29 - 2083/12/05"/>
          <s v="2083/12/06 - 2083/12/12"/>
          <s v="2083/12/13 - 2083/12/19"/>
          <s v="2083/12/20 - 2083/12/26"/>
          <s v="2083/12/27 - 2084/01/02"/>
          <s v="2084/01/03 - 2084/01/09"/>
          <s v="2084/01/10 - 2084/01/16"/>
          <s v="2084/01/17 - 2084/01/23"/>
          <s v="2084/01/24 - 2084/01/30"/>
          <s v="2084/01/31 - 2084/02/06"/>
          <s v="2084/02/07 - 2084/02/13"/>
          <s v="2084/02/14 - 2084/02/20"/>
          <s v="2084/02/21 - 2084/02/27"/>
          <s v="2084/02/28 - 2084/03/05"/>
          <s v="2084/03/06 - 2084/03/12"/>
          <s v="2084/03/13 - 2084/03/19"/>
          <s v="2084/03/20 - 2084/03/26"/>
          <s v="2084/03/27 - 2084/04/02"/>
          <s v="2084/04/03 - 2084/04/09"/>
          <s v="2084/04/10 - 2084/04/16"/>
          <s v="2084/04/17 - 2084/04/23"/>
          <s v="2084/04/24 - 2084/04/30"/>
          <s v="2084/05/01 - 2084/05/07"/>
          <s v="2084/05/08 - 2084/05/14"/>
          <s v="2084/05/15 - 2084/05/21"/>
          <s v="2084/05/22 - 2084/05/28"/>
          <s v="2084/05/29 - 2084/06/04"/>
          <s v="2084/06/05 - 2084/06/11"/>
          <s v="2084/06/12 - 2084/06/18"/>
          <s v="2084/06/19 - 2084/06/25"/>
          <s v="2084/06/26 - 2084/07/02"/>
          <s v="2084/07/03 - 2084/07/09"/>
          <s v="2084/07/10 - 2084/07/16"/>
          <s v="2084/07/17 - 2084/07/23"/>
          <s v="2084/07/24 - 2084/07/30"/>
          <s v="2084/07/31 - 2084/08/06"/>
          <s v="2084/08/07 - 2084/08/13"/>
          <s v="2084/08/14 - 2084/08/20"/>
          <s v="2084/08/21 - 2084/08/27"/>
          <s v="2084/08/28 - 2084/09/03"/>
          <s v="2084/09/04 - 2084/09/10"/>
          <s v="2084/09/11 - 2084/09/17"/>
          <s v="2084/09/18 - 2084/09/24"/>
          <s v="2084/09/25 - 2084/10/01"/>
          <s v="2084/10/02 - 2084/10/08"/>
          <s v="2084/10/09 - 2084/10/15"/>
          <s v="2084/10/16 - 2084/10/22"/>
          <s v="2084/10/23 - 2084/10/29"/>
          <s v="2084/10/30 - 2084/11/05"/>
          <s v="2084/11/06 - 2084/11/12"/>
          <s v="2084/11/13 - 2084/11/19"/>
          <s v="2084/11/20 - 2084/11/26"/>
          <s v="2084/11/27 - 2084/12/03"/>
          <s v="2084/12/04 - 2084/12/10"/>
          <s v="2084/12/11 - 2084/12/17"/>
          <s v="2084/12/18 - 2084/12/24"/>
          <s v="2084/12/25 - 2084/12/31"/>
          <s v="2085/01/01 - 2085/01/07"/>
          <s v="2085/01/08 - 2085/01/14"/>
          <s v="2085/01/15 - 2085/01/21"/>
          <s v="2085/01/22 - 2085/01/28"/>
          <s v="2085/01/29 - 2085/02/04"/>
          <s v="2085/02/05 - 2085/02/11"/>
          <s v="2085/02/12 - 2085/02/18"/>
          <s v="2085/02/19 - 2085/02/25"/>
          <s v="2085/02/26 - 2085/03/04"/>
          <s v="2085/03/05 - 2085/03/11"/>
          <s v="2085/03/12 - 2085/03/18"/>
          <s v="2085/03/19 - 2085/03/25"/>
          <s v="2085/03/26 - 2085/04/01"/>
          <s v="2085/04/02 - 2085/04/08"/>
          <s v="2085/04/09 - 2085/04/15"/>
          <s v="2085/04/16 - 2085/04/22"/>
          <s v="2085/04/23 - 2085/04/29"/>
          <s v="2085/04/30 - 2085/05/06"/>
          <s v="2085/05/07 - 2085/05/13"/>
          <s v="2085/05/14 - 2085/05/20"/>
          <s v="2085/05/21 - 2085/05/27"/>
          <s v="2085/05/28 - 2085/06/03"/>
          <s v="2085/06/04 - 2085/06/10"/>
          <s v="2085/06/11 - 2085/06/17"/>
          <s v="2085/06/18 - 2085/06/24"/>
          <s v="2085/06/25 - 2085/07/01"/>
          <s v="2085/07/02 - 2085/07/08"/>
          <s v="2085/07/09 - 2085/07/15"/>
          <s v="2085/07/16 - 2085/07/22"/>
          <s v="2085/07/23 - 2085/07/29"/>
          <s v="2085/07/30 - 2085/08/05"/>
          <s v="2085/08/06 - 2085/08/12"/>
          <s v="2085/08/13 - 2085/08/19"/>
          <s v="2085/08/20 - 2085/08/26"/>
          <s v="2085/08/27 - 2085/09/02"/>
          <s v="2085/09/03 - 2085/09/09"/>
          <s v="2085/09/10 - 2085/09/16"/>
          <s v="2085/09/17 - 2085/09/23"/>
          <s v="2085/09/24 - 2085/09/30"/>
          <s v="2085/10/01 - 2085/10/07"/>
          <s v="2085/10/08 - 2085/10/14"/>
          <s v="2085/10/15 - 2085/10/21"/>
          <s v="2085/10/22 - 2085/10/28"/>
          <s v="2085/10/29 - 2085/11/04"/>
          <s v="2085/11/05 - 2085/11/11"/>
          <s v="2085/11/12 - 2085/11/18"/>
          <s v="2085/11/19 - 2085/11/25"/>
          <s v="2085/11/26 - 2085/12/02"/>
          <s v="2085/12/03 - 2085/12/09"/>
          <s v="2085/12/10 - 2085/12/16"/>
          <s v="2085/12/17 - 2085/12/23"/>
          <s v="2085/12/24 - 2085/12/30"/>
          <s v="2085/12/31 - 2086/01/06"/>
          <s v="2086/01/07 - 2086/01/13"/>
          <s v="2086/01/14 - 2086/01/20"/>
          <s v="2086/01/21 - 2086/01/27"/>
          <s v="2086/01/28 - 2086/02/03"/>
          <s v="2086/02/04 - 2086/02/10"/>
          <s v="2086/02/11 - 2086/02/17"/>
          <s v="2086/02/18 - 2086/02/24"/>
          <s v="2086/02/25 - 2086/03/03"/>
          <s v="2086/03/04 - 2086/03/10"/>
          <s v="2086/03/11 - 2086/03/17"/>
          <s v="2086/03/18 - 2086/03/24"/>
          <s v="2086/03/25 - 2086/03/31"/>
          <s v="2086/04/01 - 2086/04/07"/>
          <s v="2086/04/08 - 2086/04/14"/>
          <s v="2086/04/15 - 2086/04/21"/>
          <s v="2086/04/22 - 2086/04/28"/>
          <s v="2086/04/29 - 2086/05/05"/>
          <s v="2086/05/06 - 2086/05/12"/>
          <s v="2086/05/13 - 2086/05/19"/>
          <s v="2086/05/20 - 2086/05/26"/>
          <s v="2086/05/27 - 2086/06/02"/>
          <s v="2086/06/03 - 2086/06/09"/>
          <s v="2086/06/10 - 2086/06/16"/>
          <s v="2086/06/17 - 2086/06/23"/>
          <s v="2086/06/24 - 2086/06/30"/>
          <s v="2086/07/01 - 2086/07/07"/>
          <s v="2086/07/08 - 2086/07/14"/>
          <s v="2086/07/15 - 2086/07/21"/>
          <s v="2086/07/22 - 2086/07/28"/>
          <s v="2086/07/29 - 2086/08/04"/>
          <s v="2086/08/05 - 2086/08/11"/>
          <s v="2086/08/12 - 2086/08/18"/>
          <s v="2086/08/19 - 2086/08/25"/>
          <s v="2086/08/26 - 2086/09/01"/>
          <s v="2086/09/02 - 2086/09/08"/>
          <s v="2086/09/09 - 2086/09/15"/>
          <s v="2086/09/16 - 2086/09/22"/>
          <s v="2086/09/23 - 2086/09/29"/>
          <s v="2086/09/30 - 2086/10/06"/>
          <s v="2086/10/07 - 2086/10/13"/>
          <s v="2086/10/14 - 2086/10/20"/>
          <s v="2086/10/21 - 2086/10/27"/>
          <s v="2086/10/28 - 2086/11/03"/>
          <s v="2086/11/04 - 2086/11/10"/>
          <s v="2086/11/11 - 2086/11/17"/>
          <s v="2086/11/18 - 2086/11/24"/>
          <s v="2086/11/25 - 2086/12/01"/>
          <s v="2086/12/02 - 2086/12/08"/>
          <s v="2086/12/09 - 2086/12/15"/>
          <s v="2086/12/16 - 2086/12/22"/>
          <s v="2086/12/23 - 2086/12/29"/>
          <s v="2086/12/30 - 2087/01/05"/>
          <s v="2087/01/06 - 2087/01/12"/>
          <s v="2087/01/13 - 2087/01/19"/>
          <s v="2087/01/20 - 2087/01/26"/>
          <s v="2087/01/27 - 2087/02/02"/>
          <s v="2087/02/03 - 2087/02/09"/>
          <s v="2087/02/10 - 2087/02/16"/>
          <s v="2087/02/17 - 2087/02/23"/>
          <s v="2087/02/24 - 2087/03/02"/>
          <s v="2087/03/03 - 2087/03/09"/>
          <s v="2087/03/10 - 2087/03/16"/>
          <s v="2087/03/17 - 2087/03/23"/>
          <s v="2087/03/24 - 2087/03/30"/>
          <s v="2087/03/31 - 2087/04/06"/>
          <s v="2087/04/07 - 2087/04/13"/>
          <s v="2087/04/14 - 2087/04/20"/>
          <s v="2087/04/21 - 2087/04/27"/>
          <s v="2087/04/28 - 2087/05/04"/>
          <s v="2087/05/05 - 2087/05/11"/>
          <s v="2087/05/12 - 2087/05/18"/>
          <s v="2087/05/19 - 2087/05/25"/>
          <s v="2087/05/26 - 2087/06/01"/>
          <s v="2087/06/02 - 2087/06/08"/>
          <s v="2087/06/09 - 2087/06/15"/>
          <s v="2087/06/16 - 2087/06/22"/>
          <s v="2087/06/23 - 2087/06/29"/>
          <s v="2087/06/30 - 2087/07/06"/>
          <s v="2087/07/07 - 2087/07/13"/>
          <s v="2087/07/14 - 2087/07/20"/>
          <s v="2087/07/21 - 2087/07/27"/>
          <s v="2087/07/28 - 2087/08/03"/>
          <s v="2087/08/04 - 2087/08/10"/>
          <s v="2087/08/11 - 2087/08/17"/>
          <s v="2087/08/18 - 2087/08/24"/>
          <s v="2087/08/25 - 2087/08/31"/>
          <s v="2087/09/01 - 2087/09/07"/>
          <s v="2087/09/08 - 2087/09/14"/>
          <s v="2087/09/15 - 2087/09/21"/>
          <s v="2087/09/22 - 2087/09/28"/>
          <s v="2087/09/29 - 2087/10/05"/>
          <s v="2087/10/06 - 2087/10/12"/>
          <s v="2087/10/13 - 2087/10/19"/>
          <s v="2087/10/20 - 2087/10/26"/>
          <s v="2087/10/27 - 2087/11/02"/>
          <s v="2087/11/03 - 2087/11/09"/>
          <s v="2087/11/10 - 2087/11/16"/>
          <s v="2087/11/17 - 2087/11/23"/>
          <s v="2087/11/24 - 2087/11/30"/>
          <s v="2087/12/01 - 2087/12/07"/>
          <s v="2087/12/08 - 2087/12/14"/>
          <s v="2087/12/15 - 2087/12/21"/>
          <s v="2087/12/22 - 2087/12/28"/>
          <s v="2087/12/29 - 2088/01/04"/>
          <s v="2088/01/05 - 2088/01/11"/>
          <s v="2088/01/12 - 2088/01/18"/>
          <s v="2088/01/19 - 2088/01/25"/>
          <s v="2088/01/26 - 2088/02/01"/>
          <s v="2088/02/02 - 2088/02/08"/>
          <s v="2088/02/09 - 2088/02/15"/>
          <s v="2088/02/16 - 2088/02/22"/>
          <s v="2088/02/23 - 2088/02/29"/>
          <s v="2088/03/01 - 2088/03/07"/>
          <s v="2088/03/08 - 2088/03/14"/>
          <s v="2088/03/15 - 2088/03/21"/>
          <s v="2088/03/22 - 2088/03/28"/>
          <s v="2088/03/29 - 2088/04/04"/>
          <s v="2088/04/05 - 2088/04/11"/>
          <s v="2088/04/12 - 2088/04/18"/>
          <s v="2088/04/19 - 2088/04/25"/>
          <s v="2088/04/26 - 2088/05/02"/>
          <s v="2088/05/03 - 2088/05/09"/>
          <s v="2088/05/10 - 2088/05/16"/>
          <s v="2088/05/17 - 2088/05/23"/>
          <s v="2088/05/24 - 2088/05/30"/>
          <s v="2088/05/31 - 2088/06/06"/>
          <s v="2088/06/07 - 2088/06/13"/>
          <s v="2088/06/14 - 2088/06/20"/>
          <s v="2088/06/21 - 2088/06/27"/>
          <s v="2088/06/28 - 2088/07/04"/>
          <s v="2088/07/05 - 2088/07/11"/>
          <s v="2088/07/12 - 2088/07/18"/>
          <s v="2088/07/19 - 2088/07/25"/>
          <s v="2088/07/26 - 2088/08/01"/>
          <s v="2088/08/02 - 2088/08/08"/>
          <s v="2088/08/09 - 2088/08/15"/>
          <s v="2088/08/16 - 2088/08/22"/>
          <s v="2088/08/23 - 2088/08/29"/>
          <s v="2088/08/30 - 2088/09/05"/>
          <s v="2088/09/06 - 2088/09/12"/>
          <s v="2088/09/13 - 2088/09/19"/>
          <s v="2088/09/20 - 2088/09/26"/>
          <s v="2088/09/27 - 2088/10/03"/>
          <s v="2088/10/04 - 2088/10/10"/>
          <s v="2088/10/11 - 2088/10/17"/>
          <s v="2088/10/18 - 2088/10/24"/>
          <s v="2088/10/25 - 2088/10/31"/>
          <s v="2088/11/01 - 2088/11/07"/>
          <s v="2088/11/08 - 2088/11/14"/>
          <s v="2088/11/15 - 2088/11/21"/>
          <s v="2088/11/22 - 2088/11/28"/>
          <s v="2088/11/29 - 2088/12/05"/>
          <s v="2088/12/06 - 2088/12/12"/>
          <s v="2088/12/13 - 2088/12/19"/>
          <s v="2088/12/20 - 2088/12/26"/>
          <s v="2088/12/27 - 2089/01/02"/>
          <s v="2089/01/03 - 2089/01/09"/>
          <s v="2089/01/10 - 2089/01/16"/>
          <s v="2089/01/17 - 2089/01/23"/>
          <s v="2089/01/24 - 2089/01/30"/>
          <s v="2089/01/31 - 2089/02/06"/>
          <s v="2089/02/07 - 2089/02/13"/>
          <s v="2089/02/14 - 2089/02/20"/>
          <s v="2089/02/21 - 2089/02/27"/>
          <s v="2089/02/28 - 2089/03/06"/>
          <s v="2089/03/07 - 2089/03/13"/>
          <s v="2089/03/14 - 2089/03/20"/>
          <s v="2089/03/21 - 2089/03/27"/>
          <s v="2089/03/28 - 2089/04/03"/>
          <s v="2089/04/04 - 2089/04/10"/>
          <s v="2089/04/11 - 2089/04/17"/>
          <s v="2089/04/18 - 2089/04/24"/>
          <s v="2089/04/25 - 2089/05/01"/>
          <s v="2089/05/02 - 2089/05/08"/>
          <s v="2089/05/09 - 2089/05/15"/>
          <s v="2089/05/16 - 2089/05/22"/>
          <s v="2089/05/23 - 2089/05/29"/>
          <s v="2089/05/30 - 2089/06/05"/>
          <s v="2089/06/06 - 2089/06/12"/>
          <s v="2089/06/13 - 2089/06/19"/>
          <s v="2089/06/20 - 2089/06/26"/>
          <s v="2089/06/27 - 2089/07/03"/>
          <s v="2089/07/04 - 2089/07/10"/>
          <s v="2089/07/11 - 2089/07/17"/>
          <s v="2089/07/18 - 2089/07/24"/>
          <s v="2089/07/25 - 2089/07/31"/>
          <s v="2089/08/01 - 2089/08/07"/>
          <s v="2089/08/08 - 2089/08/14"/>
          <s v="2089/08/15 - 2089/08/21"/>
          <s v="2089/08/22 - 2089/08/28"/>
          <s v="2089/08/29 - 2089/09/04"/>
          <s v="2089/09/05 - 2089/09/11"/>
          <s v="2089/09/12 - 2089/09/18"/>
          <s v="2089/09/19 - 2089/09/25"/>
          <s v="2089/09/26 - 2089/10/02"/>
          <s v="2089/10/03 - 2089/10/09"/>
          <s v="2089/10/10 - 2089/10/16"/>
          <s v="2089/10/17 - 2089/10/23"/>
          <s v="2089/10/24 - 2089/10/30"/>
          <s v="2089/10/31 - 2089/11/06"/>
          <s v="2089/11/07 - 2089/11/13"/>
          <s v="2089/11/14 - 2089/11/20"/>
          <s v="2089/11/21 - 2089/11/27"/>
          <s v="2089/11/28 - 2089/12/04"/>
          <s v="2089/12/05 - 2089/12/11"/>
          <s v="2089/12/12 - 2089/12/18"/>
          <s v="2089/12/19 - 2089/12/25"/>
          <s v="2089/12/26 - 2090/01/01"/>
          <s v="2090/01/02 - 2090/01/08"/>
          <s v="2090/01/09 - 2090/01/15"/>
          <s v="2090/01/16 - 2090/01/22"/>
          <s v="2090/01/23 - 2090/01/29"/>
          <s v="2090/01/30 - 2090/02/05"/>
          <s v="2090/02/06 - 2090/02/12"/>
          <s v="2090/02/13 - 2090/02/19"/>
          <s v="2090/02/20 - 2090/02/26"/>
          <s v="2090/02/27 - 2090/03/05"/>
          <s v="2090/03/06 - 2090/03/12"/>
          <s v="2090/03/13 - 2090/03/19"/>
          <s v="2090/03/20 - 2090/03/26"/>
          <s v="2090/03/27 - 2090/04/02"/>
          <s v="2090/04/03 - 2090/04/09"/>
          <s v="2090/04/10 - 2090/04/16"/>
          <s v="2090/04/17 - 2090/04/23"/>
          <s v="2090/04/24 - 2090/04/30"/>
          <s v="2090/05/01 - 2090/05/07"/>
          <s v="2090/05/08 - 2090/05/14"/>
          <s v="2090/05/15 - 2090/05/21"/>
          <s v="2090/05/22 - 2090/05/28"/>
          <s v="2090/05/29 - 2090/06/04"/>
          <s v="2090/06/05 - 2090/06/11"/>
          <s v="2090/06/12 - 2090/06/18"/>
          <s v="2090/06/19 - 2090/06/25"/>
          <s v="2090/06/26 - 2090/07/02"/>
          <s v="2090/07/03 - 2090/07/09"/>
          <s v="2090/07/10 - 2090/07/16"/>
          <s v="2090/07/17 - 2090/07/23"/>
          <s v="2090/07/24 - 2090/07/30"/>
          <s v="2090/07/31 - 2090/08/06"/>
          <s v="2090/08/07 - 2090/08/13"/>
          <s v="2090/08/14 - 2090/08/20"/>
          <s v="2090/08/21 - 2090/08/27"/>
          <s v="2090/08/28 - 2090/09/03"/>
          <s v="2090/09/04 - 2090/09/10"/>
          <s v="2090/09/11 - 2090/09/17"/>
          <s v="2090/09/18 - 2090/09/24"/>
          <s v="2090/09/25 - 2090/10/01"/>
          <s v="2090/10/02 - 2090/10/08"/>
          <s v="2090/10/09 - 2090/10/15"/>
          <s v="2090/10/16 - 2090/10/22"/>
          <s v="2090/10/23 - 2090/10/29"/>
          <s v="2090/10/30 - 2090/11/05"/>
          <s v="2090/11/06 - 2090/11/12"/>
          <s v="2090/11/13 - 2090/11/19"/>
          <s v="2090/11/20 - 2090/11/26"/>
          <s v="2090/11/27 - 2090/12/03"/>
          <s v="2090/12/04 - 2090/12/10"/>
          <s v="2090/12/11 - 2090/12/17"/>
          <s v="2090/12/18 - 2090/12/24"/>
          <s v="2090/12/25 - 2090/12/31"/>
          <s v="2091/01/01 - 2091/01/07"/>
          <s v="2091/01/08 - 2091/01/14"/>
          <s v="2091/01/15 - 2091/01/21"/>
          <s v="2091/01/22 - 2091/01/28"/>
          <s v="2091/01/29 - 2091/02/04"/>
          <s v="2091/02/05 - 2091/02/11"/>
          <s v="2091/02/12 - 2091/02/18"/>
          <s v="2091/02/19 - 2091/02/25"/>
          <s v="2091/02/26 - 2091/03/04"/>
          <s v="2091/03/05 - 2091/03/11"/>
          <s v="2091/03/12 - 2091/03/18"/>
          <s v="2091/03/19 - 2091/03/25"/>
          <s v="2091/03/26 - 2091/04/01"/>
          <s v="2091/04/02 - 2091/04/08"/>
          <s v="2091/04/09 - 2091/04/15"/>
          <s v="2091/04/16 - 2091/04/22"/>
          <s v="2091/04/23 - 2091/04/29"/>
          <s v="2091/04/30 - 2091/05/06"/>
          <s v="2091/05/07 - 2091/05/13"/>
          <s v="2091/05/14 - 2091/05/20"/>
          <s v="2091/05/21 - 2091/05/27"/>
          <s v="2091/05/28 - 2091/06/03"/>
          <s v="2091/06/04 - 2091/06/10"/>
          <s v="2091/06/11 - 2091/06/17"/>
          <s v="2091/06/18 - 2091/06/24"/>
          <s v="2091/06/25 - 2091/07/01"/>
          <s v="2091/07/02 - 2091/07/08"/>
          <s v="2091/07/09 - 2091/07/15"/>
          <s v="2091/07/16 - 2091/07/22"/>
          <s v="2091/07/23 - 2091/07/29"/>
          <s v="2091/07/30 - 2091/08/05"/>
          <s v="2091/08/06 - 2091/08/12"/>
          <s v="2091/08/13 - 2091/08/19"/>
          <s v="2091/08/20 - 2091/08/26"/>
          <s v="2091/08/27 - 2091/09/02"/>
          <s v="2091/09/03 - 2091/09/09"/>
          <s v="2091/09/10 - 2091/09/16"/>
          <s v="2091/09/17 - 2091/09/23"/>
          <s v="2091/09/24 - 2091/09/30"/>
          <s v="2091/10/01 - 2091/10/07"/>
          <s v="2091/10/08 - 2091/10/14"/>
          <s v="2091/10/15 - 2091/10/21"/>
          <s v="2091/10/22 - 2091/10/28"/>
          <s v="2091/10/29 - 2091/11/04"/>
          <s v="2091/11/05 - 2091/11/11"/>
          <s v="2091/11/12 - 2091/11/18"/>
          <s v="2091/11/19 - 2091/11/25"/>
          <s v="2091/11/26 - 2091/12/02"/>
          <s v="2091/12/03 - 2091/12/09"/>
          <s v="2091/12/10 - 2091/12/16"/>
          <s v="2091/12/17 - 2091/12/23"/>
          <s v="2091/12/24 - 2091/12/30"/>
          <s v="2091/12/31 - 2092/01/06"/>
          <s v="2092/01/07 - 2092/01/13"/>
          <s v="2092/01/14 - 2092/01/20"/>
          <s v="2092/01/21 - 2092/01/27"/>
          <s v="2092/01/28 - 2092/02/03"/>
          <s v="2092/02/04 - 2092/02/10"/>
          <s v="2092/02/11 - 2092/02/17"/>
          <s v="2092/02/18 - 2092/02/24"/>
          <s v="2092/02/25 - 2092/03/02"/>
          <s v="2092/03/03 - 2092/03/09"/>
          <s v="2092/03/10 - 2092/03/16"/>
          <s v="2092/03/17 - 2092/03/23"/>
          <s v="2092/03/24 - 2092/03/30"/>
          <s v="2092/03/31 - 2092/04/06"/>
          <s v="2092/04/07 - 2092/04/13"/>
          <s v="2092/04/14 - 2092/04/20"/>
          <s v="2092/04/21 - 2092/04/27"/>
          <s v="2092/04/28 - 2092/05/04"/>
          <s v="2092/05/05 - 2092/05/11"/>
          <s v="2092/05/12 - 2092/05/18"/>
          <s v="2092/05/19 - 2092/05/25"/>
          <s v="2092/05/26 - 2092/06/01"/>
          <s v="2092/06/02 - 2092/06/08"/>
          <s v="2092/06/09 - 2092/06/15"/>
          <s v="2092/06/16 - 2092/06/22"/>
          <s v="2092/06/23 - 2092/06/29"/>
          <s v="2092/06/30 - 2092/07/06"/>
          <s v="2092/07/07 - 2092/07/13"/>
          <s v="2092/07/14 - 2092/07/20"/>
          <s v="2092/07/21 - 2092/07/27"/>
          <s v="2092/07/28 - 2092/08/03"/>
          <s v="2092/08/04 - 2092/08/10"/>
          <s v="2092/08/11 - 2092/08/17"/>
          <s v="2092/08/18 - 2092/08/24"/>
          <s v="2092/08/25 - 2092/08/31"/>
          <s v="2092/09/01 - 2092/09/07"/>
          <s v="2092/09/08 - 2092/09/14"/>
          <s v="2092/09/15 - 2092/09/21"/>
          <s v="2092/09/22 - 2092/09/28"/>
          <s v="2092/09/29 - 2092/10/05"/>
          <s v="2092/10/06 - 2092/10/12"/>
          <s v="2092/10/13 - 2092/10/19"/>
          <s v="2092/10/20 - 2092/10/26"/>
          <s v="2092/10/27 - 2092/11/02"/>
          <s v="2092/11/03 - 2092/11/09"/>
          <s v="2092/11/10 - 2092/11/16"/>
          <s v="2092/11/17 - 2092/11/23"/>
          <s v="2092/11/24 - 2092/11/30"/>
          <s v="2092/12/01 - 2092/12/07"/>
          <s v="2092/12/08 - 2092/12/14"/>
          <s v="2092/12/15 - 2092/12/21"/>
          <s v="2092/12/22 - 2092/12/28"/>
          <s v="2092/12/29 - 2093/01/04"/>
          <s v="2093/01/05 - 2093/01/11"/>
          <s v="2093/01/12 - 2093/01/18"/>
          <s v="2093/01/19 - 2093/01/25"/>
          <s v="2093/01/26 - 2093/02/01"/>
          <s v="2093/02/02 - 2093/02/08"/>
          <s v="2093/02/09 - 2093/02/15"/>
          <s v="2093/02/16 - 2093/02/22"/>
          <s v="2093/02/23 - 2093/03/01"/>
          <s v="2093/03/02 - 2093/03/08"/>
          <s v="2093/03/09 - 2093/03/15"/>
          <s v="2093/03/16 - 2093/03/22"/>
          <s v="2093/03/23 - 2093/03/29"/>
          <s v="2093/03/30 - 2093/04/05"/>
          <s v="2093/04/06 - 2093/04/12"/>
          <s v="2093/04/13 - 2093/04/19"/>
          <s v="2093/04/20 - 2093/04/26"/>
          <s v="2093/04/27 - 2093/05/03"/>
          <s v="2093/05/04 - 2093/05/10"/>
          <s v="2093/05/11 - 2093/05/17"/>
          <s v="2093/05/18 - 2093/05/24"/>
          <s v="2093/05/25 - 2093/05/31"/>
          <s v="2093/06/01 - 2093/06/07"/>
          <s v="2093/06/08 - 2093/06/14"/>
          <s v="2093/06/15 - 2093/06/21"/>
          <s v="2093/06/22 - 2093/06/28"/>
          <s v="2093/06/29 - 2093/07/05"/>
          <s v="2093/07/06 - 2093/07/12"/>
          <s v="2093/07/13 - 2093/07/19"/>
          <s v="2093/07/20 - 2093/07/26"/>
          <s v="2093/07/27 - 2093/08/02"/>
          <s v="2093/08/03 - 2093/08/09"/>
          <s v="2093/08/10 - 2093/08/16"/>
          <s v="2093/08/17 - 2093/08/23"/>
          <s v="2093/08/24 - 2093/08/30"/>
          <s v="2093/08/31 - 2093/09/06"/>
          <s v="2093/09/07 - 2093/09/13"/>
          <s v="2093/09/14 - 2093/09/20"/>
          <s v="2093/09/21 - 2093/09/27"/>
          <s v="2093/09/28 - 2093/10/04"/>
          <s v="2093/10/05 - 2093/10/11"/>
          <s v="2093/10/12 - 2093/10/18"/>
          <s v="2093/10/19 - 2093/10/25"/>
          <s v="2093/10/26 - 2093/11/01"/>
          <s v="2093/11/02 - 2093/11/08"/>
          <s v="2093/11/09 - 2093/11/15"/>
          <s v="2093/11/16 - 2093/11/22"/>
          <s v="2093/11/23 - 2093/11/29"/>
          <s v="2093/11/30 - 2093/12/06"/>
          <s v="2093/12/07 - 2093/12/13"/>
          <s v="2093/12/14 - 2093/12/20"/>
          <s v="2093/12/21 - 2093/12/27"/>
          <s v="2093/12/28 - 2094/01/03"/>
          <s v="2094/01/04 - 2094/01/10"/>
          <s v="2094/01/11 - 2094/01/17"/>
          <s v="2094/01/18 - 2094/01/24"/>
          <s v="2094/01/25 - 2094/01/31"/>
          <s v="2094/02/01 - 2094/02/07"/>
          <s v="2094/02/08 - 2094/02/14"/>
          <s v="2094/02/15 - 2094/02/21"/>
          <s v="2094/02/22 - 2094/02/28"/>
          <s v="2094/03/01 - 2094/03/07"/>
          <s v="2094/03/08 - 2094/03/14"/>
          <s v="2094/03/15 - 2094/03/21"/>
          <s v="2094/03/22 - 2094/03/28"/>
          <s v="2094/03/29 - 2094/04/04"/>
          <s v="2094/04/05 - 2094/04/11"/>
          <s v="2094/04/12 - 2094/04/18"/>
          <s v="2094/04/19 - 2094/04/25"/>
          <s v="2094/04/26 - 2094/05/02"/>
          <s v="2094/05/03 - 2094/05/09"/>
          <s v="2094/05/10 - 2094/05/16"/>
          <s v="2094/05/17 - 2094/05/23"/>
          <s v="2094/05/24 - 2094/05/30"/>
          <s v="2094/05/31 - 2094/06/06"/>
          <s v="2094/06/07 - 2094/06/13"/>
          <s v="2094/06/14 - 2094/06/20"/>
          <s v="2094/06/21 - 2094/06/27"/>
          <s v="2094/06/28 - 2094/07/04"/>
          <s v="2094/07/05 - 2094/07/11"/>
          <s v="2094/07/12 - 2094/07/18"/>
          <s v="2094/07/19 - 2094/07/25"/>
          <s v="2094/07/26 - 2094/08/01"/>
          <s v="2094/08/02 - 2094/08/08"/>
          <s v="2094/08/09 - 2094/08/15"/>
          <s v="2094/08/16 - 2094/08/22"/>
          <s v="2094/08/23 - 2094/08/29"/>
          <s v="2094/08/30 - 2094/09/05"/>
          <s v="2094/09/06 - 2094/09/12"/>
          <s v="2094/09/13 - 2094/09/19"/>
          <s v="2094/09/20 - 2094/09/26"/>
          <s v="2094/09/27 - 2094/10/03"/>
          <s v="2094/10/04 - 2094/10/10"/>
          <s v="2094/10/11 - 2094/10/17"/>
          <s v="2094/10/18 - 2094/10/24"/>
          <s v="2094/10/25 - 2094/10/31"/>
          <s v="2094/11/01 - 2094/11/07"/>
          <s v="2094/11/08 - 2094/11/14"/>
          <s v="2094/11/15 - 2094/11/21"/>
          <s v="2094/11/22 - 2094/11/28"/>
          <s v="2094/11/29 - 2094/12/05"/>
          <s v="2094/12/06 - 2094/12/12"/>
          <s v="2094/12/13 - 2094/12/19"/>
          <s v="2094/12/20 - 2094/12/26"/>
          <s v="2094/12/27 - 2095/01/02"/>
          <s v="2095/01/03 - 2095/01/09"/>
          <s v="2095/01/10 - 2095/01/16"/>
          <s v="2095/01/17 - 2095/01/23"/>
          <s v="2095/01/24 - 2095/01/30"/>
          <s v="2095/01/31 - 2095/02/06"/>
          <s v="2095/02/07 - 2095/02/13"/>
          <s v="2095/02/14 - 2095/02/20"/>
          <s v="2095/02/21 - 2095/02/27"/>
          <s v="2095/02/28 - 2095/03/06"/>
          <s v="2095/03/07 - 2095/03/13"/>
          <s v="2095/03/14 - 2095/03/20"/>
          <s v="2095/03/21 - 2095/03/27"/>
          <s v="2095/03/28 - 2095/04/03"/>
          <s v="2095/04/04 - 2095/04/10"/>
          <s v="2095/04/11 - 2095/04/17"/>
          <s v="2095/04/18 - 2095/04/24"/>
          <s v="2095/04/25 - 2095/05/01"/>
          <s v="2095/05/02 - 2095/05/08"/>
          <s v="2095/05/09 - 2095/05/15"/>
          <s v="2095/05/16 - 2095/05/22"/>
          <s v="2095/05/23 - 2095/05/29"/>
          <s v="2095/05/30 - 2095/06/05"/>
          <s v="2095/06/06 - 2095/06/12"/>
          <s v="2095/06/13 - 2095/06/19"/>
          <s v="2095/06/20 - 2095/06/26"/>
          <s v="2095/06/27 - 2095/07/03"/>
          <s v="2095/07/04 - 2095/07/10"/>
          <s v="2095/07/11 - 2095/07/17"/>
          <s v="2095/07/18 - 2095/07/24"/>
          <s v="2095/07/25 - 2095/07/31"/>
          <s v="2095/08/01 - 2095/08/07"/>
          <s v="2095/08/08 - 2095/08/14"/>
          <s v="2095/08/15 - 2095/08/21"/>
          <s v="2095/08/22 - 2095/08/28"/>
          <s v="2095/08/29 - 2095/09/04"/>
          <s v="2095/09/05 - 2095/09/11"/>
          <s v="2095/09/12 - 2095/09/18"/>
          <s v="2095/09/19 - 2095/09/25"/>
          <s v="2095/09/26 - 2095/10/02"/>
          <s v="2095/10/03 - 2095/10/09"/>
          <s v="2095/10/10 - 2095/10/16"/>
          <s v="2095/10/17 - 2095/10/23"/>
          <s v="2095/10/24 - 2095/10/30"/>
          <s v="2095/10/31 - 2095/11/06"/>
          <s v="2095/11/07 - 2095/11/13"/>
          <s v="2095/11/14 - 2095/11/20"/>
          <s v="2095/11/21 - 2095/11/27"/>
          <s v="2095/11/28 - 2095/12/04"/>
          <s v="2095/12/05 - 2095/12/11"/>
          <s v="2095/12/12 - 2095/12/18"/>
          <s v="2095/12/19 - 2095/12/25"/>
          <s v="2095/12/26 - 2096/01/01"/>
          <s v="2096/01/02 - 2096/01/08"/>
          <s v="2096/01/09 - 2096/01/15"/>
          <s v="2096/01/16 - 2096/01/22"/>
          <s v="2096/01/23 - 2096/01/29"/>
          <s v="2096/01/30 - 2096/02/05"/>
          <s v="2096/02/06 - 2096/02/12"/>
          <s v="2096/02/13 - 2096/02/19"/>
          <s v="2096/02/20 - 2096/02/26"/>
          <s v="2096/02/27 - 2096/03/04"/>
          <s v="2096/03/05 - 2096/03/11"/>
          <s v="2096/03/12 - 2096/03/18"/>
          <s v="2096/03/19 - 2096/03/25"/>
          <s v="2096/03/26 - 2096/04/01"/>
          <s v="2096/04/02 - 2096/04/08"/>
          <s v="2096/04/09 - 2096/04/15"/>
          <s v="2096/04/16 - 2096/04/22"/>
          <s v="2096/04/23 - 2096/04/29"/>
          <s v="2096/04/30 - 2096/05/06"/>
          <s v="2096/05/07 - 2096/05/13"/>
          <s v="2096/05/14 - 2096/05/20"/>
          <s v="2096/05/21 - 2096/05/27"/>
          <s v="2096/05/28 - 2096/06/03"/>
          <s v="2096/06/04 - 2096/06/10"/>
          <s v="2096/06/11 - 2096/06/17"/>
          <s v="2096/06/18 - 2096/06/24"/>
          <s v="2096/06/25 - 2096/07/01"/>
          <s v="2096/07/02 - 2096/07/08"/>
          <s v="2096/07/09 - 2096/07/15"/>
          <s v="2096/07/16 - 2096/07/22"/>
          <s v="2096/07/23 - 2096/07/29"/>
          <s v="2096/07/30 - 2096/08/05"/>
          <s v="2096/08/06 - 2096/08/12"/>
          <s v="2096/08/13 - 2096/08/19"/>
          <s v="2096/08/20 - 2096/08/26"/>
          <s v="2096/08/27 - 2096/09/02"/>
          <s v="2096/09/03 - 2096/09/09"/>
          <s v="2096/09/10 - 2096/09/16"/>
          <s v="2096/09/17 - 2096/09/23"/>
          <s v="2096/09/24 - 2096/09/30"/>
          <s v="2096/10/01 - 2096/10/07"/>
          <s v="2096/10/08 - 2096/10/14"/>
          <s v="2096/10/15 - 2096/10/21"/>
          <s v="2096/10/22 - 2096/10/28"/>
          <s v="2096/10/29 - 2096/11/04"/>
          <s v="2096/11/05 - 2096/11/11"/>
          <s v="2096/11/12 - 2096/11/18"/>
          <s v="2096/11/19 - 2096/11/25"/>
          <s v="2096/11/26 - 2096/12/02"/>
          <s v="2096/12/03 - 2096/12/09"/>
          <s v="2096/12/10 - 2096/12/16"/>
          <s v="2096/12/17 - 2096/12/23"/>
          <s v="2096/12/24 - 2096/12/30"/>
          <s v="2096/12/31 - 2097/01/06"/>
          <s v="2097/01/07 - 2097/01/13"/>
          <s v="2097/01/14 - 2097/01/20"/>
          <s v="2097/01/21 - 2097/01/27"/>
          <s v="2097/01/28 - 2097/02/03"/>
          <s v="2097/02/04 - 2097/02/10"/>
          <s v="2097/02/11 - 2097/02/17"/>
          <s v="2097/02/18 - 2097/02/24"/>
          <s v="2097/02/25 - 2097/03/03"/>
          <s v="2097/03/04 - 2097/03/10"/>
          <s v="2097/03/11 - 2097/03/17"/>
          <s v="2097/03/18 - 2097/03/24"/>
          <s v="2097/03/25 - 2097/03/31"/>
          <s v="2097/04/01 - 2097/04/07"/>
          <s v="2097/04/08 - 2097/04/14"/>
          <s v="2097/04/15 - 2097/04/21"/>
          <s v="2097/04/22 - 2097/04/28"/>
          <s v="2097/04/29 - 2097/05/05"/>
          <s v="2097/05/06 - 2097/05/12"/>
          <s v="2097/05/13 - 2097/05/19"/>
          <s v="2097/05/20 - 2097/05/26"/>
          <s v="2097/05/27 - 2097/06/02"/>
          <s v="2097/06/03 - 2097/06/09"/>
          <s v="2097/06/10 - 2097/06/16"/>
          <s v="2097/06/17 - 2097/06/23"/>
          <s v="2097/06/24 - 2097/06/30"/>
          <s v="2097/07/01 - 2097/07/07"/>
          <s v="2097/07/08 - 2097/07/14"/>
          <s v="2097/07/15 - 2097/07/21"/>
          <s v="2097/07/22 - 2097/07/28"/>
          <s v="2097/07/29 - 2097/08/04"/>
          <s v="2097/08/05 - 2097/08/11"/>
          <s v="2097/08/12 - 2097/08/18"/>
          <s v="2097/08/19 - 2097/08/25"/>
          <s v="2097/08/26 - 2097/09/01"/>
          <s v="2097/09/02 - 2097/09/08"/>
          <s v="2097/09/09 - 2097/09/15"/>
          <s v="2097/09/16 - 2097/09/22"/>
          <s v="2097/09/23 - 2097/09/29"/>
          <s v="2097/09/30 - 2097/10/06"/>
          <s v="2097/10/07 - 2097/10/13"/>
          <s v="2097/10/14 - 2097/10/20"/>
          <s v="2097/10/21 - 2097/10/27"/>
          <s v="2097/10/28 - 2097/11/03"/>
          <s v="2097/11/04 - 2097/11/10"/>
          <s v="2097/11/11 - 2097/11/17"/>
          <s v="2097/11/18 - 2097/11/24"/>
          <s v="2097/11/25 - 2097/12/01"/>
          <s v="2097/12/02 - 2097/12/08"/>
          <s v="2097/12/09 - 2097/12/15"/>
          <s v="2097/12/16 - 2097/12/22"/>
          <s v="2097/12/23 - 2097/12/29"/>
          <s v="2097/12/30 - 2098/01/05"/>
          <s v="2098/01/06 - 2098/01/12"/>
          <s v="2098/01/13 - 2098/01/19"/>
          <s v="2098/01/20 - 2098/01/26"/>
          <s v="2098/01/27 - 2098/02/02"/>
          <s v="2098/02/03 - 2098/02/09"/>
          <s v="2098/02/10 - 2098/02/16"/>
          <s v="2098/02/17 - 2098/02/23"/>
          <s v="2098/02/24 - 2098/03/02"/>
          <s v="2098/03/03 - 2098/03/09"/>
          <s v="2098/03/10 - 2098/03/16"/>
          <s v="2098/03/17 - 2098/03/23"/>
          <s v="2098/03/24 - 2098/03/30"/>
          <s v="2098/03/31 - 2098/04/06"/>
          <s v="2098/04/07 - 2098/04/13"/>
          <s v="2098/04/14 - 2098/04/20"/>
          <s v="2098/04/21 - 2098/04/27"/>
          <s v="2098/04/28 - 2098/05/04"/>
          <s v="2098/05/05 - 2098/05/11"/>
          <s v="2098/05/12 - 2098/05/18"/>
          <s v="2098/05/19 - 2098/05/25"/>
          <s v="2098/05/26 - 2098/06/01"/>
          <s v="2098/06/02 - 2098/06/08"/>
          <s v="2098/06/09 - 2098/06/15"/>
          <s v="2098/06/16 - 2098/06/22"/>
          <s v="2098/06/23 - 2098/06/29"/>
          <s v="2098/06/30 - 2098/07/06"/>
          <s v="2098/07/07 - 2098/07/13"/>
          <s v="2098/07/14 - 2098/07/20"/>
          <s v="2098/07/21 - 2098/07/27"/>
          <s v="2098/07/28 - 2098/08/03"/>
          <s v="2098/08/04 - 2098/08/10"/>
          <s v="2098/08/11 - 2098/08/17"/>
          <s v="2098/08/18 - 2098/08/24"/>
          <s v="2098/08/25 - 2098/08/31"/>
          <s v="2098/09/01 - 2098/09/07"/>
          <s v="2098/09/08 - 2098/09/14"/>
          <s v="2098/09/15 - 2098/09/21"/>
          <s v="2098/09/22 - 2098/09/28"/>
          <s v="2098/09/29 - 2098/10/05"/>
          <s v="2098/10/06 - 2098/10/12"/>
          <s v="2098/10/13 - 2098/10/19"/>
          <s v="2098/10/20 - 2098/10/26"/>
          <s v="2098/10/27 - 2098/11/02"/>
          <s v="2098/11/03 - 2098/11/09"/>
          <s v="2098/11/10 - 2098/11/16"/>
          <s v="2098/11/17 - 2098/11/23"/>
          <s v="2098/11/24 - 2098/11/30"/>
          <s v="2098/12/01 - 2098/12/07"/>
          <s v="2098/12/08 - 2098/12/14"/>
          <s v="2098/12/15 - 2098/12/21"/>
          <s v="2098/12/22 - 2098/12/28"/>
          <s v="2098/12/29 - 2099/01/04"/>
          <s v="2099/01/05 - 2099/01/11"/>
          <s v="2099/01/12 - 2099/01/18"/>
          <s v="2099/01/19 - 2099/01/25"/>
          <s v="2099/01/26 - 2099/02/01"/>
          <s v="2099/02/02 - 2099/02/08"/>
          <s v="2099/02/09 - 2099/02/15"/>
          <s v="2099/02/16 - 2099/02/22"/>
          <s v="2099/02/23 - 2099/03/01"/>
          <s v="2099/03/02 - 2099/03/08"/>
          <s v="2099/03/09 - 2099/03/15"/>
          <s v="2099/03/16 - 2099/03/22"/>
          <s v="2099/03/23 - 2099/03/29"/>
          <s v="2099/03/30 - 2099/04/05"/>
          <s v="2099/04/06 - 2099/04/12"/>
          <s v="2099/04/13 - 2099/04/19"/>
          <s v="2099/04/20 - 2099/04/26"/>
          <s v="2099/04/27 - 2099/05/03"/>
          <s v="2099/05/04 - 2099/05/10"/>
          <s v="2099/05/11 - 2099/05/17"/>
          <s v="2099/05/18 - 2099/05/24"/>
          <s v="2099/05/25 - 2099/05/31"/>
          <s v="2099/06/01 - 2099/06/07"/>
          <s v="2099/06/08 - 2099/06/14"/>
          <s v="2099/06/15 - 2099/06/21"/>
          <s v="2099/06/22 - 2099/06/28"/>
          <s v="2099/06/29 - 2099/07/05"/>
          <s v="2099/07/06 - 2099/07/12"/>
          <s v="2099/07/13 - 2099/07/19"/>
          <s v="2099/07/20 - 2099/07/26"/>
          <s v="2099/07/27 - 2099/08/02"/>
          <s v="2099/08/03 - 2099/08/09"/>
          <s v="2099/08/10 - 2099/08/16"/>
          <s v="2099/08/17 - 2099/08/23"/>
          <s v="2099/08/24 - 2099/08/30"/>
          <s v="2099/08/31 - 2099/09/06"/>
          <s v="2099/09/07 - 2099/09/13"/>
          <s v="2099/09/14 - 2099/09/20"/>
          <s v="2099/09/21 - 2099/09/27"/>
          <s v="2099/09/28 - 2099/10/04"/>
          <s v="2099/10/05 - 2099/10/11"/>
          <s v="2099/10/12 - 2099/10/18"/>
          <s v="2099/10/19 - 2099/10/25"/>
          <s v="2099/10/26 - 2099/11/01"/>
          <s v="2099/11/02 - 2099/11/08"/>
          <s v="2099/11/09 - 2099/11/15"/>
          <s v="2099/11/16 - 2099/11/22"/>
          <s v="2099/11/23 - 2099/11/29"/>
          <s v="2099/11/30 - 2099/12/06"/>
          <s v="2099/12/07 - 2099/12/13"/>
          <s v="2099/12/14 - 2099/12/20"/>
          <s v="2099/12/21 - 2099/12/27"/>
          <s v="2099/12/28 - 2100/01/03"/>
          <s v="2100/01/04 - 2100/01/10"/>
          <s v="2100/01/11 - 2100/01/17"/>
          <s v="2100/01/18 - 2100/01/24"/>
          <s v="2100/01/25 - 2100/01/31"/>
          <s v="2100/02/01 - 2100/02/07"/>
          <s v="2100/02/08 - 2100/02/14"/>
          <s v="2100/02/15 - 2100/02/21"/>
          <s v="2100/02/22 - 2100/02/28"/>
          <s v="2100/03/01 - 2100/03/07"/>
          <s v="2100/03/08 - 2100/03/14"/>
          <s v="2100/03/15 - 2100/03/21"/>
          <s v="2100/03/22 - 2100/03/28"/>
          <s v="2100/03/29 - 2100/04/04"/>
          <s v="2100/04/05 - 2100/04/11"/>
          <s v="2100/04/12 - 2100/04/18"/>
          <s v="2100/04/19 - 2100/04/25"/>
          <s v="2100/04/26 - 2100/05/02"/>
          <s v="2100/05/03 - 2100/05/09"/>
          <s v="2100/05/10 - 2100/05/16"/>
          <s v="2100/05/17 - 2100/05/23"/>
          <s v="2100/05/24 - 2100/05/30"/>
          <s v="2100/05/31 - 2100/06/06"/>
          <s v="2100/06/07 - 2100/06/13"/>
          <s v="2100/06/14 - 2100/06/20"/>
          <s v="2100/06/21 - 2100/06/27"/>
          <s v="2100/06/28 - 2100/07/04"/>
          <s v="2100/07/05 - 2100/07/11"/>
          <s v="2100/07/12 - 2100/07/18"/>
          <s v="2100/07/19 - 2100/07/25"/>
          <s v="2100/07/26 - 2100/08/01"/>
          <s v="2100/08/02 - 2100/08/08"/>
          <s v="2100/08/09 - 2100/08/15"/>
          <s v="2100/08/16 - 2100/08/22"/>
          <s v="2100/08/23 - 2100/08/29"/>
          <s v="2100/08/30 - 2100/09/05"/>
          <s v="2100/09/06 - 2100/09/12"/>
          <s v="2100/09/13 - 2100/09/19"/>
          <s v="2100/09/20 - 2100/09/26"/>
          <s v="2100/09/27 - 2100/10/03"/>
          <s v="2100/10/04 - 2100/10/10"/>
          <s v="2100/10/11 - 2100/10/17"/>
          <s v="2100/10/18 - 2100/10/24"/>
          <s v="2100/10/25 - 2100/10/31"/>
          <s v="2100/11/01 - 2100/11/07"/>
          <s v="2100/11/08 - 2100/11/14"/>
          <s v="2100/11/15 - 2100/11/21"/>
          <s v="2100/11/22 - 2100/11/28"/>
          <s v="2100/11/29 - 2100/12/05"/>
          <s v="2100/12/06 - 2100/12/12"/>
          <s v="2100/12/13 - 2100/12/19"/>
          <s v="2100/12/20 - 2100/12/26"/>
          <s v="2100/12/27 - 2101/01/02"/>
          <s v="2101/01/03 - 2101/01/09"/>
          <s v="2101/01/10 - 2101/01/16"/>
          <s v="2101/01/17 - 2101/01/23"/>
          <s v="2101/01/24 - 2101/01/30"/>
          <s v="2101/01/31 - 2101/02/06"/>
          <s v="2101/02/07 - 2101/02/13"/>
          <s v="2101/02/14 - 2101/02/20"/>
          <s v="2101/02/21 - 2101/02/27"/>
          <s v="2101/02/28 - 2101/03/06"/>
          <s v="2101/03/07 - 2101/03/13"/>
          <s v="2101/03/14 - 2101/03/20"/>
          <s v="2101/03/21 - 2101/03/27"/>
          <s v="2101/03/28 - 2101/04/03"/>
          <s v="2101/04/04 - 2101/04/10"/>
          <s v="2101/04/11 - 2101/04/17"/>
          <s v="2101/04/18 - 2101/04/24"/>
          <s v="2101/04/25 - 2101/05/01"/>
          <s v="2101/05/02 - 2101/05/08"/>
          <s v="2101/05/09 - 2101/05/15"/>
          <s v="2101/05/16 - 2101/05/22"/>
          <s v="2101/05/23 - 2101/05/29"/>
          <s v="2101/05/30 - 2101/06/05"/>
          <s v="2101/06/06 - 2101/06/12"/>
          <s v="2101/06/13 - 2101/06/19"/>
          <s v="2101/06/20 - 2101/06/26"/>
          <s v="2101/06/27 - 2101/07/03"/>
          <s v="2101/07/04 - 2101/07/10"/>
          <s v="2101/07/11 - 2101/07/17"/>
          <s v="2101/07/18 - 2101/07/24"/>
          <s v="2101/07/25 - 2101/07/31"/>
          <s v="2101/08/01 - 2101/08/07"/>
          <s v="2101/08/08 - 2101/08/14"/>
          <s v="2101/08/15 - 2101/08/21"/>
          <s v="2101/08/22 - 2101/08/28"/>
          <s v="2101/08/29 - 2101/09/04"/>
          <s v="2101/09/05 - 2101/09/11"/>
          <s v="2101/09/12 - 2101/09/18"/>
          <s v="2101/09/19 - 2101/09/25"/>
          <s v="2101/09/26 - 2101/10/02"/>
          <s v="2101/10/03 - 2101/10/09"/>
          <s v="2101/10/10 - 2101/10/16"/>
          <s v="2101/10/17 - 2101/10/23"/>
          <s v="2101/10/24 - 2101/10/30"/>
          <s v="2101/10/31 - 2101/11/06"/>
          <s v="2101/11/07 - 2101/11/13"/>
          <s v="2101/11/14 - 2101/11/20"/>
          <s v="2101/11/21 - 2101/11/27"/>
          <s v="2101/11/28 - 2101/12/04"/>
          <s v="2101/12/05 - 2101/12/11"/>
          <s v="2101/12/12 - 2101/12/18"/>
          <s v="2101/12/19 - 2101/12/25"/>
          <s v="2101/12/26 - 2102/01/01"/>
          <s v="2102/01/02 - 2102/01/08"/>
          <s v="2102/01/09 - 2102/01/15"/>
          <s v="2102/01/16 - 2102/01/22"/>
          <s v="2102/01/23 - 2102/01/29"/>
          <s v="2102/01/30 - 2102/02/05"/>
          <s v="2102/02/06 - 2102/02/12"/>
          <s v="2102/02/13 - 2102/02/19"/>
          <s v="2102/02/20 - 2102/02/26"/>
          <s v="2102/02/27 - 2102/03/05"/>
          <s v="2102/03/06 - 2102/03/12"/>
          <s v="2102/03/13 - 2102/03/19"/>
          <s v="2102/03/20 - 2102/03/26"/>
          <s v="2102/03/27 - 2102/04/02"/>
          <s v="2102/04/03 - 2102/04/09"/>
          <s v="2102/04/10 - 2102/04/16"/>
          <s v="2102/04/17 - 2102/04/23"/>
          <s v="2102/04/24 - 2102/04/30"/>
          <s v="2102/05/01 - 2102/05/07"/>
          <s v="2102/05/08 - 2102/05/14"/>
          <s v="2102/05/15 - 2102/05/21"/>
          <s v="2102/05/22 - 2102/05/28"/>
          <s v="2102/05/29 - 2102/06/04"/>
          <s v="2102/06/05 - 2102/06/11"/>
          <s v="2102/06/12 - 2102/06/18"/>
          <s v="2102/06/19 - 2102/06/25"/>
          <s v="2102/06/26 - 2102/07/02"/>
          <s v="2102/07/03 - 2102/07/09"/>
          <s v="2102/07/10 - 2102/07/16"/>
          <s v="2102/07/17 - 2102/07/23"/>
          <s v="2102/07/24 - 2102/07/30"/>
          <s v="2102/07/31 - 2102/08/06"/>
          <s v="2102/08/07 - 2102/08/13"/>
          <s v="2102/08/14 - 2102/08/20"/>
          <s v="2102/08/21 - 2102/08/27"/>
          <s v="2102/08/28 - 2102/09/03"/>
          <s v="2102/09/04 - 2102/09/10"/>
          <s v="2102/09/11 - 2102/09/17"/>
          <s v="2102/09/18 - 2102/09/24"/>
          <s v="2102/09/25 - 2102/10/01"/>
          <s v="2102/10/02 - 2102/10/08"/>
          <s v="2102/10/09 - 2102/10/15"/>
          <s v="2102/10/16 - 2102/10/22"/>
          <s v="2102/10/23 - 2102/10/29"/>
          <s v="2102/10/30 - 2102/11/05"/>
          <s v="2102/11/06 - 2102/11/12"/>
          <s v="2102/11/13 - 2102/11/19"/>
          <s v="2102/11/20 - 2102/11/26"/>
          <s v="2102/11/27 - 2102/12/03"/>
          <s v="2102/12/04 - 2102/12/10"/>
          <s v="2102/12/11 - 2102/12/17"/>
          <s v="2102/12/18 - 2102/12/24"/>
          <s v="2102/12/25 - 2102/12/31"/>
          <s v="2103/01/01 - 2103/01/07"/>
          <s v="2103/01/08 - 2103/01/14"/>
          <s v="2103/01/15 - 2103/01/21"/>
          <s v="2103/01/22 - 2103/01/28"/>
          <s v="2103/01/29 - 2103/02/04"/>
          <s v="2103/02/05 - 2103/02/11"/>
          <s v="2103/02/12 - 2103/02/18"/>
          <s v="2103/02/19 - 2103/02/25"/>
          <s v="2103/02/26 - 2103/03/04"/>
          <s v="2103/03/05 - 2103/03/11"/>
          <s v="2103/03/12 - 2103/03/18"/>
          <s v="2103/03/19 - 2103/03/25"/>
          <s v="2103/03/26 - 2103/04/01"/>
          <s v="2103/04/02 - 2103/04/08"/>
          <s v="2103/04/09 - 2103/04/15"/>
          <s v="2103/04/16 - 2103/04/22"/>
          <s v="2103/04/23 - 2103/04/29"/>
          <s v="2103/04/30 - 2103/05/06"/>
          <s v="2103/05/07 - 2103/05/13"/>
          <s v="2103/05/14 - 2103/05/20"/>
          <s v="2103/05/21 - 2103/05/27"/>
          <s v="2103/05/28 - 2103/06/03"/>
          <s v="2103/06/04 - 2103/06/10"/>
          <s v="2103/06/11 - 2103/06/17"/>
          <s v="2103/06/18 - 2103/06/24"/>
          <s v="2103/06/25 - 2103/07/01"/>
          <s v="2103/07/02 - 2103/07/08"/>
          <s v="2103/07/09 - 2103/07/15"/>
          <s v="2103/07/16 - 2103/07/22"/>
          <s v="2103/07/23 - 2103/07/29"/>
          <s v="2103/07/30 - 2103/08/05"/>
          <s v="2103/08/06 - 2103/08/12"/>
          <s v="2103/08/13 - 2103/08/19"/>
          <s v="2103/08/20 - 2103/08/26"/>
          <s v="2103/08/27 - 2103/09/02"/>
          <s v="2103/09/03 - 2103/09/09"/>
          <s v="2103/09/10 - 2103/09/16"/>
          <s v="2103/09/17 - 2103/09/23"/>
          <s v="2103/09/24 - 2103/09/30"/>
          <s v="2103/10/01 - 2103/10/07"/>
          <s v="2103/10/08 - 2103/10/14"/>
          <s v="2103/10/15 - 2103/10/21"/>
          <s v="2103/10/22 - 2103/10/28"/>
          <s v="2103/10/29 - 2103/11/04"/>
          <s v="2103/11/05 - 2103/11/11"/>
          <s v="2103/11/12 - 2103/11/18"/>
          <s v="2103/11/19 - 2103/11/25"/>
          <s v="2103/11/26 - 2103/12/02"/>
          <s v="2103/12/03 - 2103/12/09"/>
          <s v="2103/12/10 - 2103/12/16"/>
          <s v="2103/12/17 - 2103/12/23"/>
          <s v="2103/12/24 - 2103/12/30"/>
          <s v="2103/12/31 - 2104/01/06"/>
          <s v="2104/01/07 - 2104/01/13"/>
          <s v="2104/01/14 - 2104/01/20"/>
          <s v="2104/01/21 - 2104/01/27"/>
          <s v="2104/01/28 - 2104/02/03"/>
          <s v="2104/02/04 - 2104/02/10"/>
          <s v="2104/02/11 - 2104/02/17"/>
          <s v="2104/02/18 - 2104/02/24"/>
          <s v="2104/02/25 - 2104/03/02"/>
          <s v="2104/03/03 - 2104/03/09"/>
          <s v="2104/03/10 - 2104/03/16"/>
          <s v="2104/03/17 - 2104/03/23"/>
          <s v="2104/03/24 - 2104/03/30"/>
          <s v="2104/03/31 - 2104/04/06"/>
          <s v="2104/04/07 - 2104/04/13"/>
          <s v="2104/04/14 - 2104/04/20"/>
          <s v="2104/04/21 - 2104/04/27"/>
          <s v="2104/04/28 - 2104/05/04"/>
          <s v="2104/05/05 - 2104/05/11"/>
          <s v="2104/05/12 - 2104/05/18"/>
          <s v="2104/05/19 - 2104/05/25"/>
          <s v="2104/05/26 - 2104/06/01"/>
          <s v="2104/06/02 - 2104/06/08"/>
          <s v="2104/06/09 - 2104/06/15"/>
          <s v="2104/06/16 - 2104/06/22"/>
          <s v="2104/06/23 - 2104/06/29"/>
          <s v="2104/06/30 - 2104/07/06"/>
          <s v="2104/07/07 - 2104/07/13"/>
          <s v="2104/07/14 - 2104/07/20"/>
          <s v="2104/07/21 - 2104/07/27"/>
          <s v="2104/07/28 - 2104/08/03"/>
          <s v="2104/08/04 - 2104/08/10"/>
          <s v="2104/08/11 - 2104/08/17"/>
          <s v="2104/08/18 - 2104/08/24"/>
          <s v="2104/08/25 - 2104/08/31"/>
          <s v="2104/09/01 - 2104/09/07"/>
          <s v="2104/09/08 - 2104/09/14"/>
          <s v="2104/09/15 - 2104/09/21"/>
          <s v="2104/09/22 - 2104/09/28"/>
          <s v="2104/09/29 - 2104/10/05"/>
          <s v="2104/10/06 - 2104/10/12"/>
          <s v="2104/10/13 - 2104/10/19"/>
          <s v="2104/10/20 - 2104/10/26"/>
          <s v="2104/10/27 - 2104/11/02"/>
          <s v="2104/11/03 - 2104/11/09"/>
          <s v="2104/11/10 - 2104/11/16"/>
          <s v="2104/11/17 - 2104/11/23"/>
          <s v="2104/11/24 - 2104/11/30"/>
          <s v="2104/12/01 - 2104/12/07"/>
          <s v="2104/12/08 - 2104/12/14"/>
          <s v="2104/12/15 - 2104/12/21"/>
          <s v="2104/12/22 - 2104/12/28"/>
          <s v="2104/12/29 - 2105/01/04"/>
          <s v="2105/01/05 - 2105/01/11"/>
          <s v="2105/01/12 - 2105/01/18"/>
          <s v="2105/01/19 - 2105/01/25"/>
          <s v="2105/01/26 - 2105/02/01"/>
          <s v="2105/02/02 - 2105/02/08"/>
          <s v="2105/02/09 - 2105/02/15"/>
          <s v="2105/02/16 - 2105/02/22"/>
          <s v="2105/02/23 - 2105/03/01"/>
          <s v="2105/03/02 - 2105/03/08"/>
          <s v="2105/03/09 - 2105/03/15"/>
          <s v="2105/03/16 - 2105/03/22"/>
          <s v="2105/03/23 - 2105/03/29"/>
          <s v="2105/03/30 - 2105/04/05"/>
          <s v="2105/04/06 - 2105/04/12"/>
          <s v="2105/04/13 - 2105/04/19"/>
          <s v="2105/04/20 - 2105/04/26"/>
          <s v="2105/04/27 - 2105/05/03"/>
          <s v="2105/05/04 - 2105/05/10"/>
          <s v="2105/05/11 - 2105/05/17"/>
          <s v="2105/05/18 - 2105/05/24"/>
          <s v="2105/05/25 - 2105/05/31"/>
          <s v="2105/06/01 - 2105/06/07"/>
          <s v="2105/06/08 - 2105/06/14"/>
          <s v="2105/06/15 - 2105/06/21"/>
          <s v="2105/06/22 - 2105/06/28"/>
          <s v="2105/06/29 - 2105/07/05"/>
          <s v="2105/07/06 - 2105/07/12"/>
          <s v="2105/07/13 - 2105/07/19"/>
          <s v="2105/07/20 - 2105/07/26"/>
          <s v="2105/07/27 - 2105/08/02"/>
          <s v="2105/08/03 - 2105/08/09"/>
          <s v="2105/08/10 - 2105/08/16"/>
          <s v="2105/08/17 - 2105/08/23"/>
          <s v="2105/08/24 - 2105/08/30"/>
          <s v="2105/08/31 - 2105/09/06"/>
          <s v="2105/09/07 - 2105/09/13"/>
          <s v="2105/09/14 - 2105/09/20"/>
          <s v="2105/09/21 - 2105/09/27"/>
          <s v="2105/09/28 - 2105/10/04"/>
          <s v="2105/10/05 - 2105/10/11"/>
          <s v="2105/10/12 - 2105/10/18"/>
          <s v="2105/10/19 - 2105/10/25"/>
          <s v="2105/10/26 - 2105/11/01"/>
          <s v="2105/11/02 - 2105/11/08"/>
          <s v="2105/11/09 - 2105/11/15"/>
          <s v="2105/11/16 - 2105/11/22"/>
          <s v="2105/11/23 - 2105/11/29"/>
          <s v="2105/11/30 - 2105/12/06"/>
          <s v="2105/12/07 - 2105/12/13"/>
          <s v="2105/12/14 - 2105/12/20"/>
          <s v="2105/12/21 - 2105/12/27"/>
          <s v="2105/12/28 - 2106/01/03"/>
          <s v="2106/01/04 - 2106/01/10"/>
          <s v="2106/01/11 - 2106/01/17"/>
          <s v="2106/01/18 - 2106/01/24"/>
          <s v="2106/01/25 - 2106/01/31"/>
          <s v="2106/02/01 - 2106/02/07"/>
          <s v="2106/02/08 - 2106/02/14"/>
          <s v="2106/02/15 - 2106/02/21"/>
          <s v="2106/02/22 - 2106/02/28"/>
          <s v="2106/03/01 - 2106/03/07"/>
          <s v="2106/03/08 - 2106/03/14"/>
          <s v="2106/03/15 - 2106/03/21"/>
          <s v="2106/03/22 - 2106/03/28"/>
          <s v="2106/03/29 - 2106/04/04"/>
          <s v="2106/04/05 - 2106/04/11"/>
          <s v="2106/04/12 - 2106/04/18"/>
          <s v="2106/04/19 - 2106/04/25"/>
          <s v="2106/04/26 - 2106/05/02"/>
          <s v="2106/05/03 - 2106/05/09"/>
          <s v="2106/05/10 - 2106/05/16"/>
          <s v="2106/05/17 - 2106/05/23"/>
          <s v="2106/05/24 - 2106/05/30"/>
          <s v="2106/05/31 - 2106/06/06"/>
          <s v="2106/06/07 - 2106/06/13"/>
          <s v="2106/06/14 - 2106/06/20"/>
          <s v="2106/06/21 - 2106/06/27"/>
          <s v="2106/06/28 - 2106/07/04"/>
          <s v="2106/07/05 - 2106/07/11"/>
          <s v="2106/07/12 - 2106/07/18"/>
          <s v="2106/07/19 - 2106/07/25"/>
          <s v="2106/07/26 - 2106/08/01"/>
          <s v="2106/08/02 - 2106/08/08"/>
          <s v="2106/08/09 - 2106/08/15"/>
          <s v="2106/08/16 - 2106/08/22"/>
          <s v="2106/08/23 - 2106/08/29"/>
          <s v="2106/08/30 - 2106/09/05"/>
          <s v="2106/09/06 - 2106/09/12"/>
          <s v="2106/09/13 - 2106/09/19"/>
          <s v="2106/09/20 - 2106/09/26"/>
          <s v="2106/09/27 - 2106/10/03"/>
          <s v="2106/10/04 - 2106/10/10"/>
          <s v="2106/10/11 - 2106/10/17"/>
          <s v="2106/10/18 - 2106/10/24"/>
          <s v="2106/10/25 - 2106/10/31"/>
          <s v="2106/11/01 - 2106/11/07"/>
          <s v="2106/11/08 - 2106/11/14"/>
          <s v="2106/11/15 - 2106/11/21"/>
          <s v="2106/11/22 - 2106/11/28"/>
          <s v="2106/11/29 - 2106/12/05"/>
          <s v="2106/12/06 - 2106/12/12"/>
          <s v="2106/12/13 - 2106/12/19"/>
          <s v="2106/12/20 - 2106/12/26"/>
          <s v="2106/12/27 - 2107/01/02"/>
          <s v="2107/01/03 - 2107/01/09"/>
          <s v="2107/01/10 - 2107/01/16"/>
          <s v="2107/01/17 - 2107/01/23"/>
          <s v="2107/01/24 - 2107/01/30"/>
          <s v="2107/01/31 - 2107/02/06"/>
          <s v="2107/02/07 - 2107/02/13"/>
          <s v="2107/02/14 - 2107/02/20"/>
          <s v="2107/02/21 - 2107/02/27"/>
          <s v="2107/02/28 - 2107/03/06"/>
          <s v="2107/03/07 - 2107/03/13"/>
          <s v="2107/03/14 - 2107/03/20"/>
          <s v="2107/03/21 - 2107/03/27"/>
          <s v="2107/03/28 - 2107/04/03"/>
          <s v="2107/04/04 - 2107/04/10"/>
          <s v="2107/04/11 - 2107/04/17"/>
          <s v="2107/04/18 - 2107/04/24"/>
          <s v="2107/04/25 - 2107/05/01"/>
          <s v="2107/05/02 - 2107/05/08"/>
          <s v="2107/05/09 - 2107/05/15"/>
          <s v="2107/05/16 - 2107/05/22"/>
          <s v="2107/05/23 - 2107/05/29"/>
          <s v="2107/05/30 - 2107/06/05"/>
          <s v="2107/06/06 - 2107/06/12"/>
          <s v="2107/06/13 - 2107/06/19"/>
          <s v="2107/06/20 - 2107/06/26"/>
          <s v="2107/06/27 - 2107/07/03"/>
          <s v="2107/07/04 - 2107/07/10"/>
          <s v="2107/07/11 - 2107/07/17"/>
          <s v="2107/07/18 - 2107/07/24"/>
          <s v="2107/07/25 - 2107/07/31"/>
          <s v="2107/08/01 - 2107/08/07"/>
          <s v="2107/08/08 - 2107/08/14"/>
          <s v="2107/08/15 - 2107/08/21"/>
          <s v="2107/08/22 - 2107/08/28"/>
          <s v="2107/08/29 - 2107/09/04"/>
          <s v="2107/09/05 - 2107/09/11"/>
          <s v="2107/09/12 - 2107/09/18"/>
          <s v="2107/09/19 - 2107/09/25"/>
          <s v="2107/09/26 - 2107/10/02"/>
          <s v="2107/10/03 - 2107/10/09"/>
          <s v="2107/10/10 - 2107/10/16"/>
          <s v="2107/10/17 - 2107/10/23"/>
          <s v="2107/10/24 - 2107/10/30"/>
          <s v="2107/10/31 - 2107/11/06"/>
          <s v="2107/11/07 - 2107/11/13"/>
          <s v="2107/11/14 - 2107/11/20"/>
          <s v="2107/11/21 - 2107/11/27"/>
          <s v="2107/11/28 - 2107/12/04"/>
          <s v="2107/12/05 - 2107/12/11"/>
          <s v="2107/12/12 - 2107/12/18"/>
          <s v="2107/12/19 - 2107/12/25"/>
          <s v="2107/12/26 - 2108/01/01"/>
          <s v="2108/01/02 - 2108/01/08"/>
          <s v="2108/01/09 - 2108/01/15"/>
          <s v="2108/01/16 - 2108/01/22"/>
          <s v="2108/01/23 - 2108/01/29"/>
          <s v="2108/01/30 - 2108/02/05"/>
          <s v="2108/02/06 - 2108/02/12"/>
          <s v="2108/02/13 - 2108/02/19"/>
          <s v="2108/02/20 - 2108/02/26"/>
          <s v="2108/02/27 - 2108/03/04"/>
          <s v="2108/03/05 - 2108/03/11"/>
          <s v="2108/03/12 - 2108/03/18"/>
          <s v="2108/03/19 - 2108/03/25"/>
          <s v="2108/03/26 - 2108/04/01"/>
          <s v="2108/04/02 - 2108/04/08"/>
          <s v="2108/04/09 - 2108/04/15"/>
          <s v="2108/04/16 - 2108/04/22"/>
          <s v="2108/04/23 - 2108/04/29"/>
          <s v="2108/04/30 - 2108/05/06"/>
          <s v="2108/05/07 - 2108/05/13"/>
          <s v="2108/05/14 - 2108/05/20"/>
          <s v="2108/05/21 - 2108/05/27"/>
          <s v="2108/05/28 - 2108/06/03"/>
          <s v="2108/06/04 - 2108/06/10"/>
          <s v="2108/06/11 - 2108/06/17"/>
          <s v="2108/06/18 - 2108/06/24"/>
          <s v="2108/06/25 - 2108/07/01"/>
          <s v="2108/07/02 - 2108/07/08"/>
          <s v="2108/07/09 - 2108/07/15"/>
          <s v="2108/07/16 - 2108/07/22"/>
          <s v="2108/07/23 - 2108/07/29"/>
          <s v="2108/07/30 - 2108/08/05"/>
          <s v="2108/08/06 - 2108/08/12"/>
          <s v="2108/08/13 - 2108/08/19"/>
          <s v="2108/08/20 - 2108/08/26"/>
          <s v="2108/08/27 - 2108/09/02"/>
          <s v="2108/09/03 - 2108/09/09"/>
          <s v="2108/09/10 - 2108/09/16"/>
          <s v="2108/09/17 - 2108/09/23"/>
          <s v="2108/09/24 - 2108/09/30"/>
          <s v="2108/10/01 - 2108/10/07"/>
          <s v="2108/10/08 - 2108/10/14"/>
          <s v="2108/10/15 - 2108/10/21"/>
          <s v="2108/10/22 - 2108/10/28"/>
          <s v="2108/10/29 - 2108/11/04"/>
          <s v="2108/11/05 - 2108/11/11"/>
          <s v="2108/11/12 - 2108/11/18"/>
          <s v="2108/11/19 - 2108/11/25"/>
          <s v="2108/11/26 - 2108/12/02"/>
          <s v="2108/12/03 - 2108/12/09"/>
          <s v="2108/12/10 - 2108/12/16"/>
          <s v="2108/12/17 - 2108/12/23"/>
          <s v="2108/12/24 - 2108/12/30"/>
          <s v="2108/12/31 - 2109/01/06"/>
          <s v="2109/01/07 - 2109/01/13"/>
          <s v="2109/01/14 - 2109/01/20"/>
          <s v="2109/01/21 - 2109/01/27"/>
          <s v="2109/01/28 - 2109/02/03"/>
          <s v="2109/02/04 - 2109/02/10"/>
          <s v="2109/02/11 - 2109/02/17"/>
          <s v="2109/02/18 - 2109/02/24"/>
          <s v="2109/02/25 - 2109/03/03"/>
          <s v="2109/03/04 - 2109/03/10"/>
          <s v="2109/03/11 - 2109/03/17"/>
          <s v="2109/03/18 - 2109/03/24"/>
          <s v="2109/03/25 - 2109/03/31"/>
          <s v="2109/04/01 - 2109/04/07"/>
          <s v="2109/04/08 - 2109/04/14"/>
          <s v="2109/04/15 - 2109/04/21"/>
          <s v="2109/04/22 - 2109/04/28"/>
          <s v="2109/04/29 - 2109/05/05"/>
          <s v="2109/05/06 - 2109/05/12"/>
          <s v="2109/05/13 - 2109/05/19"/>
          <s v="2109/05/20 - 2109/05/26"/>
          <s v="2109/05/27 - 2109/06/02"/>
          <s v="2109/06/03 - 2109/06/09"/>
          <s v="2109/06/10 - 2109/06/16"/>
          <s v="2109/06/17 - 2109/06/23"/>
          <s v="2109/06/24 - 2109/06/30"/>
          <s v="2109/07/01 - 2109/07/07"/>
          <s v="2109/07/08 - 2109/07/14"/>
          <s v="2109/07/15 - 2109/07/21"/>
          <s v="2109/07/22 - 2109/07/28"/>
          <s v="2109/07/29 - 2109/08/04"/>
          <s v="2109/08/05 - 2109/08/11"/>
          <s v="2109/08/12 - 2109/08/18"/>
          <s v="2109/08/19 - 2109/08/25"/>
          <s v="2109/08/26 - 2109/09/01"/>
          <s v="2109/09/02 - 2109/09/08"/>
          <s v="2109/09/09 - 2109/09/15"/>
          <s v="2109/09/16 - 2109/09/22"/>
          <s v="2109/09/23 - 2109/09/29"/>
          <s v="2109/09/30 - 2109/10/06"/>
          <s v="2109/10/07 - 2109/10/13"/>
          <s v="2109/10/14 - 2109/10/20"/>
          <s v="2109/10/21 - 2109/10/27"/>
          <s v="2109/10/28 - 2109/11/03"/>
          <s v="2109/11/04 - 2109/11/10"/>
          <s v="2109/11/11 - 2109/11/17"/>
          <s v="2109/11/18 - 2109/11/24"/>
          <s v="2109/11/25 - 2109/12/01"/>
          <s v="2109/12/02 - 2109/12/08"/>
          <s v="2109/12/09 - 2109/12/15"/>
          <s v="2109/12/16 - 2109/12/22"/>
          <s v="2109/12/23 - 2109/12/29"/>
          <s v="2109/12/30 - 2110/01/05"/>
          <s v="2110/01/06 - 2110/01/12"/>
          <s v="2110/01/13 - 2110/01/19"/>
          <s v="2110/01/20 - 2110/01/26"/>
          <s v="2110/01/27 - 2110/02/02"/>
          <s v="2110/02/03 - 2110/02/09"/>
          <s v="2110/02/10 - 2110/02/16"/>
          <s v="2110/02/17 - 2110/02/23"/>
          <s v="2110/02/24 - 2110/03/02"/>
          <s v="2110/03/03 - 2110/03/09"/>
          <s v="2110/03/10 - 2110/03/16"/>
          <s v="2110/03/17 - 2110/03/23"/>
          <s v="2110/03/24 - 2110/03/30"/>
          <s v="2110/03/31 - 2110/04/06"/>
          <s v="2110/04/07 - 2110/04/13"/>
          <s v="2110/04/14 - 2110/04/20"/>
          <s v="2110/04/21 - 2110/04/27"/>
          <s v="2110/04/28 - 2110/05/04"/>
          <s v="2110/05/05 - 2110/05/11"/>
          <s v="2110/05/12 - 2110/05/18"/>
          <s v="2110/05/19 - 2110/05/25"/>
          <s v="2110/05/26 - 2110/06/01"/>
          <s v="2110/06/02 - 2110/06/08"/>
          <s v="2110/06/09 - 2110/06/15"/>
          <s v="2110/06/16 - 2110/06/22"/>
          <s v="2110/06/23 - 2110/06/29"/>
          <s v="2110/06/30 - 2110/07/06"/>
          <s v="2110/07/07 - 2110/07/13"/>
          <s v="2110/07/14 - 2110/07/20"/>
          <s v="2110/07/21 - 2110/07/27"/>
          <s v="2110/07/28 - 2110/08/03"/>
          <s v="2110/08/04 - 2110/08/10"/>
          <s v="2110/08/11 - 2110/08/17"/>
          <s v="2110/08/18 - 2110/08/24"/>
          <s v="2110/08/25 - 2110/08/31"/>
          <s v="2110/09/01 - 2110/09/07"/>
          <s v="2110/09/08 - 2110/09/14"/>
          <s v="2110/09/15 - 2110/09/21"/>
          <s v="2110/09/22 - 2110/09/28"/>
          <s v="2110/09/29 - 2110/10/05"/>
          <s v="2110/10/06 - 2110/10/12"/>
          <s v="2110/10/13 - 2110/10/19"/>
          <s v="2110/10/20 - 2110/10/26"/>
          <s v="2110/10/27 - 2110/11/02"/>
          <s v="2110/11/03 - 2110/11/09"/>
          <s v="2110/11/10 - 2110/11/16"/>
          <s v="2110/11/17 - 2110/11/23"/>
          <s v="2110/11/24 - 2110/11/30"/>
          <s v="2110/12/01 - 2110/12/07"/>
          <s v="2110/12/08 - 2110/12/14"/>
          <s v="2110/12/15 - 2110/12/21"/>
          <s v="2110/12/22 - 2110/12/28"/>
          <s v="2110/12/29 - 2111/01/04"/>
          <s v="2111/01/05 - 2111/01/11"/>
          <s v="2111/01/12 - 2111/01/18"/>
          <s v="2111/01/19 - 2111/01/25"/>
          <s v="2111/01/26 - 2111/02/01"/>
          <s v="2111/02/02 - 2111/02/08"/>
          <s v="2111/02/09 - 2111/02/15"/>
          <s v="2111/02/16 - 2111/02/22"/>
          <s v="2111/02/23 - 2111/03/01"/>
          <s v="2111/03/02 - 2111/03/08"/>
          <s v="2111/03/09 - 2111/03/15"/>
          <s v="2111/03/16 - 2111/03/22"/>
          <s v="2111/03/23 - 2111/03/29"/>
          <s v="2111/03/30 - 2111/04/05"/>
          <s v="2111/04/06 - 2111/04/12"/>
          <s v="2111/04/13 - 2111/04/19"/>
          <s v="2111/04/20 - 2111/04/26"/>
          <s v="2111/04/27 - 2111/05/03"/>
          <s v="2111/05/04 - 2111/05/10"/>
          <s v="2111/05/11 - 2111/05/17"/>
          <s v="2111/05/18 - 2111/05/24"/>
          <s v="2111/05/25 - 2111/05/31"/>
          <s v="2111/06/01 - 2111/06/07"/>
          <s v="2111/06/08 - 2111/06/14"/>
          <s v="2111/06/15 - 2111/06/21"/>
          <s v="2111/06/22 - 2111/06/28"/>
          <s v="2111/06/29 - 2111/07/05"/>
          <s v="2111/07/06 - 2111/07/12"/>
          <s v="2111/07/13 - 2111/07/19"/>
          <s v="2111/07/20 - 2111/07/26"/>
          <s v="2111/07/27 - 2111/08/02"/>
          <s v="2111/08/03 - 2111/08/09"/>
          <s v="2111/08/10 - 2111/08/16"/>
          <s v="2111/08/17 - 2111/08/23"/>
          <s v="2111/08/24 - 2111/08/30"/>
          <s v="2111/08/31 - 2111/09/06"/>
          <s v="2111/09/07 - 2111/09/13"/>
          <s v="2111/09/14 - 2111/09/20"/>
          <s v="2111/09/21 - 2111/09/27"/>
          <s v="2111/09/28 - 2111/10/04"/>
          <s v="2111/10/05 - 2111/10/11"/>
          <s v="2111/10/12 - 2111/10/18"/>
          <s v="2111/10/19 - 2111/10/25"/>
          <s v="2111/10/26 - 2111/11/01"/>
          <s v="2111/11/02 - 2111/11/08"/>
          <s v="2111/11/09 - 2111/11/15"/>
          <s v="2111/11/16 - 2111/11/22"/>
          <s v="2111/11/23 - 2111/11/29"/>
          <s v="2111/11/30 - 2111/12/06"/>
          <s v="2111/12/07 - 2111/12/13"/>
          <s v="2111/12/14 - 2111/12/20"/>
          <s v="2111/12/21 - 2111/12/27"/>
          <s v="2111/12/28 - 2112/01/03"/>
          <s v="2112/01/04 - 2112/01/10"/>
          <s v="2112/01/11 - 2112/01/17"/>
          <s v="2112/01/18 - 2112/01/24"/>
          <s v="2112/01/25 - 2112/01/31"/>
          <s v="2112/02/01 - 2112/02/07"/>
          <s v="2112/02/08 - 2112/02/14"/>
          <s v="2112/02/15 - 2112/02/21"/>
          <s v="2112/02/22 - 2112/02/28"/>
          <s v="2112/02/29 - 2112/03/06"/>
          <s v="2112/03/07 - 2112/03/13"/>
          <s v="2112/03/14 - 2112/03/20"/>
          <s v="2112/03/21 - 2112/03/27"/>
          <s v="2112/03/28 - 2112/04/03"/>
          <s v="2112/04/04 - 2112/04/10"/>
          <s v="2112/04/11 - 2112/04/17"/>
          <s v="2112/04/18 - 2112/04/24"/>
          <s v="2112/04/25 - 2112/05/01"/>
          <s v="2112/05/02 - 2112/05/08"/>
          <s v="2112/05/09 - 2112/05/15"/>
          <s v="2112/05/16 - 2112/05/22"/>
          <s v="2112/05/23 - 2112/05/29"/>
          <s v="2112/05/30 - 2112/06/05"/>
          <s v="2112/06/06 - 2112/06/12"/>
          <s v="2112/06/13 - 2112/06/19"/>
          <s v="2112/06/20 - 2112/06/26"/>
          <s v="2112/06/27 - 2112/07/03"/>
          <s v="2112/07/04 - 2112/07/10"/>
          <s v="2112/07/11 - 2112/07/17"/>
          <s v="2112/07/18 - 2112/07/24"/>
          <s v="2112/07/25 - 2112/07/31"/>
          <s v="2112/08/01 - 2112/08/07"/>
          <s v="2112/08/08 - 2112/08/14"/>
          <s v="2112/08/15 - 2112/08/21"/>
          <s v="2112/08/22 - 2112/08/28"/>
          <s v="2112/08/29 - 2112/09/04"/>
          <s v="2112/09/05 - 2112/09/11"/>
          <s v="2112/09/12 - 2112/09/18"/>
          <s v="2112/09/19 - 2112/09/25"/>
          <s v="2112/09/26 - 2112/10/02"/>
          <s v="2112/10/03 - 2112/10/09"/>
          <s v="2112/10/10 - 2112/10/16"/>
          <s v="2112/10/17 - 2112/10/23"/>
          <s v="2112/10/24 - 2112/10/30"/>
          <s v="2112/10/31 - 2112/11/06"/>
          <s v="2112/11/07 - 2112/11/13"/>
          <s v="2112/11/14 - 2112/11/20"/>
          <s v="2112/11/21 - 2112/11/27"/>
          <s v="2112/11/28 - 2112/12/04"/>
          <s v="2112/12/05 - 2112/12/11"/>
          <s v="2112/12/12 - 2112/12/18"/>
          <s v="2112/12/19 - 2112/12/25"/>
          <s v="2112/12/26 - 2113/01/01"/>
          <s v="2113/01/02 - 2113/01/08"/>
          <s v="2113/01/09 - 2113/01/15"/>
          <s v="2113/01/16 - 2113/01/22"/>
          <s v="2113/01/23 - 2113/01/29"/>
          <s v="2113/01/30 - 2113/02/05"/>
          <s v="2113/02/06 - 2113/02/12"/>
          <s v="2113/02/13 - 2113/02/19"/>
          <s v="2113/02/20 - 2113/02/26"/>
          <s v="2113/02/27 - 2113/03/05"/>
          <s v="2113/03/06 - 2113/03/12"/>
          <s v="2113/03/13 - 2113/03/19"/>
          <s v="2113/03/20 - 2113/03/26"/>
          <s v="2113/03/27 - 2113/04/02"/>
          <s v="2113/04/03 - 2113/04/09"/>
          <s v="2113/04/10 - 2113/04/16"/>
          <s v="2113/04/17 - 2113/04/23"/>
          <s v="2113/04/24 - 2113/04/30"/>
          <s v="2113/05/01 - 2113/05/07"/>
          <s v="2113/05/08 - 2113/05/14"/>
          <s v="2113/05/15 - 2113/05/21"/>
          <s v="2113/05/22 - 2113/05/28"/>
          <s v="2113/05/29 - 2113/06/04"/>
          <s v="2113/06/05 - 2113/06/11"/>
          <s v="2113/06/12 - 2113/06/18"/>
          <s v="2113/06/19 - 2113/06/25"/>
          <s v="2113/06/26 - 2113/07/02"/>
          <s v="2113/07/03 - 2113/07/09"/>
          <s v="2113/07/10 - 2113/07/16"/>
          <s v="2113/07/17 - 2113/07/23"/>
          <s v="2113/07/24 - 2113/07/30"/>
          <s v="2113/07/31 - 2113/08/06"/>
          <s v="2113/08/07 - 2113/08/13"/>
          <s v="2113/08/14 - 2113/08/20"/>
          <s v="2113/08/21 - 2113/08/27"/>
          <s v="2113/08/28 - 2113/09/03"/>
          <s v="2113/09/04 - 2113/09/10"/>
          <s v="2113/09/11 - 2113/09/17"/>
          <s v="2113/09/18 - 2113/09/24"/>
          <s v="2113/09/25 - 2113/10/01"/>
          <s v="2113/10/02 - 2113/10/08"/>
          <s v="2113/10/09 - 2113/10/15"/>
          <s v="2113/10/16 - 2113/10/22"/>
          <s v="2113/10/23 - 2113/10/29"/>
          <s v="2113/10/30 - 2113/11/05"/>
          <s v="2113/11/06 - 2113/11/12"/>
          <s v="2113/11/13 - 2113/11/19"/>
          <s v="2113/11/20 - 2113/11/26"/>
          <s v="2113/11/27 - 2113/12/03"/>
          <s v="2113/12/04 - 2113/12/10"/>
          <s v="2113/12/11 - 2113/12/17"/>
          <s v="2113/12/18 - 2113/12/24"/>
          <s v="2113/12/25 - 2113/12/31"/>
          <s v="2114/01/01 - 2114/01/07"/>
          <s v="2114/01/08 - 2114/01/14"/>
          <s v="2114/01/15 - 2114/01/21"/>
          <s v="2114/01/22 - 2114/01/28"/>
          <s v="2114/01/29 - 2114/02/04"/>
          <s v="2114/02/05 - 2114/02/11"/>
          <s v="2114/02/12 - 2114/02/18"/>
          <s v="2114/02/19 - 2114/02/25"/>
          <s v="2114/02/26 - 2114/03/04"/>
          <s v="2114/03/05 - 2114/03/11"/>
          <s v="2114/03/12 - 2114/03/18"/>
          <s v="2114/03/19 - 2114/03/25"/>
          <s v="2114/03/26 - 2114/04/01"/>
          <s v="2114/04/02 - 2114/04/08"/>
          <s v="2114/04/09 - 2114/04/15"/>
          <s v="2114/04/16 - 2114/04/22"/>
          <s v="2114/04/23 - 2114/04/29"/>
          <s v="2114/04/30 - 2114/05/06"/>
          <s v="2114/05/07 - 2114/05/13"/>
          <s v="2114/05/14 - 2114/05/20"/>
          <s v="2114/05/21 - 2114/05/27"/>
          <s v="2114/05/28 - 2114/06/03"/>
          <s v="2114/06/04 - 2114/06/10"/>
          <s v="2114/06/11 - 2114/06/17"/>
          <s v="2114/06/18 - 2114/06/24"/>
          <s v="2114/06/25 - 2114/07/01"/>
          <s v="2114/07/02 - 2114/07/08"/>
          <s v="2114/07/09 - 2114/07/15"/>
          <s v="2114/07/16 - 2114/07/22"/>
          <s v="2114/07/23 - 2114/07/29"/>
          <s v="2114/07/30 - 2114/08/05"/>
          <s v="2114/08/06 - 2114/08/12"/>
          <s v="2114/08/13 - 2114/08/19"/>
          <s v="2114/08/20 - 2114/08/26"/>
          <s v="2114/08/27 - 2114/09/02"/>
          <s v="2114/09/03 - 2114/09/09"/>
          <s v="2114/09/10 - 2114/09/16"/>
          <s v="2114/09/17 - 2114/09/23"/>
          <s v="2114/09/24 - 2114/09/30"/>
          <s v="2114/10/01 - 2114/10/07"/>
          <s v="2114/10/08 - 2114/10/14"/>
          <s v="2114/10/15 - 2114/10/21"/>
          <s v="2114/10/22 - 2114/10/28"/>
          <s v="2114/10/29 - 2114/11/04"/>
          <s v="2114/11/05 - 2114/11/11"/>
          <s v="2114/11/12 - 2114/11/18"/>
          <s v="2114/11/19 - 2114/11/25"/>
          <s v="2114/11/26 - 2114/12/02"/>
          <s v="2114/12/03 - 2114/12/09"/>
          <s v="2114/12/10 - 2114/12/16"/>
          <s v="2114/12/17 - 2114/12/23"/>
          <s v="2114/12/24 - 2114/12/30"/>
          <s v="2114/12/31 - 2115/01/06"/>
          <s v="2115/01/07 - 2115/01/13"/>
          <s v="2115/01/14 - 2115/01/20"/>
          <s v="2115/01/21 - 2115/01/27"/>
          <s v="2115/01/28 - 2115/02/03"/>
          <s v="2115/02/04 - 2115/02/10"/>
          <s v="2115/02/11 - 2115/02/17"/>
          <s v="2115/02/18 - 2115/02/24"/>
          <s v="2115/02/25 - 2115/03/03"/>
          <s v="2115/03/04 - 2115/03/10"/>
          <s v="2115/03/11 - 2115/03/17"/>
          <s v="2115/03/18 - 2115/03/24"/>
          <s v="2115/03/25 - 2115/03/31"/>
          <s v="2115/04/01 - 2115/04/07"/>
          <s v="2115/04/08 - 2115/04/14"/>
          <s v="2115/04/15 - 2115/04/21"/>
          <s v="2115/04/22 - 2115/04/28"/>
          <s v="2115/04/29 - 2115/05/05"/>
          <s v="2115/05/06 - 2115/05/12"/>
          <s v="2115/05/13 - 2115/05/19"/>
          <s v="2115/05/20 - 2115/05/26"/>
          <s v="2115/05/27 - 2115/06/02"/>
          <s v="2115/06/03 - 2115/06/09"/>
          <s v="2115/06/10 - 2115/06/16"/>
          <s v="2115/06/17 - 2115/06/23"/>
          <s v="2115/06/24 - 2115/06/30"/>
          <s v="2115/07/01 - 2115/07/07"/>
          <s v="2115/07/08 - 2115/07/14"/>
          <s v="2115/07/15 - 2115/07/21"/>
          <s v="2115/07/22 - 2115/07/28"/>
          <s v="2115/07/29 - 2115/08/04"/>
          <s v="2115/08/05 - 2115/08/11"/>
          <s v="2115/08/12 - 2115/08/18"/>
          <s v="2115/08/19 - 2115/08/25"/>
          <s v="2115/08/26 - 2115/09/01"/>
          <s v="2115/09/02 - 2115/09/08"/>
          <s v="2115/09/09 - 2115/09/15"/>
          <s v="2115/09/16 - 2115/09/22"/>
          <s v="2115/09/23 - 2115/09/29"/>
          <s v="2115/09/30 - 2115/10/06"/>
          <s v="2115/10/07 - 2115/10/13"/>
          <s v="2115/10/14 - 2115/10/20"/>
          <s v="2115/10/21 - 2115/10/27"/>
          <s v="2115/10/28 - 2115/11/03"/>
          <s v="2115/11/04 - 2115/11/10"/>
          <s v="2115/11/11 - 2115/11/17"/>
          <s v="2115/11/18 - 2115/11/24"/>
          <s v="2115/11/25 - 2115/12/01"/>
          <s v="2115/12/02 - 2115/12/08"/>
          <s v="2115/12/09 - 2115/12/15"/>
          <s v="2115/12/16 - 2115/12/22"/>
          <s v="2115/12/23 - 2115/12/29"/>
          <s v="2115/12/30 - 2116/01/05"/>
          <s v="2116/01/06 - 2116/01/12"/>
          <s v="2116/01/13 - 2116/01/19"/>
          <s v="2116/01/20 - 2116/01/26"/>
          <s v="2116/01/27 - 2116/02/02"/>
          <s v="2116/02/03 - 2116/02/09"/>
          <s v="2116/02/10 - 2116/02/16"/>
          <s v="2116/02/17 - 2116/02/23"/>
          <s v="2116/02/24 - 2116/03/01"/>
          <s v="2116/03/02 - 2116/03/08"/>
          <s v="2116/03/09 - 2116/03/15"/>
          <s v="2116/03/16 - 2116/03/22"/>
          <s v="2116/03/23 - 2116/03/29"/>
          <s v="2116/03/30 - 2116/04/05"/>
          <s v="2116/04/06 - 2116/04/12"/>
          <s v="2116/04/13 - 2116/04/19"/>
          <s v="2116/04/20 - 2116/04/26"/>
          <s v="2116/04/27 - 2116/05/03"/>
          <s v="2116/05/04 - 2116/05/10"/>
          <s v="2116/05/11 - 2116/05/17"/>
          <s v="2116/05/18 - 2116/05/24"/>
          <s v="2116/05/25 - 2116/05/31"/>
          <s v="2116/06/01 - 2116/06/07"/>
          <s v="2116/06/08 - 2116/06/14"/>
          <s v="2116/06/15 - 2116/06/21"/>
          <s v="2116/06/22 - 2116/06/28"/>
          <s v="2116/06/29 - 2116/07/05"/>
          <s v="2116/07/06 - 2116/07/12"/>
          <s v="2116/07/13 - 2116/07/19"/>
          <s v="2116/07/20 - 2116/07/26"/>
          <s v="2116/07/27 - 2116/08/02"/>
          <s v="2116/08/03 - 2116/08/09"/>
          <s v="2116/08/10 - 2116/08/16"/>
          <s v="2116/08/17 - 2116/08/23"/>
          <s v="2116/08/24 - 2116/08/30"/>
          <s v="2116/08/31 - 2116/09/06"/>
          <s v="2116/09/07 - 2116/09/13"/>
          <s v="2116/09/14 - 2116/09/20"/>
          <s v="2116/09/21 - 2116/09/27"/>
          <s v="2116/09/28 - 2116/10/04"/>
          <s v="2116/10/05 - 2116/10/11"/>
          <s v="2116/10/12 - 2116/10/18"/>
          <s v="2116/10/19 - 2116/10/25"/>
          <s v="2116/10/26 - 2116/11/01"/>
          <s v="2116/11/02 - 2116/11/08"/>
          <s v="2116/11/09 - 2116/11/15"/>
          <s v="2116/11/16 - 2116/11/22"/>
          <s v="2116/11/23 - 2116/11/29"/>
          <s v="2116/11/30 - 2116/12/06"/>
          <s v="2116/12/07 - 2116/12/13"/>
          <s v="2116/12/14 - 2116/12/20"/>
          <s v="2116/12/21 - 2116/12/27"/>
          <s v="2116/12/28 - 2117/01/03"/>
          <s v="2117/01/04 - 2117/01/10"/>
          <s v="2117/01/11 - 2117/01/17"/>
          <s v="2117/01/18 - 2117/01/24"/>
          <s v="2117/01/25 - 2117/01/31"/>
          <s v="2117/02/01 - 2117/02/07"/>
          <s v="2117/02/08 - 2117/02/14"/>
          <s v="2117/02/15 - 2117/02/21"/>
          <s v="2117/02/22 - 2117/02/28"/>
          <s v="2117/03/01 - 2117/03/07"/>
          <s v="2117/03/08 - 2117/03/14"/>
          <s v="2117/03/15 - 2117/03/21"/>
          <s v="2117/03/22 - 2117/03/28"/>
          <s v="2117/03/29 - 2117/04/04"/>
          <s v="2117/04/05 - 2117/04/11"/>
          <s v="2117/04/12 - 2117/04/18"/>
          <s v="2117/04/19 - 2117/04/25"/>
          <s v="2117/04/26 - 2117/05/02"/>
          <s v="2117/05/03 - 2117/05/09"/>
          <s v="2117/05/10 - 2117/05/16"/>
          <s v="2117/05/17 - 2117/05/23"/>
          <s v="2117/05/24 - 2117/05/30"/>
          <s v="2117/05/31 - 2117/06/06"/>
          <s v="2117/06/07 - 2117/06/13"/>
          <s v="2117/06/14 - 2117/06/20"/>
          <s v="2117/06/21 - 2117/06/27"/>
          <s v="2117/06/28 - 2117/07/04"/>
          <s v="2117/07/05 - 2117/07/11"/>
          <s v="2117/07/12 - 2117/07/18"/>
          <s v="2117/07/19 - 2117/07/25"/>
          <s v="2117/07/26 - 2117/08/01"/>
          <s v="2117/08/02 - 2117/08/08"/>
          <s v="2117/08/09 - 2117/08/15"/>
          <s v="2117/08/16 - 2117/08/22"/>
          <s v="2117/08/23 - 2117/08/29"/>
          <s v="2117/08/30 - 2117/09/05"/>
          <s v="2117/09/06 - 2117/09/12"/>
          <s v="2117/09/13 - 2117/09/19"/>
          <s v="2117/09/20 - 2117/09/26"/>
          <s v="2117/09/27 - 2117/10/03"/>
          <s v="2117/10/04 - 2117/10/10"/>
          <s v="2117/10/11 - 2117/10/17"/>
          <s v="2117/10/18 - 2117/10/24"/>
          <s v="2117/10/25 - 2117/10/31"/>
          <s v="2117/11/01 - 2117/11/07"/>
          <s v="2117/11/08 - 2117/11/14"/>
          <s v="2117/11/15 - 2117/11/21"/>
          <s v="2117/11/22 - 2117/11/28"/>
          <s v="2117/11/29 - 2117/12/05"/>
          <s v="2117/12/06 - 2117/12/12"/>
          <s v="2117/12/13 - 2117/12/19"/>
          <s v="2117/12/20 - 2117/12/26"/>
          <s v="2117/12/27 - 2118/01/02"/>
          <s v="2118/01/03 - 2118/01/09"/>
          <s v="2118/01/10 - 2118/01/16"/>
          <s v="2118/01/17 - 2118/01/23"/>
          <s v="2118/01/24 - 2118/01/30"/>
          <s v="2118/01/31 - 2118/02/06"/>
          <s v="2118/02/07 - 2118/02/13"/>
          <s v="2118/02/14 - 2118/02/20"/>
          <s v="2118/02/21 - 2118/02/27"/>
          <s v="2118/02/28 - 2118/03/06"/>
          <s v="2118/03/07 - 2118/03/13"/>
          <s v="2118/03/14 - 2118/03/20"/>
          <s v="2118/03/21 - 2118/03/27"/>
          <s v="2118/03/28 - 2118/04/03"/>
          <s v="2118/04/04 - 2118/04/10"/>
          <s v="2118/04/11 - 2118/04/17"/>
          <s v="2118/04/18 - 2118/04/24"/>
          <s v="2118/04/25 - 2118/05/01"/>
          <s v="2118/05/02 - 2118/05/08"/>
          <s v="2118/05/09 - 2118/05/15"/>
          <s v="2118/05/16 - 2118/05/22"/>
          <s v="2118/05/23 - 2118/05/29"/>
          <s v="2118/05/30 - 2118/06/05"/>
          <s v="2118/06/06 - 2118/06/12"/>
          <s v="2118/06/13 - 2118/06/19"/>
          <s v="2118/06/20 - 2118/06/26"/>
          <s v="2118/06/27 - 2118/07/03"/>
          <s v="2118/07/04 - 2118/07/10"/>
          <s v="2118/07/11 - 2118/07/17"/>
          <s v="2118/07/18 - 2118/07/24"/>
          <s v="2118/07/25 - 2118/07/31"/>
          <s v="2118/08/01 - 2118/08/07"/>
          <s v="2118/08/08 - 2118/08/14"/>
          <s v="2118/08/15 - 2118/08/21"/>
          <s v="2118/08/22 - 2118/08/28"/>
          <s v="2118/08/29 - 2118/09/04"/>
          <s v="2118/09/05 - 2118/09/11"/>
          <s v="2118/09/12 - 2118/09/18"/>
          <s v="2118/09/19 - 2118/09/25"/>
          <s v="2118/09/26 - 2118/10/02"/>
          <s v="2118/10/03 - 2118/10/09"/>
          <s v="2118/10/10 - 2118/10/16"/>
          <s v="2118/10/17 - 2118/10/23"/>
          <s v="2118/10/24 - 2118/10/30"/>
          <s v="2118/10/31 - 2118/11/06"/>
          <s v="2118/11/07 - 2118/11/13"/>
          <s v="2118/11/14 - 2118/11/20"/>
          <s v="2118/11/21 - 2118/11/27"/>
          <s v="2118/11/28 - 2118/12/04"/>
          <s v="2118/12/05 - 2118/12/11"/>
          <s v="2118/12/12 - 2118/12/18"/>
          <s v="2118/12/19 - 2118/12/25"/>
          <s v="2118/12/26 - 2119/01/01"/>
          <s v="2119/01/02 - 2119/01/08"/>
          <s v="2119/01/09 - 2119/01/15"/>
          <s v="2119/01/16 - 2119/01/22"/>
          <s v="2119/01/23 - 2119/01/29"/>
          <s v="2119/01/30 - 2119/02/05"/>
          <s v="2119/02/06 - 2119/02/12"/>
          <s v="2119/02/13 - 2119/02/19"/>
          <s v="2119/02/20 - 2119/02/26"/>
          <s v="2119/02/27 - 2119/03/05"/>
          <s v="2119/03/06 - 2119/03/12"/>
          <s v="2119/03/13 - 2119/03/19"/>
          <s v="2119/03/20 - 2119/03/26"/>
          <s v="2119/03/27 - 2119/04/02"/>
          <s v="2119/04/03 - 2119/04/09"/>
          <s v="2119/04/10 - 2119/04/16"/>
          <s v="2119/04/17 - 2119/04/23"/>
          <s v="2119/04/24 - 2119/04/30"/>
          <s v="2119/05/01 - 2119/05/07"/>
          <s v="2119/05/08 - 2119/05/14"/>
          <s v="2119/05/15 - 2119/05/21"/>
          <s v="2119/05/22 - 2119/05/28"/>
          <s v="2119/05/29 - 2119/06/04"/>
          <s v="2119/06/05 - 2119/06/11"/>
          <s v="2119/06/12 - 2119/06/18"/>
          <s v="2119/06/19 - 2119/06/25"/>
          <s v="2119/06/26 - 2119/07/02"/>
          <s v="2119/07/03 - 2119/07/09"/>
          <s v="2119/07/10 - 2119/07/16"/>
          <s v="2119/07/17 - 2119/07/23"/>
          <s v="2119/07/24 - 2119/07/30"/>
          <s v="2119/07/31 - 2119/08/06"/>
          <s v="2119/08/07 - 2119/08/13"/>
          <s v="2119/08/14 - 2119/08/20"/>
          <s v="2119/08/21 - 2119/08/27"/>
          <s v="2119/08/28 - 2119/09/03"/>
          <s v="2119/09/04 - 2119/09/10"/>
          <s v="2119/09/11 - 2119/09/17"/>
          <s v="2119/09/18 - 2119/09/24"/>
          <s v="2119/09/25 - 2119/10/01"/>
          <s v="2119/10/02 - 2119/10/08"/>
          <s v="2119/10/09 - 2119/10/15"/>
          <s v="2119/10/16 - 2119/10/22"/>
          <s v="2119/10/23 - 2119/10/29"/>
          <s v="2119/10/30 - 2119/11/05"/>
          <s v="2119/11/06 - 2119/11/12"/>
          <s v="2119/11/13 - 2119/11/19"/>
          <s v="2119/11/20 - 2119/11/26"/>
          <s v="2119/11/27 - 2119/12/03"/>
          <s v="2119/12/04 - 2119/12/10"/>
          <s v="2119/12/11 - 2119/12/17"/>
          <s v="2119/12/18 - 2119/12/24"/>
          <s v="2119/12/25 - 2119/12/31"/>
          <s v="2120/01/01 - 2120/01/07"/>
          <s v="2120/01/08 - 2120/01/14"/>
          <s v="2120/01/15 - 2120/01/21"/>
          <s v="2120/01/22 - 2120/01/28"/>
          <s v="2120/01/29 - 2120/02/04"/>
          <s v="2120/02/05 - 2120/02/11"/>
          <s v="2120/02/12 - 2120/02/18"/>
          <s v="2120/02/19 - 2120/02/25"/>
          <s v="2120/02/26 - 2120/03/03"/>
          <s v="2120/03/04 - 2120/03/10"/>
          <s v="2120/03/11 - 2120/03/17"/>
          <s v="2120/03/18 - 2120/03/24"/>
          <s v="2120/03/25 - 2120/03/31"/>
          <s v="2120/04/01 - 2120/04/07"/>
          <s v="2120/04/08 - 2120/04/14"/>
          <s v="2120/04/15 - 2120/04/21"/>
          <s v="2120/04/22 - 2120/04/28"/>
          <s v="2120/04/29 - 2120/05/05"/>
          <s v="2120/05/06 - 2120/05/12"/>
          <s v="2120/05/13 - 2120/05/19"/>
          <s v="2120/05/20 - 2120/05/26"/>
          <s v="2120/05/27 - 2120/06/02"/>
          <s v="2120/06/03 - 2120/06/09"/>
          <s v="2120/06/10 - 2120/06/16"/>
          <s v="2120/06/17 - 2120/06/23"/>
          <s v="2120/06/24 - 2120/06/30"/>
          <s v="2120/07/01 - 2120/07/07"/>
          <s v="2120/07/08 - 2120/07/14"/>
          <s v="2120/07/15 - 2120/07/21"/>
          <s v="2120/07/22 - 2120/07/28"/>
          <s v="2120/07/29 - 2120/08/04"/>
          <s v="2120/08/05 - 2120/08/11"/>
          <s v="2120/08/12 - 2120/08/18"/>
          <s v="2120/08/19 - 2120/08/25"/>
          <s v="2120/08/26 - 2120/09/01"/>
          <s v="2120/09/02 - 2120/09/08"/>
          <s v="2120/09/09 - 2120/09/15"/>
          <s v="2120/09/16 - 2120/09/22"/>
          <s v="2120/09/23 - 2120/09/29"/>
          <s v="2120/09/30 - 2120/10/06"/>
          <s v="2120/10/07 - 2120/10/13"/>
          <s v="2120/10/14 - 2120/10/20"/>
          <s v="2120/10/21 - 2120/10/27"/>
          <s v="2120/10/28 - 2120/11/03"/>
          <s v="2120/11/04 - 2120/11/10"/>
          <s v="2120/11/11 - 2120/11/17"/>
          <s v="2120/11/18 - 2120/11/24"/>
          <s v="2120/11/25 - 2120/12/01"/>
          <s v="2120/12/02 - 2120/12/08"/>
          <s v="2120/12/09 - 2120/12/15"/>
          <s v="2120/12/16 - 2120/12/22"/>
          <s v="2120/12/23 - 2120/12/29"/>
          <s v="2120/12/30 - 2121/01/05"/>
          <s v="2121/01/06 - 2121/01/12"/>
          <s v="2121/01/13 - 2121/01/19"/>
          <s v="2121/01/20 - 2121/01/26"/>
          <s v="2121/01/27 - 2121/02/02"/>
          <s v="2121/02/03 - 2121/02/09"/>
          <s v="2121/02/10 - 2121/02/16"/>
          <s v="2121/02/17 - 2121/02/23"/>
          <s v="2121/02/24 - 2121/03/02"/>
          <s v="2121/03/03 - 2121/03/09"/>
          <s v="2121/03/10 - 2121/03/16"/>
          <s v="2121/03/17 - 2121/03/23"/>
          <s v="2121/03/24 - 2121/03/30"/>
          <s v="2121/03/31 - 2121/04/06"/>
          <s v="2121/04/07 - 2121/04/13"/>
          <s v="2121/04/14 - 2121/04/20"/>
          <s v="2121/04/21 - 2121/04/27"/>
          <s v="2121/04/28 - 2121/05/04"/>
          <s v="2121/05/05 - 2121/05/11"/>
          <s v="2121/05/12 - 2121/05/18"/>
          <s v="2121/05/19 - 2121/05/25"/>
          <s v="2121/05/26 - 2121/06/01"/>
          <s v="2121/06/02 - 2121/06/08"/>
          <s v="2121/06/09 - 2121/06/15"/>
          <s v="2121/06/16 - 2121/06/22"/>
          <s v="2121/06/23 - 2121/06/29"/>
          <s v="2121/06/30 - 2121/07/06"/>
          <s v="2121/07/07 - 2121/07/13"/>
          <s v="2121/07/14 - 2121/07/20"/>
          <s v="2121/07/21 - 2121/07/27"/>
          <s v="2121/07/28 - 2121/08/03"/>
          <s v="2121/08/04 - 2121/08/10"/>
          <s v="2121/08/11 - 2121/08/17"/>
          <s v="2121/08/18 - 2121/08/24"/>
          <s v="2121/08/25 - 2121/08/31"/>
          <s v="2121/09/01 - 2121/09/07"/>
          <s v="2121/09/08 - 2121/09/14"/>
          <s v="2121/09/15 - 2121/09/21"/>
          <s v="2121/09/22 - 2121/09/28"/>
          <s v="2121/09/29 - 2121/10/05"/>
          <s v="2121/10/06 - 2121/10/12"/>
          <s v="2121/10/13 - 2121/10/19"/>
          <s v="2121/10/20 - 2121/10/26"/>
          <s v="2121/10/27 - 2121/11/02"/>
          <s v="2121/11/03 - 2121/11/09"/>
          <s v="2121/11/10 - 2121/11/16"/>
          <s v="2121/11/17 - 2121/11/23"/>
          <s v="2121/11/24 - 2121/11/30"/>
          <s v="2121/12/01 - 2121/12/07"/>
          <s v="2121/12/08 - 2121/12/14"/>
          <s v="2121/12/15 - 2121/12/21"/>
          <s v="2121/12/22 - 2121/12/28"/>
          <s v="2121/12/29 - 2122/01/04"/>
          <s v="2122/01/05 - 2122/01/11"/>
          <s v="2122/01/12 - 2122/01/18"/>
          <s v="2122/01/19 - 2122/01/25"/>
          <s v="2122/01/26 - 2122/02/01"/>
          <s v="2122/02/02 - 2122/02/08"/>
          <s v="2122/02/09 - 2122/02/15"/>
          <s v="2122/02/16 - 2122/02/22"/>
          <s v="2122/02/23 - 2122/03/01"/>
          <s v="2122/03/02 - 2122/03/08"/>
          <s v="2122/03/09 - 2122/03/15"/>
          <s v="2122/03/16 - 2122/03/22"/>
          <s v="2122/03/23 - 2122/03/29"/>
          <s v="2122/03/30 - 2122/04/05"/>
          <s v="2122/04/06 - 2122/04/12"/>
          <s v="2122/04/13 - 2122/04/19"/>
          <s v="2122/04/20 - 2122/04/26"/>
          <s v="2122/04/27 - 2122/05/03"/>
          <s v="2122/05/04 - 2122/05/10"/>
          <s v="2122/05/11 - 2122/05/17"/>
          <s v="2122/05/18 - 2122/05/24"/>
          <s v="2122/05/25 - 2122/05/31"/>
          <s v="2122/06/01 - 2122/06/07"/>
          <s v="2122/06/08 - 2122/06/14"/>
          <s v="2122/06/15 - 2122/06/21"/>
          <s v="2122/06/22 - 2122/06/28"/>
          <s v="2122/06/29 - 2122/07/05"/>
          <s v="2122/07/06 - 2122/07/12"/>
          <s v="2122/07/13 - 2122/07/19"/>
          <s v="2122/07/20 - 2122/07/26"/>
          <s v="2122/07/27 - 2122/08/02"/>
          <s v="2122/08/03 - 2122/08/09"/>
          <s v="2122/08/10 - 2122/08/16"/>
          <s v="2122/08/17 - 2122/08/23"/>
          <s v="2122/08/24 - 2122/08/30"/>
          <s v="2122/08/31 - 2122/09/06"/>
          <s v="2122/09/07 - 2122/09/13"/>
          <s v="2122/09/14 - 2122/09/20"/>
          <s v="2122/09/21 - 2122/09/27"/>
          <s v="2122/09/28 - 2122/10/04"/>
          <s v="2122/10/05 - 2122/10/11"/>
          <s v="2122/10/12 - 2122/10/18"/>
          <s v="2122/10/19 - 2122/10/25"/>
          <s v="2122/10/26 - 2122/11/01"/>
          <s v="2122/11/02 - 2122/11/08"/>
          <s v="2122/11/09 - 2122/11/15"/>
          <s v="2122/11/16 - 2122/11/22"/>
          <s v="2122/11/23 - 2122/11/29"/>
          <s v="2122/11/30 - 2122/12/06"/>
          <s v="2122/12/07 - 2122/12/13"/>
          <s v="2122/12/14 - 2122/12/20"/>
          <s v="2122/12/21 - 2122/12/27"/>
          <s v="2122/12/28 - 2123/01/03"/>
          <s v="2123/01/04 - 2123/01/10"/>
          <s v="2123/01/11 - 2123/01/17"/>
          <s v="2123/01/18 - 2123/01/24"/>
          <s v="2123/01/25 - 2123/01/31"/>
          <s v="2123/02/01 - 2123/02/07"/>
          <s v="2123/02/08 - 2123/02/14"/>
          <s v="2123/02/15 - 2123/02/21"/>
          <s v="2123/02/22 - 2123/02/28"/>
          <s v="2123/03/01 - 2123/03/07"/>
          <s v="2123/03/08 - 2123/03/14"/>
          <s v="2123/03/15 - 2123/03/21"/>
          <s v="2123/03/22 - 2123/03/28"/>
          <s v="2123/03/29 - 2123/04/04"/>
          <s v="2123/04/05 - 2123/04/11"/>
          <s v="2123/04/12 - 2123/04/18"/>
          <s v="2123/04/19 - 2123/04/25"/>
          <s v="2123/04/26 - 2123/05/02"/>
          <s v="2123/05/03 - 2123/05/09"/>
          <s v="2123/05/10 - 2123/05/16"/>
          <s v="2123/05/17 - 2123/05/23"/>
          <s v="2123/05/24 - 2123/05/30"/>
          <s v="2123/05/31 - 2123/06/06"/>
          <s v="2123/06/07 - 2123/06/13"/>
          <s v="2123/06/14 - 2123/06/20"/>
          <s v="2123/06/21 - 2123/06/27"/>
          <s v="2123/06/28 - 2123/07/04"/>
          <s v="2123/07/05 - 2123/07/11"/>
          <s v="2123/07/12 - 2123/07/18"/>
          <s v="2123/07/19 - 2123/07/25"/>
          <s v="2123/07/26 - 2123/08/01"/>
          <s v="2123/08/02 - 2123/08/08"/>
          <s v="2123/08/09 - 2123/08/15"/>
          <s v="2123/08/16 - 2123/08/22"/>
          <s v="2123/08/23 - 2123/08/29"/>
          <s v="2123/08/30 - 2123/09/05"/>
          <s v="2123/09/06 - 2123/09/12"/>
          <s v="2123/09/13 - 2123/09/19"/>
          <s v="2123/09/20 - 2123/09/26"/>
          <s v="2123/09/27 - 2123/10/03"/>
          <s v="2123/10/04 - 2123/10/10"/>
          <s v="2123/10/11 - 2123/10/17"/>
          <s v="2123/10/18 - 2123/10/24"/>
          <s v="2123/10/25 - 2123/10/31"/>
          <s v="2123/11/01 - 2123/11/07"/>
          <s v="2123/11/08 - 2123/11/14"/>
          <s v="2123/11/15 - 2123/11/21"/>
          <s v="2123/11/22 - 2123/11/28"/>
          <s v="2123/11/29 - 2123/12/05"/>
          <s v="2123/12/06 - 2123/12/12"/>
          <s v="2123/12/13 - 2123/12/19"/>
          <s v="2123/12/20 - 2123/12/26"/>
          <s v="2123/12/27 - 2124/01/02"/>
          <s v="2124/01/03 - 2124/01/09"/>
          <s v="2124/01/10 - 2124/01/16"/>
          <s v="2124/01/17 - 2124/01/23"/>
          <s v="2124/01/24 - 2124/01/30"/>
          <s v="2124/01/31 - 2124/02/06"/>
          <s v="2124/02/07 - 2124/02/13"/>
          <s v="2124/02/14 - 2124/02/20"/>
          <s v="2124/02/21 - 2124/02/27"/>
          <s v="2124/02/28 - 2124/03/05"/>
          <s v="2124/03/06 - 2124/03/12"/>
          <s v="2124/03/13 - 2124/03/19"/>
          <s v="2124/03/20 - 2124/03/26"/>
          <s v="2124/03/27 - 2124/04/02"/>
          <s v="2124/04/03 - 2124/04/09"/>
          <s v="2124/04/10 - 2124/04/16"/>
          <s v="2124/04/17 - 2124/04/23"/>
          <s v="2124/04/24 - 2124/04/30"/>
          <s v="2124/05/01 - 2124/05/07"/>
          <s v="2124/05/08 - 2124/05/14"/>
          <s v="2124/05/15 - 2124/05/21"/>
          <s v="2124/05/22 - 2124/05/28"/>
          <s v="2124/05/29 - 2124/06/04"/>
          <s v="2124/06/05 - 2124/06/11"/>
          <s v="2124/06/12 - 2124/06/18"/>
          <s v="2124/06/19 - 2124/06/25"/>
          <s v="2124/06/26 - 2124/07/02"/>
          <s v="2124/07/03 - 2124/07/09"/>
          <s v="2124/07/10 - 2124/07/16"/>
          <s v="2124/07/17 - 2124/07/23"/>
          <s v="2124/07/24 - 2124/07/30"/>
          <s v="2124/07/31 - 2124/08/06"/>
          <s v="2124/08/07 - 2124/08/13"/>
          <s v="2124/08/14 - 2124/08/20"/>
          <s v="2124/08/21 - 2124/08/27"/>
          <s v="2124/08/28 - 2124/09/03"/>
          <s v="2124/09/04 - 2124/09/10"/>
          <s v="2124/09/11 - 2124/09/17"/>
          <s v="2124/09/18 - 2124/09/24"/>
          <s v="2124/09/25 - 2124/10/01"/>
          <s v="2124/10/02 - 2124/10/08"/>
          <s v="2124/10/09 - 2124/10/15"/>
          <s v="2124/10/16 - 2124/10/22"/>
          <s v="2124/10/23 - 2124/10/29"/>
          <s v="2124/10/30 - 2124/11/05"/>
          <s v="2124/11/06 - 2124/11/12"/>
          <s v="2124/11/13 - 2124/11/19"/>
          <s v="2124/11/20 - 2124/11/26"/>
          <s v="2124/11/27 - 2124/12/03"/>
          <s v="2124/12/04 - 2124/12/10"/>
          <s v="2124/12/11 - 2124/12/17"/>
          <s v="2124/12/18 - 2124/12/24"/>
          <s v="2124/12/25 - 2124/12/31"/>
          <s v="2125/01/01 - 2125/01/07"/>
          <s v="2125/01/08 - 2125/01/14"/>
          <s v="2125/01/15 - 2125/01/21"/>
          <s v="2125/01/22 - 2125/01/28"/>
          <s v="2125/01/29 - 2125/02/04"/>
          <s v="2125/02/05 - 2125/02/11"/>
          <s v="2125/02/12 - 2125/02/18"/>
          <s v="2125/02/19 - 2125/02/25"/>
          <s v="2125/02/26 - 2125/03/04"/>
          <s v="2125/03/05 - 2125/03/11"/>
          <s v="2125/03/12 - 2125/03/18"/>
          <s v="2125/03/19 - 2125/03/25"/>
          <s v="2125/03/26 - 2125/04/01"/>
          <s v="2125/04/02 - 2125/04/08"/>
          <s v="2125/04/09 - 2125/04/15"/>
          <s v="2125/04/16 - 2125/04/22"/>
          <s v="2125/04/23 - 2125/04/29"/>
          <s v="2125/04/30 - 2125/05/06"/>
          <s v="2125/05/07 - 2125/05/13"/>
          <s v="2125/05/14 - 2125/05/20"/>
          <s v="2125/05/21 - 2125/05/27"/>
          <s v="2125/05/28 - 2125/06/03"/>
          <s v="2125/06/04 - 2125/06/10"/>
          <s v="2125/06/11 - 2125/06/17"/>
          <s v="2125/06/18 - 2125/06/24"/>
          <s v="2125/06/25 - 2125/07/01"/>
          <s v="2125/07/02 - 2125/07/08"/>
          <s v="2125/07/09 - 2125/07/15"/>
          <s v="2125/07/16 - 2125/07/22"/>
          <s v="2125/07/23 - 2125/07/29"/>
          <s v="2125/07/30 - 2125/08/05"/>
          <s v="2125/08/06 - 2125/08/12"/>
          <s v="2125/08/13 - 2125/08/19"/>
          <s v="2125/08/20 - 2125/08/26"/>
          <s v="2125/08/27 - 2125/09/02"/>
          <s v="2125/09/03 - 2125/09/09"/>
          <s v="2125/09/10 - 2125/09/16"/>
          <s v="2125/09/17 - 2125/09/23"/>
          <s v="2125/09/24 - 2125/09/30"/>
          <s v="2125/10/01 - 2125/10/07"/>
          <s v="2125/10/08 - 2125/10/14"/>
          <s v="2125/10/15 - 2125/10/21"/>
          <s v="2125/10/22 - 2125/10/28"/>
          <s v="2125/10/29 - 2125/11/04"/>
          <s v="2125/11/05 - 2125/11/11"/>
          <s v="2125/11/12 - 2125/11/18"/>
          <s v="2125/11/19 - 2125/11/25"/>
          <s v="2125/11/26 - 2125/12/02"/>
          <s v="2125/12/03 - 2125/12/09"/>
          <s v="2125/12/10 - 2125/12/16"/>
          <s v="2125/12/17 - 2125/12/23"/>
          <s v="2125/12/24 - 2125/12/30"/>
          <s v="2125/12/31 - 2126/01/06"/>
          <s v="2126/01/07 - 2126/01/13"/>
          <s v="2126/01/14 - 2126/01/20"/>
          <s v="2126/01/21 - 2126/01/27"/>
          <s v="2126/01/28 - 2126/02/03"/>
          <s v="2126/02/04 - 2126/02/10"/>
          <s v="2126/02/11 - 2126/02/17"/>
          <s v="2126/02/18 - 2126/02/24"/>
          <s v="2126/02/25 - 2126/03/03"/>
          <s v="2126/03/04 - 2126/03/10"/>
          <s v="2126/03/11 - 2126/03/17"/>
          <s v="2126/03/18 - 2126/03/24"/>
          <s v="2126/03/25 - 2126/03/31"/>
          <s v="2126/04/01 - 2126/04/07"/>
          <s v="2126/04/08 - 2126/04/14"/>
          <s v="2126/04/15 - 2126/04/21"/>
          <s v="2126/04/22 - 2126/04/28"/>
          <s v="2126/04/29 - 2126/05/05"/>
          <s v="2126/05/06 - 2126/05/12"/>
          <s v="2126/05/13 - 2126/05/19"/>
          <s v="2126/05/20 - 2126/05/26"/>
          <s v="2126/05/27 - 2126/06/02"/>
          <s v="2126/06/03 - 2126/06/09"/>
          <s v="2126/06/10 - 2126/06/16"/>
          <s v="2126/06/17 - 2126/06/23"/>
          <s v="2126/06/24 - 2126/06/30"/>
          <s v="2126/07/01 - 2126/07/07"/>
          <s v="2126/07/08 - 2126/07/14"/>
          <s v="2126/07/15 - 2126/07/21"/>
          <s v="2126/07/22 - 2126/07/28"/>
          <s v="2126/07/29 - 2126/08/04"/>
          <s v="2126/08/05 - 2126/08/11"/>
          <s v="2126/08/12 - 2126/08/18"/>
          <s v="2126/08/19 - 2126/08/25"/>
          <s v="2126/08/26 - 2126/09/01"/>
          <s v="2126/09/02 - 2126/09/08"/>
          <s v="2126/09/09 - 2126/09/15"/>
          <s v="2126/09/16 - 2126/09/22"/>
          <s v="2126/09/23 - 2126/09/29"/>
          <s v="2126/09/30 - 2126/10/06"/>
          <s v="2126/10/07 - 2126/10/13"/>
          <s v="2126/10/14 - 2126/10/20"/>
          <s v="2126/10/21 - 2126/10/27"/>
          <s v="2126/10/28 - 2126/11/03"/>
          <s v="2126/11/04 - 2126/11/10"/>
          <s v="2126/11/11 - 2126/11/17"/>
          <s v="2126/11/18 - 2126/11/24"/>
          <s v="2126/11/25 - 2126/12/01"/>
          <s v="2126/12/02 - 2126/12/08"/>
          <s v="2126/12/09 - 2126/12/15"/>
          <s v="2126/12/16 - 2126/12/22"/>
          <s v="2126/12/23 - 2126/12/29"/>
          <s v="2126/12/30 - 2127/01/05"/>
          <s v="2127/01/06 - 2127/01/12"/>
          <s v="2127/01/13 - 2127/01/19"/>
          <s v="2127/01/20 - 2127/01/26"/>
          <s v="2127/01/27 - 2127/02/02"/>
          <s v="2127/02/03 - 2127/02/09"/>
          <s v="2127/02/10 - 2127/02/16"/>
          <s v="2127/02/17 - 2127/02/23"/>
          <s v="2127/02/24 - 2127/03/02"/>
          <s v="2127/03/03 - 2127/03/09"/>
          <s v="2127/03/10 - 2127/03/16"/>
          <s v="2127/03/17 - 2127/03/23"/>
          <s v="2127/03/24 - 2127/03/30"/>
          <s v="2127/03/31 - 2127/04/06"/>
          <s v="2127/04/07 - 2127/04/13"/>
          <s v="2127/04/14 - 2127/04/20"/>
          <s v="2127/04/21 - 2127/04/27"/>
          <s v="2127/04/28 - 2127/05/04"/>
          <s v="2127/05/05 - 2127/05/11"/>
          <s v="2127/05/12 - 2127/05/18"/>
          <s v="2127/05/19 - 2127/05/25"/>
          <s v="2127/05/26 - 2127/06/01"/>
          <s v="2127/06/02 - 2127/06/08"/>
          <s v="2127/06/09 - 2127/06/15"/>
          <s v="2127/06/16 - 2127/06/22"/>
          <s v="2127/06/23 - 2127/06/29"/>
          <s v="2127/06/30 - 2127/07/06"/>
          <s v="2127/07/07 - 2127/07/13"/>
          <s v="2127/07/14 - 2127/07/20"/>
          <s v="2127/07/21 - 2127/07/27"/>
          <s v="2127/07/28 - 2127/08/03"/>
          <s v="2127/08/04 - 2127/08/10"/>
          <s v="2127/08/11 - 2127/08/17"/>
          <s v="2127/08/18 - 2127/08/24"/>
          <s v="2127/08/25 - 2127/08/31"/>
          <s v="2127/09/01 - 2127/09/07"/>
          <s v="2127/09/08 - 2127/09/14"/>
          <s v="2127/09/15 - 2127/09/21"/>
          <s v="2127/09/22 - 2127/09/28"/>
          <s v="2127/09/29 - 2127/10/05"/>
          <s v="2127/10/06 - 2127/10/12"/>
          <s v="2127/10/13 - 2127/10/19"/>
          <s v="2127/10/20 - 2127/10/26"/>
          <s v="2127/10/27 - 2127/11/02"/>
          <s v="2127/11/03 - 2127/11/09"/>
          <s v="2127/11/10 - 2127/11/16"/>
          <s v="2127/11/17 - 2127/11/23"/>
          <s v="2127/11/24 - 2127/11/30"/>
          <s v="2127/12/01 - 2127/12/07"/>
          <s v="2127/12/08 - 2127/12/14"/>
          <s v="2127/12/15 - 2127/12/21"/>
          <s v="2127/12/22 - 2127/12/28"/>
          <s v="2127/12/29 - 2128/01/04"/>
          <s v="2128/01/05 - 2128/01/11"/>
          <s v="2128/01/12 - 2128/01/18"/>
          <s v="2128/01/19 - 2128/01/25"/>
          <s v="2128/01/26 - 2128/02/01"/>
          <s v="2128/02/02 - 2128/02/08"/>
          <s v="2128/02/09 - 2128/02/15"/>
          <s v="2128/02/16 - 2128/02/22"/>
          <s v="2128/02/23 - 2128/02/29"/>
          <s v="2128/03/01 - 2128/03/07"/>
          <s v="2128/03/08 - 2128/03/14"/>
          <s v="2128/03/15 - 2128/03/21"/>
          <s v="2128/03/22 - 2128/03/28"/>
          <s v="2128/03/29 - 2128/04/04"/>
          <s v="2128/04/05 - 2128/04/11"/>
          <s v="2128/04/12 - 2128/04/18"/>
          <s v="2128/04/19 - 2128/04/25"/>
          <s v="2128/04/26 - 2128/05/02"/>
          <s v="2128/05/03 - 2128/05/09"/>
          <s v="2128/05/10 - 2128/05/16"/>
          <s v="2128/05/17 - 2128/05/23"/>
          <s v="2128/05/24 - 2128/05/30"/>
          <s v="2128/05/31 - 2128/06/06"/>
          <s v="2128/06/07 - 2128/06/13"/>
          <s v="2128/06/14 - 2128/06/20"/>
          <s v="2128/06/21 - 2128/06/27"/>
          <s v="2128/06/28 - 2128/07/04"/>
          <s v="2128/07/05 - 2128/07/11"/>
          <s v="2128/07/12 - 2128/07/18"/>
          <s v="2128/07/19 - 2128/07/25"/>
          <s v="2128/07/26 - 2128/08/01"/>
          <s v="2128/08/02 - 2128/08/08"/>
          <s v="2128/08/09 - 2128/08/15"/>
          <s v="2128/08/16 - 2128/08/22"/>
          <s v="2128/08/23 - 2128/08/29"/>
          <s v="2128/08/30 - 2128/09/05"/>
          <s v="2128/09/06 - 2128/09/12"/>
          <s v="2128/09/13 - 2128/09/19"/>
          <s v="2128/09/20 - 2128/09/26"/>
          <s v="2128/09/27 - 2128/10/03"/>
          <s v="2128/10/04 - 2128/10/10"/>
          <s v="2128/10/11 - 2128/10/17"/>
          <s v="2128/10/18 - 2128/10/24"/>
          <s v="2128/10/25 - 2128/10/31"/>
          <s v="2128/11/01 - 2128/11/07"/>
          <s v="2128/11/08 - 2128/11/14"/>
          <s v="2128/11/15 - 2128/11/21"/>
          <s v="2128/11/22 - 2128/11/28"/>
          <s v="2128/11/29 - 2128/12/05"/>
          <s v="2128/12/06 - 2128/12/12"/>
          <s v="2128/12/13 - 2128/12/19"/>
          <s v="2128/12/20 - 2128/12/26"/>
          <s v="2128/12/27 - 2129/01/02"/>
          <s v="2129/01/03 - 2129/01/09"/>
          <s v="2129/01/10 - 2129/01/16"/>
          <s v="2129/01/17 - 2129/01/23"/>
          <s v="2129/01/24 - 2129/01/30"/>
          <s v="2129/01/31 - 2129/02/06"/>
          <s v="2129/02/07 - 2129/02/13"/>
          <s v="2129/02/14 - 2129/02/20"/>
          <s v="2129/02/21 - 2129/02/27"/>
          <s v="2129/02/28 - 2129/03/06"/>
          <s v="2129/03/07 - 2129/03/13"/>
          <s v="2129/03/14 - 2129/03/20"/>
          <s v="2129/03/21 - 2129/03/27"/>
          <s v="2129/03/28 - 2129/04/03"/>
          <s v="2129/04/04 - 2129/04/10"/>
          <s v="2129/04/11 - 2129/04/17"/>
          <s v="2129/04/18 - 2129/04/24"/>
          <s v="2129/04/25 - 2129/05/01"/>
          <s v="2129/05/02 - 2129/05/08"/>
          <s v="2129/05/09 - 2129/05/15"/>
          <s v="2129/05/16 - 2129/05/22"/>
          <s v="2129/05/23 - 2129/05/29"/>
          <s v="2129/05/30 - 2129/06/05"/>
          <s v="2129/06/06 - 2129/06/12"/>
          <s v="2129/06/13 - 2129/06/19"/>
          <s v="2129/06/20 - 2129/06/26"/>
          <s v="2129/06/27 - 2129/07/03"/>
          <s v="2129/07/04 - 2129/07/10"/>
          <s v="2129/07/11 - 2129/07/17"/>
          <s v="2129/07/18 - 2129/07/24"/>
          <s v="2129/07/25 - 2129/07/31"/>
          <s v="2129/08/01 - 2129/08/07"/>
          <s v="2129/08/08 - 2129/08/14"/>
          <s v="2129/08/15 - 2129/08/21"/>
          <s v="2129/08/22 - 2129/08/28"/>
          <s v="2129/08/29 - 2129/09/04"/>
          <s v="2129/09/05 - 2129/09/11"/>
          <s v="2129/09/12 - 2129/09/18"/>
          <s v="2129/09/19 - 2129/09/25"/>
          <s v="2129/09/26 - 2129/10/02"/>
          <s v="2129/10/03 - 2129/10/09"/>
          <s v="2129/10/10 - 2129/10/16"/>
          <s v="2129/10/17 - 2129/10/23"/>
          <s v="2129/10/24 - 2129/10/30"/>
          <s v="2129/10/31 - 2129/11/06"/>
          <s v="2129/11/07 - 2129/11/13"/>
          <s v="2129/11/14 - 2129/11/20"/>
          <s v="2129/11/21 - 2129/11/27"/>
          <s v="2129/11/28 - 2129/12/04"/>
          <s v="2129/12/05 - 2129/12/11"/>
          <s v="2129/12/12 - 2129/12/18"/>
          <s v="2129/12/19 - 2129/12/25"/>
          <s v="2129/12/26 - 2130/01/01"/>
          <s v="2130/01/02 - 2130/01/08"/>
          <s v="2130/01/09 - 2130/01/15"/>
          <s v="2130/01/16 - 2130/01/22"/>
          <s v="2130/01/23 - 2130/01/29"/>
          <s v="2130/01/30 - 2130/02/05"/>
          <s v="2130/02/06 - 2130/02/12"/>
          <s v="2130/02/13 - 2130/02/19"/>
          <s v="2130/02/20 - 2130/02/26"/>
          <s v="2130/02/27 - 2130/03/05"/>
          <s v="2130/03/06 - 2130/03/12"/>
          <s v="2130/03/13 - 2130/03/19"/>
          <s v="2130/03/20 - 2130/03/26"/>
          <s v="2130/03/27 - 2130/04/02"/>
          <s v="2130/04/03 - 2130/04/09"/>
          <s v="2130/04/10 - 2130/04/16"/>
          <s v="2130/04/17 - 2130/04/23"/>
          <s v="2130/04/24 - 2130/04/30"/>
          <s v="2130/05/01 - 2130/05/07"/>
          <s v="2130/05/08 - 2130/05/14"/>
          <s v="2130/05/15 - 2130/05/21"/>
          <s v="2130/05/22 - 2130/05/28"/>
          <s v="2130/05/29 - 2130/06/04"/>
          <s v="2130/06/05 - 2130/06/11"/>
          <s v="2130/06/12 - 2130/06/18"/>
          <s v="2130/06/19 - 2130/06/25"/>
          <s v="2130/06/26 - 2130/07/02"/>
          <s v="2130/07/03 - 2130/07/09"/>
          <s v="2130/07/10 - 2130/07/16"/>
          <s v="2130/07/17 - 2130/07/23"/>
          <s v="2130/07/24 - 2130/07/30"/>
          <s v="2130/07/31 - 2130/08/06"/>
          <s v="2130/08/07 - 2130/08/13"/>
          <s v="2130/08/14 - 2130/08/20"/>
          <s v="2130/08/21 - 2130/08/27"/>
          <s v="2130/08/28 - 2130/09/03"/>
          <s v="2130/09/04 - 2130/09/10"/>
          <s v="2130/09/11 - 2130/09/17"/>
          <s v="2130/09/18 - 2130/09/24"/>
          <s v="2130/09/25 - 2130/10/01"/>
          <s v="2130/10/02 - 2130/10/08"/>
          <s v="2130/10/09 - 2130/10/15"/>
          <s v="2130/10/16 - 2130/10/22"/>
          <s v="2130/10/23 - 2130/10/29"/>
          <s v="2130/10/30 - 2130/11/05"/>
          <s v="2130/11/06 - 2130/11/12"/>
          <s v="2130/11/13 - 2130/11/19"/>
          <s v="2130/11/20 - 2130/11/26"/>
          <s v="2130/11/27 - 2130/12/03"/>
          <s v="2130/12/04 - 2130/12/10"/>
          <s v="2130/12/11 - 2130/12/17"/>
          <s v="2130/12/18 - 2130/12/24"/>
          <s v="2130/12/25 - 2130/12/31"/>
          <s v="2131/01/01 - 2131/01/07"/>
          <s v="2131/01/08 - 2131/01/14"/>
          <s v="2131/01/15 - 2131/01/21"/>
          <s v="2131/01/22 - 2131/01/28"/>
          <s v="2131/01/29 - 2131/02/04"/>
          <s v="2131/02/05 - 2131/02/11"/>
          <s v="2131/02/12 - 2131/02/18"/>
          <s v="2131/02/19 - 2131/02/25"/>
          <s v="2131/02/26 - 2131/03/04"/>
          <s v="2131/03/05 - 2131/03/11"/>
          <s v="2131/03/12 - 2131/03/18"/>
          <s v="2131/03/19 - 2131/03/25"/>
          <s v="2131/03/26 - 2131/04/01"/>
          <s v="2131/04/02 - 2131/04/08"/>
          <s v="2131/04/09 - 2131/04/15"/>
          <s v="2131/04/16 - 2131/04/22"/>
          <s v="2131/04/23 - 2131/04/29"/>
          <s v="2131/04/30 - 2131/05/06"/>
          <s v="2131/05/07 - 2131/05/13"/>
          <s v="2131/05/14 - 2131/05/20"/>
          <s v="2131/05/21 - 2131/05/27"/>
          <s v="2131/05/28 - 2131/06/03"/>
          <s v="2131/06/04 - 2131/06/10"/>
          <s v="2131/06/11 - 2131/06/17"/>
          <s v="2131/06/18 - 2131/06/24"/>
          <s v="2131/06/25 - 2131/07/01"/>
          <s v="2131/07/02 - 2131/07/08"/>
          <s v="2131/07/09 - 2131/07/15"/>
          <s v="2131/07/16 - 2131/07/22"/>
          <s v="2131/07/23 - 2131/07/29"/>
          <s v="2131/07/30 - 2131/08/05"/>
          <s v="2131/08/06 - 2131/08/12"/>
          <s v="2131/08/13 - 2131/08/19"/>
          <s v="2131/08/20 - 2131/08/26"/>
          <s v="2131/08/27 - 2131/09/02"/>
          <s v="2131/09/03 - 2131/09/09"/>
          <s v="2131/09/10 - 2131/09/16"/>
          <s v="2131/09/17 - 2131/09/23"/>
          <s v="2131/09/24 - 2131/09/30"/>
          <s v="2131/10/01 - 2131/10/07"/>
          <s v="2131/10/08 - 2131/10/14"/>
          <s v="2131/10/15 - 2131/10/21"/>
          <s v="2131/10/22 - 2131/10/28"/>
          <s v="2131/10/29 - 2131/11/04"/>
          <s v="2131/11/05 - 2131/11/11"/>
          <s v="2131/11/12 - 2131/11/18"/>
          <s v="2131/11/19 - 2131/11/25"/>
          <s v="2131/11/26 - 2131/12/02"/>
          <s v="2131/12/03 - 2131/12/09"/>
          <s v="2131/12/10 - 2131/12/16"/>
          <s v="2131/12/17 - 2131/12/23"/>
          <s v="2131/12/24 - 2131/12/30"/>
          <s v="2131/12/31 - 2132/01/06"/>
          <s v="2132/01/07 - 2132/01/13"/>
          <s v="2132/01/14 - 2132/01/20"/>
          <s v="2132/01/21 - 2132/01/27"/>
          <s v="2132/01/28 - 2132/02/03"/>
          <s v="2132/02/04 - 2132/02/10"/>
          <s v="2132/02/11 - 2132/02/17"/>
          <s v="2132/02/18 - 2132/02/24"/>
          <s v="2132/02/25 - 2132/03/02"/>
          <s v="2132/03/03 - 2132/03/09"/>
          <s v="2132/03/10 - 2132/03/16"/>
          <s v="2132/03/17 - 2132/03/23"/>
          <s v="2132/03/24 - 2132/03/30"/>
          <s v="2132/03/31 - 2132/04/06"/>
          <s v="2132/04/07 - 2132/04/13"/>
          <s v="2132/04/14 - 2132/04/20"/>
          <s v="2132/04/21 - 2132/04/27"/>
          <s v="2132/04/28 - 2132/05/04"/>
          <s v="2132/05/05 - 2132/05/11"/>
          <s v="2132/05/12 - 2132/05/18"/>
          <s v="2132/05/19 - 2132/05/25"/>
          <s v="2132/05/26 - 2132/06/01"/>
          <s v="2132/06/02 - 2132/06/08"/>
          <s v="2132/06/09 - 2132/06/15"/>
          <s v="2132/06/16 - 2132/06/22"/>
          <s v="2132/06/23 - 2132/06/29"/>
          <s v="2132/06/30 - 2132/07/06"/>
          <s v="2132/07/07 - 2132/07/13"/>
          <s v="2132/07/14 - 2132/07/20"/>
          <s v="2132/07/21 - 2132/07/27"/>
          <s v="2132/07/28 - 2132/08/03"/>
          <s v="2132/08/04 - 2132/08/10"/>
          <s v="2132/08/11 - 2132/08/17"/>
          <s v="2132/08/18 - 2132/08/24"/>
          <s v="2132/08/25 - 2132/08/31"/>
          <s v="2132/09/01 - 2132/09/07"/>
          <s v="2132/09/08 - 2132/09/14"/>
          <s v="2132/09/15 - 2132/09/21"/>
          <s v="2132/09/22 - 2132/09/28"/>
          <s v="2132/09/29 - 2132/10/05"/>
          <s v="2132/10/06 - 2132/10/12"/>
          <s v="2132/10/13 - 2132/10/19"/>
          <s v="2132/10/20 - 2132/10/26"/>
          <s v="2132/10/27 - 2132/11/02"/>
          <s v="2132/11/03 - 2132/11/09"/>
          <s v="2132/11/10 - 2132/11/16"/>
          <s v="2132/11/17 - 2132/11/23"/>
          <s v="2132/11/24 - 2132/11/30"/>
          <s v="2132/12/01 - 2132/12/07"/>
          <s v="2132/12/08 - 2132/12/14"/>
          <s v="2132/12/15 - 2132/12/21"/>
          <s v="2132/12/22 - 2132/12/28"/>
          <s v="2132/12/29 - 2133/01/04"/>
          <s v="2133/01/05 - 2133/01/11"/>
          <s v="2133/01/12 - 2133/01/18"/>
          <s v="2133/01/19 - 2133/01/25"/>
          <s v="2133/01/26 - 2133/02/01"/>
          <s v="2133/02/02 - 2133/02/08"/>
          <s v="2133/02/09 - 2133/02/15"/>
          <s v="2133/02/16 - 2133/02/22"/>
          <s v="2133/02/23 - 2133/03/01"/>
          <s v="2133/03/02 - 2133/03/08"/>
          <s v="2133/03/09 - 2133/03/15"/>
          <s v="2133/03/16 - 2133/03/22"/>
          <s v="2133/03/23 - 2133/03/29"/>
          <s v="2133/03/30 - 2133/04/05"/>
          <s v="2133/04/06 - 2133/04/12"/>
          <s v="2133/04/13 - 2133/04/19"/>
          <s v="2133/04/20 - 2133/04/26"/>
          <s v="2133/04/27 - 2133/05/03"/>
          <s v="2133/05/04 - 2133/05/10"/>
          <s v="2133/05/11 - 2133/05/17"/>
          <s v="2133/05/18 - 2133/05/24"/>
          <s v="2133/05/25 - 2133/05/31"/>
          <s v="2133/06/01 - 2133/06/07"/>
          <s v="2133/06/08 - 2133/06/14"/>
          <s v="2133/06/15 - 2133/06/21"/>
          <s v="2133/06/22 - 2133/06/28"/>
          <s v="2133/06/29 - 2133/07/05"/>
          <s v="2133/07/06 - 2133/07/12"/>
          <s v="2133/07/13 - 2133/07/19"/>
          <s v="2133/07/20 - 2133/07/26"/>
          <s v="2133/07/27 - 2133/08/02"/>
          <s v="2133/08/03 - 2133/08/09"/>
          <s v="2133/08/10 - 2133/08/16"/>
          <s v="2133/08/17 - 2133/08/23"/>
          <s v="2133/08/24 - 2133/08/30"/>
          <s v="2133/08/31 - 2133/09/06"/>
          <s v="2133/09/07 - 2133/09/13"/>
          <s v="2133/09/14 - 2133/09/20"/>
          <s v="2133/09/21 - 2133/09/27"/>
          <s v="2133/09/28 - 2133/10/04"/>
          <s v="2133/10/05 - 2133/10/11"/>
          <s v="2133/10/12 - 2133/10/18"/>
          <s v="2133/10/19 - 2133/10/25"/>
          <s v="2133/10/26 - 2133/11/01"/>
          <s v="2133/11/02 - 2133/11/08"/>
          <s v="2133/11/09 - 2133/11/15"/>
          <s v="2133/11/16 - 2133/11/22"/>
          <s v="2133/11/23 - 2133/11/29"/>
          <s v="2133/11/30 - 2133/12/06"/>
          <s v="2133/12/07 - 2133/12/13"/>
          <s v="2133/12/14 - 2133/12/20"/>
          <s v="2133/12/21 - 2133/12/27"/>
          <s v="2133/12/28 - 2134/01/03"/>
          <s v="2134/01/04 - 2134/01/10"/>
          <s v="2134/01/11 - 2134/01/17"/>
          <s v="2134/01/18 - 2134/01/24"/>
          <s v="2134/01/25 - 2134/01/31"/>
          <s v="2134/02/01 - 2134/02/07"/>
          <s v="2134/02/08 - 2134/02/14"/>
          <s v="2134/02/15 - 2134/02/21"/>
          <s v="2134/02/22 - 2134/02/28"/>
          <s v="2134/03/01 - 2134/03/07"/>
          <s v="2134/03/08 - 2134/03/14"/>
          <s v="2134/03/15 - 2134/03/21"/>
          <s v="2134/03/22 - 2134/03/28"/>
          <s v="2134/03/29 - 2134/04/04"/>
          <s v="2134/04/05 - 2134/04/11"/>
          <s v="2134/04/12 - 2134/04/18"/>
          <s v="2134/04/19 - 2134/04/25"/>
          <s v="2134/04/26 - 2134/05/02"/>
          <s v="2134/05/03 - 2134/05/09"/>
          <s v="2134/05/10 - 2134/05/16"/>
          <s v="2134/05/17 - 2134/05/23"/>
          <s v="2134/05/24 - 2134/05/30"/>
          <s v="2134/05/31 - 2134/06/06"/>
          <s v="2134/06/07 - 2134/06/13"/>
          <s v="2134/06/14 - 2134/06/20"/>
          <s v="2134/06/21 - 2134/06/27"/>
          <s v="2134/06/28 - 2134/07/04"/>
          <s v="2134/07/05 - 2134/07/11"/>
          <s v="2134/07/12 - 2134/07/18"/>
          <s v="2134/07/19 - 2134/07/25"/>
          <s v="2134/07/26 - 2134/08/01"/>
          <s v="2134/08/02 - 2134/08/08"/>
          <s v="2134/08/09 - 2134/08/15"/>
          <s v="2134/08/16 - 2134/08/22"/>
          <s v="2134/08/23 - 2134/08/29"/>
          <s v="2134/08/30 - 2134/09/05"/>
          <s v="2134/09/06 - 2134/09/12"/>
          <s v="2134/09/13 - 2134/09/19"/>
          <s v="2134/09/20 - 2134/09/26"/>
          <s v="2134/09/27 - 2134/10/03"/>
          <s v="2134/10/04 - 2134/10/10"/>
          <s v="2134/10/11 - 2134/10/17"/>
          <s v="2134/10/18 - 2134/10/24"/>
          <s v="2134/10/25 - 2134/10/31"/>
          <s v="2134/11/01 - 2134/11/07"/>
          <s v="2134/11/08 - 2134/11/14"/>
          <s v="2134/11/15 - 2134/11/21"/>
          <s v="2134/11/22 - 2134/11/28"/>
          <s v="2134/11/29 - 2134/12/05"/>
          <s v="2134/12/06 - 2134/12/12"/>
          <s v="2134/12/13 - 2134/12/19"/>
          <s v="2134/12/20 - 2134/12/26"/>
          <s v="2134/12/27 - 2135/01/02"/>
          <s v="2135/01/03 - 2135/01/09"/>
          <s v="2135/01/10 - 2135/01/16"/>
          <s v="2135/01/17 - 2135/01/23"/>
          <s v="2135/01/24 - 2135/01/30"/>
          <s v="2135/01/31 - 2135/02/06"/>
          <s v="2135/02/07 - 2135/02/13"/>
          <s v="2135/02/14 - 2135/02/20"/>
          <s v="2135/02/21 - 2135/02/27"/>
          <s v="2135/02/28 - 2135/03/06"/>
          <s v="2135/03/07 - 2135/03/13"/>
          <s v="2135/03/14 - 2135/03/20"/>
          <s v="2135/03/21 - 2135/03/27"/>
          <s v="2135/03/28 - 2135/04/03"/>
          <s v="2135/04/04 - 2135/04/10"/>
          <s v="2135/04/11 - 2135/04/17"/>
          <s v="2135/04/18 - 2135/04/24"/>
          <s v="2135/04/25 - 2135/05/01"/>
          <s v="2135/05/02 - 2135/05/08"/>
          <s v="2135/05/09 - 2135/05/15"/>
          <s v="2135/05/16 - 2135/05/22"/>
          <s v="2135/05/23 - 2135/05/29"/>
          <s v="2135/05/30 - 2135/06/05"/>
          <s v="2135/06/06 - 2135/06/12"/>
          <s v="2135/06/13 - 2135/06/19"/>
          <s v="2135/06/20 - 2135/06/26"/>
          <s v="2135/06/27 - 2135/07/03"/>
          <s v="2135/07/04 - 2135/07/10"/>
          <s v="2135/07/11 - 2135/07/17"/>
          <s v="2135/07/18 - 2135/07/24"/>
          <s v="2135/07/25 - 2135/07/31"/>
          <s v="2135/08/01 - 2135/08/07"/>
          <s v="2135/08/08 - 2135/08/14"/>
          <s v="2135/08/15 - 2135/08/21"/>
          <s v="2135/08/22 - 2135/08/28"/>
          <s v="2135/08/29 - 2135/09/04"/>
          <s v="2135/09/05 - 2135/09/11"/>
          <s v="2135/09/12 - 2135/09/18"/>
          <s v="2135/09/19 - 2135/09/25"/>
          <s v="2135/09/26 - 2135/10/02"/>
          <s v="2135/10/03 - 2135/10/09"/>
          <s v="2135/10/10 - 2135/10/16"/>
          <s v="2135/10/17 - 2135/10/23"/>
          <s v="2135/10/24 - 2135/10/30"/>
          <s v="2135/10/31 - 2135/11/06"/>
          <s v="2135/11/07 - 2135/11/13"/>
          <s v="2135/11/14 - 2135/11/20"/>
          <s v="2135/11/21 - 2135/11/27"/>
          <s v="2135/11/28 - 2135/12/04"/>
          <s v="2135/12/05 - 2135/12/11"/>
          <s v="2135/12/12 - 2135/12/18"/>
          <s v="2135/12/19 - 2135/12/25"/>
          <s v="2135/12/26 - 2136/01/01"/>
          <s v="2136/01/02 - 2136/01/08"/>
          <s v="2136/01/09 - 2136/01/15"/>
          <s v="2136/01/16 - 2136/01/22"/>
          <s v="2136/01/23 - 2136/01/29"/>
          <s v="2136/01/30 - 2136/02/05"/>
          <s v="2136/02/06 - 2136/02/12"/>
          <s v="2136/02/13 - 2136/02/19"/>
          <s v="2136/02/20 - 2136/02/26"/>
          <s v="2136/02/27 - 2136/03/04"/>
          <s v="2136/03/05 - 2136/03/11"/>
          <s v="2136/03/12 - 2136/03/18"/>
          <s v="2136/03/19 - 2136/03/25"/>
          <s v="2136/03/26 - 2136/04/01"/>
          <s v="2136/04/02 - 2136/04/08"/>
          <s v="2136/04/09 - 2136/04/15"/>
          <s v="2136/04/16 - 2136/04/22"/>
          <s v="2136/04/23 - 2136/04/29"/>
          <s v="2136/04/30 - 2136/05/06"/>
          <s v="2136/05/07 - 2136/05/13"/>
          <s v="2136/05/14 - 2136/05/20"/>
          <s v="2136/05/21 - 2136/05/27"/>
          <s v="2136/05/28 - 2136/06/03"/>
          <s v="2136/06/04 - 2136/06/10"/>
          <s v="2136/06/11 - 2136/06/17"/>
          <s v="2136/06/18 - 2136/06/24"/>
          <s v="2136/06/25 - 2136/07/01"/>
          <s v="2136/07/02 - 2136/07/08"/>
          <s v="2136/07/09 - 2136/07/15"/>
          <s v="2136/07/16 - 2136/07/22"/>
          <s v="2136/07/23 - 2136/07/29"/>
          <s v="2136/07/30 - 2136/08/05"/>
          <s v="2136/08/06 - 2136/08/12"/>
          <s v="2136/08/13 - 2136/08/19"/>
          <s v="2136/08/20 - 2136/08/26"/>
          <s v="2136/08/27 - 2136/09/02"/>
          <s v="2136/09/03 - 2136/09/09"/>
          <s v="2136/09/10 - 2136/09/16"/>
          <s v="2136/09/17 - 2136/09/23"/>
          <s v="2136/09/24 - 2136/09/30"/>
          <s v="2136/10/01 - 2136/10/07"/>
          <s v="2136/10/08 - 2136/10/14"/>
          <s v="2136/10/15 - 2136/10/21"/>
          <s v="2136/10/22 - 2136/10/28"/>
          <s v="2136/10/29 - 2136/11/04"/>
          <s v="2136/11/05 - 2136/11/11"/>
          <s v="2136/11/12 - 2136/11/18"/>
          <s v="2136/11/19 - 2136/11/25"/>
          <s v="2136/11/26 - 2136/12/02"/>
          <s v="2136/12/03 - 2136/12/09"/>
          <s v="2136/12/10 - 2136/12/16"/>
          <s v="2136/12/17 - 2136/12/23"/>
          <s v="2136/12/24 - 2136/12/30"/>
          <s v="2136/12/31 - 2137/01/06"/>
          <s v="2137/01/07 - 2137/01/13"/>
          <s v="2137/01/14 - 2137/01/20"/>
          <s v="2137/01/21 - 2137/01/27"/>
          <s v="2137/01/28 - 2137/02/03"/>
          <s v="2137/02/04 - 2137/02/10"/>
          <s v="2137/02/11 - 2137/02/17"/>
          <s v="2137/02/18 - 2137/02/24"/>
          <s v="2137/02/25 - 2137/03/03"/>
          <s v="2137/03/04 - 2137/03/10"/>
          <s v="2137/03/11 - 2137/03/17"/>
          <s v="2137/03/18 - 2137/03/24"/>
          <s v="2137/03/25 - 2137/03/31"/>
          <s v="2137/04/01 - 2137/04/07"/>
          <s v="2137/04/08 - 2137/04/14"/>
          <s v="2137/04/15 - 2137/04/21"/>
          <s v="2137/04/22 - 2137/04/28"/>
          <s v="2137/04/29 - 2137/05/05"/>
          <s v="2137/05/06 - 2137/05/12"/>
          <s v="2137/05/13 - 2137/05/19"/>
          <s v="2137/05/20 - 2137/05/26"/>
          <s v="2137/05/27 - 2137/06/02"/>
          <s v="2137/06/03 - 2137/06/09"/>
          <s v="2137/06/10 - 2137/06/16"/>
          <s v="2137/06/17 - 2137/06/23"/>
          <s v="2137/06/24 - 2137/06/30"/>
          <s v="2137/07/01 - 2137/07/07"/>
          <s v="2137/07/08 - 2137/07/14"/>
          <s v="2137/07/15 - 2137/07/21"/>
          <s v="2137/07/22 - 2137/07/28"/>
          <s v="2137/07/29 - 2137/08/04"/>
          <s v="2137/08/05 - 2137/08/11"/>
          <s v="2137/08/12 - 2137/08/18"/>
          <s v="2137/08/19 - 2137/08/25"/>
          <s v="2137/08/26 - 2137/09/01"/>
          <s v="2137/09/02 - 2137/09/08"/>
          <s v="2137/09/09 - 2137/09/15"/>
          <s v="2137/09/16 - 2137/09/22"/>
          <s v="2137/09/23 - 2137/09/29"/>
          <s v="2137/09/30 - 2137/10/06"/>
          <s v="2137/10/07 - 2137/10/13"/>
          <s v="2137/10/14 - 2137/10/20"/>
          <s v="2137/10/21 - 2137/10/27"/>
          <s v="2137/10/28 - 2137/11/03"/>
          <s v="2137/11/04 - 2137/11/10"/>
          <s v="2137/11/11 - 2137/11/17"/>
          <s v="2137/11/18 - 2137/11/24"/>
          <s v="2137/11/25 - 2137/12/01"/>
          <s v="2137/12/02 - 2137/12/08"/>
          <s v="2137/12/09 - 2137/12/15"/>
          <s v="2137/12/16 - 2137/12/22"/>
          <s v="2137/12/23 - 2137/12/29"/>
          <s v="2137/12/30 - 2138/01/05"/>
          <s v="2138/01/06 - 2138/01/12"/>
          <s v="2138/01/13 - 2138/01/19"/>
          <s v="2138/01/20 - 2138/01/26"/>
          <s v="2138/01/27 - 2138/02/02"/>
          <s v="2138/02/03 - 2138/02/09"/>
          <s v="2138/02/10 - 2138/02/16"/>
          <s v="2138/02/17 - 2138/02/23"/>
          <s v="2138/02/24 - 2138/03/02"/>
          <s v="2138/03/03 - 2138/03/09"/>
          <s v="2138/03/10 - 2138/03/16"/>
          <s v="2138/03/17 - 2138/03/23"/>
          <s v="2138/03/24 - 2138/03/30"/>
          <s v="2138/03/31 - 2138/04/06"/>
          <s v="2138/04/07 - 2138/04/13"/>
          <s v="2138/04/14 - 2138/04/20"/>
          <s v="2138/04/21 - 2138/04/27"/>
          <s v="2138/04/28 - 2138/05/04"/>
          <s v="2138/05/05 - 2138/05/11"/>
          <s v="2138/05/12 - 2138/05/18"/>
          <s v="2138/05/19 - 2138/05/25"/>
          <s v="2138/05/26 - 2138/06/01"/>
          <s v="2138/06/02 - 2138/06/08"/>
          <s v="2138/06/09 - 2138/06/15"/>
          <s v="2138/06/16 - 2138/06/22"/>
          <s v="2138/06/23 - 2138/06/29"/>
          <s v="2138/06/30 - 2138/07/06"/>
          <s v="2138/07/07 - 2138/07/13"/>
          <s v="2138/07/14 - 2138/07/20"/>
          <s v="2138/07/21 - 2138/07/27"/>
          <s v="2138/07/28 - 2138/08/03"/>
          <s v="2138/08/04 - 2138/08/10"/>
          <s v="2138/08/11 - 2138/08/17"/>
          <s v="2138/08/18 - 2138/08/24"/>
          <s v="2138/08/25 - 2138/08/31"/>
          <s v="2138/09/01 - 2138/09/07"/>
          <s v="2138/09/08 - 2138/09/14"/>
          <s v="2138/09/15 - 2138/09/21"/>
          <s v="2138/09/22 - 2138/09/28"/>
          <s v="2138/09/29 - 2138/10/05"/>
          <s v="2138/10/06 - 2138/10/12"/>
          <s v="2138/10/13 - 2138/10/19"/>
          <s v="2138/10/20 - 2138/10/26"/>
          <s v="2138/10/27 - 2138/11/02"/>
          <s v="2138/11/03 - 2138/11/09"/>
          <s v="2138/11/10 - 2138/11/16"/>
          <s v="2138/11/17 - 2138/11/23"/>
          <s v="2138/11/24 - 2138/11/30"/>
          <s v="2138/12/01 - 2138/12/07"/>
          <s v="2138/12/08 - 2138/12/14"/>
          <s v="2138/12/15 - 2138/12/21"/>
          <s v="2138/12/22 - 2138/12/28"/>
          <s v="2138/12/29 - 2139/01/04"/>
          <s v="2139/01/05 - 2139/01/11"/>
          <s v="2139/01/12 - 2139/01/18"/>
          <s v="2139/01/19 - 2139/01/25"/>
          <s v="2139/01/26 - 2139/02/01"/>
          <s v="2139/02/02 - 2139/02/08"/>
          <s v="2139/02/09 - 2139/02/15"/>
          <s v="2139/02/16 - 2139/02/22"/>
          <s v="2139/02/23 - 2139/03/01"/>
          <s v="2139/03/02 - 2139/03/08"/>
          <s v="2139/03/09 - 2139/03/15"/>
          <s v="2139/03/16 - 2139/03/22"/>
          <s v="2139/03/23 - 2139/03/29"/>
          <s v="2139/03/30 - 2139/04/05"/>
          <s v="2139/04/06 - 2139/04/12"/>
          <s v="2139/04/13 - 2139/04/19"/>
          <s v="2139/04/20 - 2139/04/26"/>
          <s v="2139/04/27 - 2139/05/03"/>
          <s v="2139/05/04 - 2139/05/10"/>
          <s v="2139/05/11 - 2139/05/17"/>
          <s v="2139/05/18 - 2139/05/24"/>
          <s v="2139/05/25 - 2139/05/31"/>
          <s v="2139/06/01 - 2139/06/07"/>
          <s v="2139/06/08 - 2139/06/14"/>
          <s v="2139/06/15 - 2139/06/21"/>
          <s v="2139/06/22 - 2139/06/28"/>
          <s v="2139/06/29 - 2139/07/05"/>
          <s v="2139/07/06 - 2139/07/12"/>
          <s v="2139/07/13 - 2139/07/19"/>
          <s v="2139/07/20 - 2139/07/26"/>
          <s v="2139/07/27 - 2139/08/02"/>
          <s v="2139/08/03 - 2139/08/09"/>
          <s v="2139/08/10 - 2139/08/16"/>
          <s v="2139/08/17 - 2139/08/23"/>
          <s v="2139/08/24 - 2139/08/30"/>
          <s v="2139/08/31 - 2139/09/06"/>
          <s v="2139/09/07 - 2139/09/13"/>
          <s v="2139/09/14 - 2139/09/20"/>
          <s v="2139/09/21 - 2139/09/27"/>
          <s v="2139/09/28 - 2139/10/04"/>
          <s v="2139/10/05 - 2139/10/11"/>
          <s v="2139/10/12 - 2139/10/18"/>
          <s v="2139/10/19 - 2139/10/25"/>
          <s v="2139/10/26 - 2139/11/01"/>
          <s v="2139/11/02 - 2139/11/08"/>
          <s v="2139/11/09 - 2139/11/15"/>
          <s v="2139/11/16 - 2139/11/22"/>
          <s v="2139/11/23 - 2139/11/29"/>
          <s v="2139/11/30 - 2139/12/06"/>
          <s v="2139/12/07 - 2139/12/13"/>
          <s v="2139/12/14 - 2139/12/20"/>
          <s v="2139/12/21 - 2139/12/27"/>
          <s v="2139/12/28 - 2140/01/03"/>
          <s v="2140/01/04 - 2140/01/10"/>
          <s v="2140/01/11 - 2140/01/17"/>
          <s v="2140/01/18 - 2140/01/24"/>
          <s v="2140/01/25 - 2140/01/31"/>
          <s v="2140/02/01 - 2140/02/07"/>
          <s v="2140/02/08 - 2140/02/14"/>
          <s v="2140/02/15 - 2140/02/21"/>
          <s v="2140/02/22 - 2140/02/28"/>
          <s v="2140/02/29 - 2140/03/06"/>
          <s v="2140/03/07 - 2140/03/13"/>
          <s v="2140/03/14 - 2140/03/20"/>
          <s v="2140/03/21 - 2140/03/27"/>
          <s v="2140/03/28 - 2140/04/03"/>
          <s v="2140/04/04 - 2140/04/10"/>
          <s v="2140/04/11 - 2140/04/17"/>
          <s v="2140/04/18 - 2140/04/24"/>
          <s v="2140/04/25 - 2140/05/01"/>
          <s v="2140/05/02 - 2140/05/08"/>
          <s v="2140/05/09 - 2140/05/15"/>
          <s v="2140/05/16 - 2140/05/22"/>
          <s v="2140/05/23 - 2140/05/29"/>
          <s v="2140/05/30 - 2140/06/05"/>
          <s v="2140/06/06 - 2140/06/12"/>
          <s v="2140/06/13 - 2140/06/19"/>
          <s v="2140/06/20 - 2140/06/26"/>
          <s v="2140/06/27 - 2140/07/03"/>
          <s v="2140/07/04 - 2140/07/10"/>
          <s v="2140/07/11 - 2140/07/17"/>
          <s v="2140/07/18 - 2140/07/24"/>
          <s v="2140/07/25 - 2140/07/31"/>
          <s v="2140/08/01 - 2140/08/07"/>
          <s v="2140/08/08 - 2140/08/14"/>
          <s v="2140/08/15 - 2140/08/21"/>
          <s v="2140/08/22 - 2140/08/28"/>
          <s v="2140/08/29 - 2140/09/04"/>
          <s v="2140/09/05 - 2140/09/11"/>
          <s v="2140/09/12 - 2140/09/18"/>
          <s v="2140/09/19 - 2140/09/25"/>
          <s v="2140/09/26 - 2140/10/02"/>
          <s v="2140/10/03 - 2140/10/09"/>
          <s v="2140/10/10 - 2140/10/16"/>
          <s v="2140/10/17 - 2140/10/23"/>
          <s v="2140/10/24 - 2140/10/30"/>
          <s v="2140/10/31 - 2140/11/06"/>
          <s v="2140/11/07 - 2140/11/13"/>
          <s v="2140/11/14 - 2140/11/20"/>
          <s v="2140/11/21 - 2140/11/27"/>
          <s v="2140/11/28 - 2140/12/04"/>
          <s v="2140/12/05 - 2140/12/11"/>
          <s v="2140/12/12 - 2140/12/18"/>
          <s v="2140/12/19 - 2140/12/25"/>
          <s v="2140/12/26 - 2141/01/01"/>
          <s v="2141/01/02 - 2141/01/08"/>
          <s v="2141/01/09 - 2141/01/15"/>
          <s v="2141/01/16 - 2141/01/22"/>
          <s v="2141/01/23 - 2141/01/29"/>
          <s v="2141/01/30 - 2141/02/05"/>
          <s v="2141/02/06 - 2141/02/12"/>
          <s v="2141/02/13 - 2141/02/19"/>
          <s v="2141/02/20 - 2141/02/26"/>
          <s v="2141/02/27 - 2141/03/05"/>
          <s v="2141/03/06 - 2141/03/12"/>
          <s v="2141/03/13 - 2141/03/19"/>
          <s v="2141/03/20 - 2141/03/26"/>
          <s v="2141/03/27 - 2141/04/02"/>
          <s v="2141/04/03 - 2141/04/09"/>
          <s v="2141/04/10 - 2141/04/16"/>
          <s v="2141/04/17 - 2141/04/23"/>
          <s v="2141/04/24 - 2141/04/30"/>
          <s v="2141/05/01 - 2141/05/07"/>
          <s v="2141/05/08 - 2141/05/14"/>
          <s v="2141/05/15 - 2141/05/21"/>
          <s v="2141/05/22 - 2141/05/28"/>
          <s v="2141/05/29 - 2141/06/04"/>
          <s v="2141/06/05 - 2141/06/11"/>
          <s v="2141/06/12 - 2141/06/18"/>
          <s v="2141/06/19 - 2141/06/25"/>
          <s v="2141/06/26 - 2141/07/02"/>
          <s v="2141/07/03 - 2141/07/09"/>
          <s v="2141/07/10 - 2141/07/16"/>
          <s v="2141/07/17 - 2141/07/23"/>
          <s v="2141/07/24 - 2141/07/30"/>
          <s v="2141/07/31 - 2141/08/06"/>
          <s v="2141/08/07 - 2141/08/13"/>
          <s v="2141/08/14 - 2141/08/20"/>
          <s v="2141/08/21 - 2141/08/27"/>
          <s v="2141/08/28 - 2141/09/03"/>
          <s v="2141/09/04 - 2141/09/10"/>
          <s v="2141/09/11 - 2141/09/17"/>
          <s v="2141/09/18 - 2141/09/24"/>
          <s v="2141/09/25 - 2141/10/01"/>
          <s v="2141/10/02 - 2141/10/08"/>
          <s v="2141/10/09 - 2141/10/15"/>
          <s v="2141/10/16 - 2141/10/22"/>
          <s v="2141/10/23 - 2141/10/29"/>
          <s v="2141/10/30 - 2141/11/05"/>
          <s v="2141/11/06 - 2141/11/12"/>
          <s v="2141/11/13 - 2141/11/19"/>
          <s v="2141/11/20 - 2141/11/26"/>
          <s v="2141/11/27 - 2141/12/03"/>
          <s v="2141/12/04 - 2141/12/10"/>
          <s v="2141/12/11 - 2141/12/17"/>
          <s v="2141/12/18 - 2141/12/24"/>
          <s v="2141/12/25 - 2141/12/31"/>
          <s v="2142/01/01 - 2142/01/07"/>
          <s v="2142/01/08 - 2142/01/14"/>
          <s v="2142/01/15 - 2142/01/21"/>
          <s v="2142/01/22 - 2142/01/28"/>
          <s v="2142/01/29 - 2142/02/04"/>
          <s v="2142/02/05 - 2142/02/11"/>
          <s v="2142/02/12 - 2142/02/18"/>
          <s v="2142/02/19 - 2142/02/25"/>
          <s v="2142/02/26 - 2142/03/04"/>
          <s v="2142/03/05 - 2142/03/11"/>
          <s v="2142/03/12 - 2142/03/18"/>
          <s v="2142/03/19 - 2142/03/25"/>
          <s v="2142/03/26 - 2142/04/01"/>
          <s v="2142/04/02 - 2142/04/08"/>
          <s v="2142/04/09 - 2142/04/15"/>
          <s v="2142/04/16 - 2142/04/22"/>
          <s v="2142/04/23 - 2142/04/29"/>
          <s v="2142/04/30 - 2142/05/06"/>
          <s v="2142/05/07 - 2142/05/13"/>
          <s v="2142/05/14 - 2142/05/20"/>
          <s v="2142/05/21 - 2142/05/27"/>
          <s v="2142/05/28 - 2142/06/03"/>
          <s v="2142/06/04 - 2142/06/10"/>
          <s v="2142/06/11 - 2142/06/17"/>
          <s v="2142/06/18 - 2142/06/24"/>
          <s v="2142/06/25 - 2142/07/01"/>
          <s v="2142/07/02 - 2142/07/08"/>
          <s v="2142/07/09 - 2142/07/15"/>
          <s v="2142/07/16 - 2142/07/22"/>
          <s v="2142/07/23 - 2142/07/29"/>
          <s v="2142/07/30 - 2142/08/05"/>
          <s v="2142/08/06 - 2142/08/12"/>
          <s v="2142/08/13 - 2142/08/19"/>
          <s v="2142/08/20 - 2142/08/26"/>
          <s v="2142/08/27 - 2142/09/02"/>
          <s v="2142/09/03 - 2142/09/09"/>
          <s v="2142/09/10 - 2142/09/16"/>
          <s v="2142/09/17 - 2142/09/23"/>
          <s v="2142/09/24 - 2142/09/30"/>
          <s v="2142/10/01 - 2142/10/07"/>
          <s v="2142/10/08 - 2142/10/14"/>
          <s v="2142/10/15 - 2142/10/21"/>
          <s v="2142/10/22 - 2142/10/28"/>
          <s v="2142/10/29 - 2142/11/04"/>
          <s v="2142/11/05 - 2142/11/11"/>
          <s v="2142/11/12 - 2142/11/18"/>
          <s v="2142/11/19 - 2142/11/25"/>
          <s v="2142/11/26 - 2142/12/02"/>
          <s v="2142/12/03 - 2142/12/09"/>
          <s v="2142/12/10 - 2142/12/16"/>
          <s v="2142/12/17 - 2142/12/23"/>
          <s v="2142/12/24 - 2142/12/30"/>
          <s v="2142/12/31 - 2143/01/06"/>
          <s v="2143/01/07 - 2143/01/13"/>
          <s v="2143/01/14 - 2143/01/20"/>
          <s v="2143/01/21 - 2143/01/27"/>
          <s v="2143/01/28 - 2143/02/03"/>
          <s v="2143/02/04 - 2143/02/10"/>
          <s v="2143/02/11 - 2143/02/17"/>
          <s v="2143/02/18 - 2143/02/24"/>
          <s v="2143/02/25 - 2143/03/03"/>
          <s v="2143/03/04 - 2143/03/10"/>
          <s v="2143/03/11 - 2143/03/17"/>
          <s v="2143/03/18 - 2143/03/24"/>
          <s v="2143/03/25 - 2143/03/31"/>
          <s v="2143/04/01 - 2143/04/07"/>
          <s v="2143/04/08 - 2143/04/14"/>
          <s v="2143/04/15 - 2143/04/21"/>
          <s v="2143/04/22 - 2143/04/28"/>
          <s v="2143/04/29 - 2143/05/05"/>
          <s v="2143/05/06 - 2143/05/12"/>
          <s v="2143/05/13 - 2143/05/19"/>
          <s v="2143/05/20 - 2143/05/26"/>
          <s v="2143/05/27 - 2143/06/02"/>
          <s v="2143/06/03 - 2143/06/09"/>
          <s v="2143/06/10 - 2143/06/16"/>
          <s v="2143/06/17 - 2143/06/23"/>
          <s v="2143/06/24 - 2143/06/30"/>
          <s v="2143/07/01 - 2143/07/07"/>
          <s v="2143/07/08 - 2143/07/14"/>
          <s v="2143/07/15 - 2143/07/21"/>
          <s v="2143/07/22 - 2143/07/28"/>
          <s v="2143/07/29 - 2143/08/04"/>
          <s v="2143/08/05 - 2143/08/11"/>
          <s v="2143/08/12 - 2143/08/18"/>
          <s v="2143/08/19 - 2143/08/25"/>
          <s v="2143/08/26 - 2143/09/01"/>
          <s v="2143/09/02 - 2143/09/08"/>
          <s v="2143/09/09 - 2143/09/15"/>
          <s v="2143/09/16 - 2143/09/22"/>
          <s v="2143/09/23 - 2143/09/29"/>
          <s v="2143/09/30 - 2143/10/06"/>
          <s v="2143/10/07 - 2143/10/13"/>
          <s v="2143/10/14 - 2143/10/20"/>
          <s v="2143/10/21 - 2143/10/27"/>
          <s v="2143/10/28 - 2143/11/03"/>
          <s v="2143/11/04 - 2143/11/10"/>
          <s v="2143/11/11 - 2143/11/17"/>
          <s v="2143/11/18 - 2143/11/24"/>
          <s v="2143/11/25 - 2143/12/01"/>
          <s v="2143/12/02 - 2143/12/08"/>
          <s v="2143/12/09 - 2143/12/15"/>
          <s v="2143/12/16 - 2143/12/22"/>
          <s v="2143/12/23 - 2143/12/29"/>
          <s v="2143/12/30 - 2144/01/05"/>
          <s v="2144/01/06 - 2144/01/12"/>
          <s v="2144/01/13 - 2144/01/19"/>
          <s v="2144/01/20 - 2144/01/26"/>
          <s v="2144/01/27 - 2144/02/02"/>
          <s v="2144/02/03 - 2144/02/09"/>
          <s v="2144/02/10 - 2144/02/16"/>
          <s v="2144/02/17 - 2144/02/23"/>
          <s v="2144/02/24 - 2144/03/01"/>
          <s v="2144/03/02 - 2144/03/08"/>
          <s v="2144/03/09 - 2144/03/15"/>
          <s v="2144/03/16 - 2144/03/22"/>
          <s v="2144/03/23 - 2144/03/29"/>
          <s v="2144/03/30 - 2144/04/05"/>
          <s v="2144/04/06 - 2144/04/12"/>
          <s v="2144/04/13 - 2144/04/19"/>
          <s v="2144/04/20 - 2144/04/26"/>
          <s v="2144/04/27 - 2144/05/03"/>
          <s v="2144/05/04 - 2144/05/10"/>
          <s v="2144/05/11 - 2144/05/17"/>
          <s v="2144/05/18 - 2144/05/24"/>
          <s v="2144/05/25 - 2144/05/31"/>
          <s v="2144/06/01 - 2144/06/07"/>
          <s v="2144/06/08 - 2144/06/14"/>
          <s v="2144/06/15 - 2144/06/21"/>
          <s v="2144/06/22 - 2144/06/28"/>
          <s v="2144/06/29 - 2144/07/05"/>
          <s v="2144/07/06 - 2144/07/12"/>
          <s v="2144/07/13 - 2144/07/19"/>
          <s v="2144/07/20 - 2144/07/26"/>
          <s v="2144/07/27 - 2144/08/02"/>
          <s v="2144/08/03 - 2144/08/09"/>
          <s v="2144/08/10 - 2144/08/16"/>
          <s v="2144/08/17 - 2144/08/23"/>
          <s v="2144/08/24 - 2144/08/30"/>
          <s v="2144/08/31 - 2144/09/06"/>
          <s v="2144/09/07 - 2144/09/13"/>
          <s v="2144/09/14 - 2144/09/20"/>
          <s v="2144/09/21 - 2144/09/27"/>
          <s v="2144/09/28 - 2144/10/04"/>
          <s v="2144/10/05 - 2144/10/11"/>
          <s v="2144/10/12 - 2144/10/18"/>
          <s v="2144/10/19 - 2144/10/25"/>
          <s v="2144/10/26 - 2144/11/01"/>
          <s v="2144/11/02 - 2144/11/08"/>
          <s v="2144/11/09 - 2144/11/15"/>
          <s v="2144/11/16 - 2144/11/22"/>
          <s v="2144/11/23 - 2144/11/29"/>
          <s v="2144/11/30 - 2144/12/06"/>
          <s v="2144/12/07 - 2144/12/13"/>
          <s v="2144/12/14 - 2144/12/20"/>
          <s v="2144/12/21 - 2144/12/27"/>
          <s v="2144/12/28 - 2145/01/03"/>
          <s v="2145/01/04 - 2145/01/10"/>
          <s v="2145/01/11 - 2145/01/17"/>
          <s v="2145/01/18 - 2145/01/24"/>
          <s v="2145/01/25 - 2145/01/31"/>
          <s v="2145/02/01 - 2145/02/07"/>
          <s v="2145/02/08 - 2145/02/14"/>
          <s v="2145/02/15 - 2145/02/21"/>
          <s v="2145/02/22 - 2145/02/28"/>
          <s v="2145/03/01 - 2145/03/07"/>
          <s v="2145/03/08 - 2145/03/14"/>
          <s v="2145/03/15 - 2145/03/21"/>
          <s v="2145/03/22 - 2145/03/28"/>
          <s v="2145/03/29 - 2145/04/04"/>
          <s v="2145/04/05 - 2145/04/11"/>
          <s v="2145/04/12 - 2145/04/18"/>
          <s v="2145/04/19 - 2145/04/25"/>
          <s v="2145/04/26 - 2145/05/02"/>
          <s v="2145/05/03 - 2145/05/09"/>
          <s v="2145/05/10 - 2145/05/16"/>
          <s v="2145/05/17 - 2145/05/23"/>
          <s v="2145/05/24 - 2145/05/30"/>
          <s v="2145/05/31 - 2145/06/06"/>
          <s v="2145/06/07 - 2145/06/13"/>
          <s v="2145/06/14 - 2145/06/20"/>
          <s v="2145/06/21 - 2145/06/27"/>
          <s v="2145/06/28 - 2145/07/04"/>
          <s v="2145/07/05 - 2145/07/11"/>
          <s v="2145/07/12 - 2145/07/18"/>
          <s v="2145/07/19 - 2145/07/25"/>
          <s v="2145/07/26 - 2145/08/01"/>
          <s v="2145/08/02 - 2145/08/08"/>
          <s v="2145/08/09 - 2145/08/15"/>
          <s v="2145/08/16 - 2145/08/22"/>
          <s v="2145/08/23 - 2145/08/29"/>
          <s v="2145/08/30 - 2145/09/05"/>
          <s v="2145/09/06 - 2145/09/12"/>
          <s v="2145/09/13 - 2145/09/19"/>
          <s v="2145/09/20 - 2145/09/26"/>
          <s v="2145/09/27 - 2145/10/03"/>
          <s v="2145/10/04 - 2145/10/10"/>
          <s v="2145/10/11 - 2145/10/17"/>
          <s v="2145/10/18 - 2145/10/24"/>
          <s v="2145/10/25 - 2145/10/31"/>
          <s v="2145/11/01 - 2145/11/07"/>
          <s v="2145/11/08 - 2145/11/14"/>
          <s v="2145/11/15 - 2145/11/21"/>
          <s v="2145/11/22 - 2145/11/28"/>
          <s v="2145/11/29 - 2145/12/05"/>
          <s v="2145/12/06 - 2145/12/12"/>
          <s v="2145/12/13 - 2145/12/19"/>
          <s v="2145/12/20 - 2145/12/26"/>
          <s v="2145/12/27 - 2146/01/02"/>
          <s v="2146/01/03 - 2146/01/09"/>
          <s v="2146/01/10 - 2146/01/16"/>
          <s v="2146/01/17 - 2146/01/23"/>
          <s v="2146/01/24 - 2146/01/30"/>
          <s v="2146/01/31 - 2146/02/06"/>
          <s v="2146/02/07 - 2146/02/13"/>
          <s v="2146/02/14 - 2146/02/20"/>
          <s v="2146/02/21 - 2146/02/27"/>
          <s v="2146/02/28 - 2146/03/06"/>
          <s v="2146/03/07 - 2146/03/13"/>
          <s v="2146/03/14 - 2146/03/20"/>
          <s v="2146/03/21 - 2146/03/27"/>
          <s v="2146/03/28 - 2146/04/03"/>
          <s v="2146/04/04 - 2146/04/10"/>
          <s v="2146/04/11 - 2146/04/17"/>
          <s v="2146/04/18 - 2146/04/24"/>
          <s v="2146/04/25 - 2146/05/01"/>
          <s v="2146/05/02 - 2146/05/08"/>
          <s v="2146/05/09 - 2146/05/15"/>
          <s v="2146/05/16 - 2146/05/22"/>
          <s v="2146/05/23 - 2146/05/29"/>
          <s v="2146/05/30 - 2146/06/05"/>
          <s v="2146/06/06 - 2146/06/12"/>
          <s v="2146/06/13 - 2146/06/19"/>
          <s v="2146/06/20 - 2146/06/26"/>
          <s v="2146/06/27 - 2146/07/03"/>
          <s v="2146/07/04 - 2146/07/10"/>
          <s v="2146/07/11 - 2146/07/17"/>
          <s v="2146/07/18 - 2146/07/24"/>
          <s v="2146/07/25 - 2146/07/31"/>
          <s v="2146/08/01 - 2146/08/07"/>
          <s v="2146/08/08 - 2146/08/14"/>
          <s v="2146/08/15 - 2146/08/21"/>
          <s v="2146/08/22 - 2146/08/28"/>
          <s v="2146/08/29 - 2146/09/04"/>
          <s v="2146/09/05 - 2146/09/11"/>
          <s v="2146/09/12 - 2146/09/18"/>
          <s v="2146/09/19 - 2146/09/25"/>
          <s v="2146/09/26 - 2146/10/02"/>
          <s v="2146/10/03 - 2146/10/09"/>
          <s v="2146/10/10 - 2146/10/16"/>
          <s v="2146/10/17 - 2146/10/23"/>
          <s v="2146/10/24 - 2146/10/30"/>
          <s v="2146/10/31 - 2146/11/06"/>
          <s v="2146/11/07 - 2146/11/13"/>
          <s v="2146/11/14 - 2146/11/20"/>
          <s v="2146/11/21 - 2146/11/27"/>
          <s v="2146/11/28 - 2146/12/04"/>
          <s v="2146/12/05 - 2146/12/11"/>
          <s v="2146/12/12 - 2146/12/18"/>
          <s v="2146/12/19 - 2146/12/25"/>
          <s v="2146/12/26 - 2147/01/01"/>
          <s v="2147/01/02 - 2147/01/08"/>
          <s v="2147/01/09 - 2147/01/15"/>
          <s v="2147/01/16 - 2147/01/22"/>
          <s v="2147/01/23 - 2147/01/29"/>
          <s v="2147/01/30 - 2147/02/05"/>
          <s v="2147/02/06 - 2147/02/12"/>
          <s v="2147/02/13 - 2147/02/19"/>
          <s v="2147/02/20 - 2147/02/26"/>
          <s v="2147/02/27 - 2147/03/05"/>
          <s v="2147/03/06 - 2147/03/12"/>
          <s v="2147/03/13 - 2147/03/19"/>
          <s v="2147/03/20 - 2147/03/26"/>
          <s v="2147/03/27 - 2147/04/02"/>
          <s v="2147/04/03 - 2147/04/09"/>
          <s v="2147/04/10 - 2147/04/16"/>
          <s v="2147/04/17 - 2147/04/23"/>
          <s v="2147/04/24 - 2147/04/30"/>
          <s v="2147/05/01 - 2147/05/07"/>
          <s v="2147/05/08 - 2147/05/14"/>
          <s v="2147/05/15 - 2147/05/21"/>
          <s v="2147/05/22 - 2147/05/28"/>
          <s v="2147/05/29 - 2147/06/04"/>
          <s v="2147/06/05 - 2147/06/11"/>
          <s v="2147/06/12 - 2147/06/18"/>
          <s v="2147/06/19 - 2147/06/25"/>
          <s v="2147/06/26 - 2147/07/02"/>
          <s v="2147/07/03 - 2147/07/09"/>
          <s v="2147/07/10 - 2147/07/16"/>
          <s v="2147/07/17 - 2147/07/23"/>
          <s v="2147/07/24 - 2147/07/30"/>
          <s v="2147/07/31 - 2147/08/06"/>
          <s v="2147/08/07 - 2147/08/13"/>
          <s v="2147/08/14 - 2147/08/20"/>
          <s v="2147/08/21 - 2147/08/27"/>
          <s v="2147/08/28 - 2147/09/03"/>
          <s v="2147/09/04 - 2147/09/10"/>
          <s v="2147/09/11 - 2147/09/17"/>
          <s v="2147/09/18 - 2147/09/24"/>
          <s v="2147/09/25 - 2147/10/01"/>
          <s v="2147/10/02 - 2147/10/08"/>
          <s v="2147/10/09 - 2147/10/15"/>
          <s v="2147/10/16 - 2147/10/22"/>
          <s v="2147/10/23 - 2147/10/29"/>
          <s v="2147/10/30 - 2147/11/05"/>
          <s v="2147/11/06 - 2147/11/12"/>
          <s v="2147/11/13 - 2147/11/19"/>
          <s v="2147/11/20 - 2147/11/26"/>
          <s v="2147/11/27 - 2147/12/03"/>
          <s v="2147/12/04 - 2147/12/10"/>
          <s v="2147/12/11 - 2147/12/17"/>
          <s v="2147/12/18 - 2147/12/24"/>
          <s v="2147/12/25 - 2147/12/31"/>
          <s v="2148/01/01 - 2148/01/07"/>
          <s v="2148/01/08 - 2148/01/14"/>
          <s v="2148/01/15 - 2148/01/21"/>
          <s v="2148/01/22 - 2148/01/28"/>
          <s v="2148/01/29 - 2148/02/04"/>
          <s v="2148/02/05 - 2148/02/11"/>
          <s v="2148/02/12 - 2148/02/18"/>
          <s v="2148/02/19 - 2148/02/25"/>
          <s v="2148/02/26 - 2148/03/03"/>
          <s v="2148/03/04 - 2148/03/10"/>
          <s v="2148/03/11 - 2148/03/17"/>
          <s v="2148/03/18 - 2148/03/24"/>
          <s v="2148/03/25 - 2148/03/31"/>
          <s v="2148/04/01 - 2148/04/07"/>
          <s v="2148/04/08 - 2148/04/14"/>
          <s v="2148/04/15 - 2148/04/21"/>
          <s v="2148/04/22 - 2148/04/28"/>
          <s v="2148/04/29 - 2148/05/05"/>
          <s v="2148/05/06 - 2148/05/12"/>
          <s v="2148/05/13 - 2148/05/19"/>
          <s v="2148/05/20 - 2148/05/26"/>
          <s v="2148/05/27 - 2148/06/02"/>
          <s v="2148/06/03 - 2148/06/09"/>
          <s v="2148/06/10 - 2148/06/16"/>
          <s v="2148/06/17 - 2148/06/23"/>
          <s v="2148/06/24 - 2148/06/30"/>
          <s v="2148/07/01 - 2148/07/07"/>
          <s v="2148/07/08 - 2148/07/14"/>
          <s v="2148/07/15 - 2148/07/21"/>
          <s v="2148/07/22 - 2148/07/28"/>
          <s v="2148/07/29 - 2148/08/04"/>
          <s v="2148/08/05 - 2148/08/11"/>
          <s v="2148/08/12 - 2148/08/18"/>
          <s v="2148/08/19 - 2148/08/25"/>
          <s v="2148/08/26 - 2148/09/01"/>
          <s v="2148/09/02 - 2148/09/08"/>
          <s v="2148/09/09 - 2148/09/15"/>
          <s v="2148/09/16 - 2148/09/22"/>
          <s v="2148/09/23 - 2148/09/29"/>
          <s v="2148/09/30 - 2148/10/06"/>
          <s v="2148/10/07 - 2148/10/13"/>
          <s v="2148/10/14 - 2148/10/20"/>
          <s v="2148/10/21 - 2148/10/27"/>
          <s v="2148/10/28 - 2148/11/03"/>
          <s v="2148/11/04 - 2148/11/10"/>
          <s v="2148/11/11 - 2148/11/17"/>
          <s v="2148/11/18 - 2148/11/24"/>
          <s v="2148/11/25 - 2148/12/01"/>
          <s v="2148/12/02 - 2148/12/08"/>
          <s v="2148/12/09 - 2148/12/15"/>
          <s v="2148/12/16 - 2148/12/22"/>
          <s v="2148/12/23 - 2148/12/29"/>
          <s v="2148/12/30 - 2149/01/05"/>
          <s v="2149/01/06 - 2149/01/12"/>
          <s v="2149/01/13 - 2149/01/19"/>
          <s v="2149/01/20 - 2149/01/26"/>
          <s v="2149/01/27 - 2149/02/02"/>
          <s v="2149/02/03 - 2149/02/09"/>
          <s v="2149/02/10 - 2149/02/16"/>
          <s v="2149/02/17 - 2149/02/23"/>
          <s v="2149/02/24 - 2149/03/02"/>
          <s v="2149/03/03 - 2149/03/09"/>
          <s v="2149/03/10 - 2149/03/16"/>
          <s v="2149/03/17 - 2149/03/23"/>
          <s v="2149/03/24 - 2149/03/30"/>
          <s v="2149/03/31 - 2149/04/06"/>
          <s v="2149/04/07 - 2149/04/13"/>
          <s v="2149/04/14 - 2149/04/20"/>
          <s v="2149/04/21 - 2149/04/27"/>
          <s v="2149/04/28 - 2149/05/04"/>
          <s v="2149/05/05 - 2149/05/11"/>
          <s v="2149/05/12 - 2149/05/18"/>
          <s v="2149/05/19 - 2149/05/25"/>
          <s v="2149/05/26 - 2149/06/01"/>
          <s v="2149/06/02 - 2149/06/08"/>
          <s v="2149/06/09 - 2149/06/15"/>
          <s v="2149/06/16 - 2149/06/22"/>
          <s v="2149/06/23 - 2149/06/29"/>
          <s v="2149/06/30 - 2149/07/06"/>
          <s v="2149/07/07 - 2149/07/13"/>
          <s v="2149/07/14 - 2149/07/20"/>
          <s v="2149/07/21 - 2149/07/27"/>
          <s v="2149/07/28 - 2149/08/03"/>
          <s v="2149/08/04 - 2149/08/10"/>
          <s v="2149/08/11 - 2149/08/17"/>
          <s v="2149/08/18 - 2149/08/24"/>
          <s v="2149/08/25 - 2149/08/31"/>
          <s v="2149/09/01 - 2149/09/07"/>
          <s v="2149/09/08 - 2149/09/14"/>
          <s v="2149/09/15 - 2149/09/21"/>
          <s v="2149/09/22 - 2149/09/28"/>
          <s v="2149/09/29 - 2149/10/05"/>
          <s v="2149/10/06 - 2149/10/12"/>
          <s v="2149/10/13 - 2149/10/19"/>
          <s v="2149/10/20 - 2149/10/26"/>
          <s v="2149/10/27 - 2149/11/02"/>
          <s v="2149/11/03 - 2149/11/09"/>
          <s v="2149/11/10 - 2149/11/16"/>
          <s v="2149/11/17 - 2149/11/23"/>
          <s v="2149/11/24 - 2149/11/30"/>
          <s v="2149/12/01 - 2149/12/07"/>
          <s v="2149/12/08 - 2149/12/14"/>
          <s v="2149/12/15 - 2149/12/21"/>
          <s v="2149/12/22 - 2149/12/28"/>
          <s v="2149/12/29 - 2150/01/04"/>
          <s v="2150/01/05 - 2150/01/11"/>
          <s v="2150/01/12 - 2150/01/18"/>
          <s v="2150/01/19 - 2150/01/25"/>
          <s v="2150/01/26 - 2150/02/01"/>
          <s v="2150/02/02 - 2150/02/08"/>
          <s v="2150/02/09 - 2150/02/15"/>
          <s v="2150/02/16 - 2150/02/22"/>
          <s v="2150/02/23 - 2150/03/01"/>
          <s v="2150/03/02 - 2150/03/08"/>
          <s v="2150/03/09 - 2150/03/15"/>
          <s v="2150/03/16 - 2150/03/22"/>
          <s v="2150/03/23 - 2150/03/29"/>
          <s v="2150/03/30 - 2150/04/05"/>
          <s v="2150/04/06 - 2150/04/12"/>
          <s v="2150/04/13 - 2150/04/19"/>
          <s v="2150/04/20 - 2150/04/26"/>
          <s v="2150/04/27 - 2150/05/03"/>
          <s v="2150/05/04 - 2150/05/10"/>
          <s v="2150/05/11 - 2150/05/17"/>
          <s v="2150/05/18 - 2150/05/24"/>
          <s v="2150/05/25 - 2150/05/31"/>
          <s v="2150/06/01 - 2150/06/07"/>
          <s v="2150/06/08 - 2150/06/14"/>
          <s v="2150/06/15 - 2150/06/21"/>
          <s v="2150/06/22 - 2150/06/28"/>
          <s v="2150/06/29 - 2150/07/05"/>
          <s v="2150/07/06 - 2150/07/12"/>
          <s v="2150/07/13 - 2150/07/19"/>
          <s v="2150/07/20 - 2150/07/26"/>
          <s v="2150/07/27 - 2150/08/02"/>
          <s v="2150/08/03 - 2150/08/09"/>
          <s v="2150/08/10 - 2150/08/16"/>
          <s v="2150/08/17 - 2150/08/23"/>
          <s v="2150/08/24 - 2150/08/30"/>
          <s v="2150/08/31 - 2150/09/06"/>
          <s v="2150/09/07 - 2150/09/13"/>
          <s v="2150/09/14 - 2150/09/20"/>
          <s v="2150/09/21 - 2150/09/27"/>
          <s v="2150/09/28 - 2150/10/04"/>
          <s v="2150/10/05 - 2150/10/11"/>
          <s v="2150/10/12 - 2150/10/18"/>
          <s v="2150/10/19 - 2150/10/25"/>
          <s v="2150/10/26 - 2150/11/01"/>
          <s v="2150/11/02 - 2150/11/08"/>
          <s v="2150/11/09 - 2150/11/15"/>
          <s v="2150/11/16 - 2150/11/22"/>
          <s v="2150/11/23 - 2150/11/29"/>
          <s v="2150/11/30 - 2150/12/06"/>
          <s v="2150/12/07 - 2150/12/13"/>
          <s v="2150/12/14 - 2150/12/20"/>
          <s v="2150/12/21 - 2150/12/27"/>
          <s v="2150/12/28 - 2151/01/03"/>
          <s v="2151/01/04 - 2151/01/10"/>
          <s v="2151/01/11 - 2151/01/17"/>
          <s v="2151/01/18 - 2151/01/24"/>
          <s v="2151/01/25 - 2151/01/31"/>
          <s v="2151/02/01 - 2151/02/07"/>
          <s v="2151/02/08 - 2151/02/14"/>
          <s v="2151/02/15 - 2151/02/21"/>
          <s v="2151/02/22 - 2151/02/28"/>
          <s v="2151/03/01 - 2151/03/07"/>
          <s v="2151/03/08 - 2151/03/14"/>
          <s v="2151/03/15 - 2151/03/21"/>
          <s v="2151/03/22 - 2151/03/28"/>
          <s v="2151/03/29 - 2151/04/04"/>
          <s v="2151/04/05 - 2151/04/11"/>
          <s v="2151/04/12 - 2151/04/18"/>
          <s v="2151/04/19 - 2151/04/25"/>
          <s v="2151/04/26 - 2151/05/02"/>
          <s v="2151/05/03 - 2151/05/09"/>
          <s v="2151/05/10 - 2151/05/16"/>
          <s v="2151/05/17 - 2151/05/23"/>
          <s v="2151/05/24 - 2151/05/30"/>
          <s v="2151/05/31 - 2151/06/06"/>
          <s v="2151/06/07 - 2151/06/13"/>
          <s v="2151/06/14 - 2151/06/20"/>
          <s v="2151/06/21 - 2151/06/27"/>
          <s v="2151/06/28 - 2151/07/04"/>
          <s v="2151/07/05 - 2151/07/11"/>
          <s v="2151/07/12 - 2151/07/18"/>
          <s v="2151/07/19 - 2151/07/25"/>
          <s v="2151/07/26 - 2151/08/01"/>
          <s v="2151/08/02 - 2151/08/08"/>
          <s v="2151/08/09 - 2151/08/15"/>
          <s v="2151/08/16 - 2151/08/22"/>
          <s v="2151/08/23 - 2151/08/29"/>
          <s v="2151/08/30 - 2151/09/05"/>
          <s v="2151/09/06 - 2151/09/12"/>
          <s v="2151/09/13 - 2151/09/19"/>
          <s v="2151/09/20 - 2151/09/26"/>
          <s v="2151/09/27 - 2151/10/03"/>
          <s v="2151/10/04 - 2151/10/10"/>
          <s v="2151/10/11 - 2151/10/17"/>
          <s v="2151/10/18 - 2151/10/24"/>
          <s v="2151/10/25 - 2151/10/31"/>
          <s v="2151/11/01 - 2151/11/07"/>
          <s v="2151/11/08 - 2151/11/14"/>
          <s v="2151/11/15 - 2151/11/21"/>
          <s v="2151/11/22 - 2151/11/28"/>
          <s v="2151/11/29 - 2151/12/05"/>
          <s v="2151/12/06 - 2151/12/12"/>
          <s v="2151/12/13 - 2151/12/19"/>
          <s v="2151/12/20 - 2151/12/26"/>
          <s v="2151/12/27 - 2152/01/02"/>
          <s v="2152/01/03 - 2152/01/09"/>
          <s v="2152/01/10 - 2152/01/16"/>
          <s v="2152/01/17 - 2152/01/23"/>
          <s v="2152/01/24 - 2152/01/30"/>
          <s v="2152/01/31 - 2152/02/06"/>
          <s v="2152/02/07 - 2152/02/13"/>
          <s v="2152/02/14 - 2152/02/20"/>
          <s v="2152/02/21 - 2152/02/27"/>
          <s v="2152/02/28 - 2152/03/05"/>
          <s v="2152/03/06 - 2152/03/12"/>
          <s v="2152/03/13 - 2152/03/19"/>
          <s v="2152/03/20 - 2152/03/26"/>
          <s v="2152/03/27 - 2152/04/02"/>
          <s v="2152/04/03 - 2152/04/09"/>
          <s v="2152/04/10 - 2152/04/16"/>
          <s v="2152/04/17 - 2152/04/23"/>
          <s v="2152/04/24 - 2152/04/30"/>
          <s v="2152/05/01 - 2152/05/07"/>
          <s v="2152/05/08 - 2152/05/14"/>
          <s v="2152/05/15 - 2152/05/21"/>
          <s v="2152/05/22 - 2152/05/28"/>
          <s v="2152/05/29 - 2152/06/04"/>
          <s v="2152/06/05 - 2152/06/11"/>
          <s v="2152/06/12 - 2152/06/18"/>
          <s v="2152/06/19 - 2152/06/25"/>
          <s v="2152/06/26 - 2152/07/02"/>
          <s v="2152/07/03 - 2152/07/09"/>
          <s v="2152/07/10 - 2152/07/16"/>
          <s v="2152/07/17 - 2152/07/23"/>
          <s v="2152/07/24 - 2152/07/30"/>
          <s v="2152/07/31 - 2152/08/06"/>
          <s v="2152/08/07 - 2152/08/13"/>
          <s v="2152/08/14 - 2152/08/20"/>
          <s v="2152/08/21 - 2152/08/27"/>
          <s v="2152/08/28 - 2152/09/03"/>
          <s v="2152/09/04 - 2152/09/10"/>
          <s v="2152/09/11 - 2152/09/17"/>
          <s v="2152/09/18 - 2152/09/24"/>
          <s v="2152/09/25 - 2152/10/01"/>
          <s v="2152/10/02 - 2152/10/08"/>
          <s v="2152/10/09 - 2152/10/15"/>
          <s v="2152/10/16 - 2152/10/22"/>
          <s v="2152/10/23 - 2152/10/29"/>
          <s v="2152/10/30 - 2152/11/05"/>
          <s v="2152/11/06 - 2152/11/12"/>
          <s v="2152/11/13 - 2152/11/19"/>
          <s v="2152/11/20 - 2152/11/26"/>
          <s v="2152/11/27 - 2152/12/03"/>
          <s v="2152/12/04 - 2152/12/10"/>
          <s v="2152/12/11 - 2152/12/17"/>
          <s v="2152/12/18 - 2152/12/24"/>
          <s v="2152/12/25 - 2152/12/31"/>
          <s v="2153/01/01 - 2153/01/07"/>
          <s v="2153/01/08 - 2153/01/14"/>
          <s v="2153/01/15 - 2153/01/21"/>
          <s v="2153/01/22 - 2153/01/28"/>
          <s v="2153/01/29 - 2153/02/04"/>
          <s v="2153/02/05 - 2153/02/11"/>
          <s v="2153/02/12 - 2153/02/18"/>
          <s v="2153/02/19 - 2153/02/25"/>
          <s v="2153/02/26 - 2153/03/04"/>
          <s v="2153/03/05 - 2153/03/11"/>
          <s v="2153/03/12 - 2153/03/18"/>
          <s v="2153/03/19 - 2153/03/25"/>
          <s v="2153/03/26 - 2153/04/01"/>
          <s v="2153/04/02 - 2153/04/08"/>
          <s v="2153/04/09 - 2153/04/15"/>
          <s v="2153/04/16 - 2153/04/22"/>
          <s v="2153/04/23 - 2153/04/29"/>
          <s v="2153/04/30 - 2153/05/06"/>
          <s v="2153/05/07 - 2153/05/13"/>
          <s v="2153/05/14 - 2153/05/20"/>
          <s v="2153/05/21 - 2153/05/27"/>
          <s v="2153/05/28 - 2153/06/03"/>
          <s v="2153/06/04 - 2153/06/10"/>
          <s v="2153/06/11 - 2153/06/17"/>
          <s v="2153/06/18 - 2153/06/24"/>
          <s v="2153/06/25 - 2153/07/01"/>
          <s v="2153/07/02 - 2153/07/08"/>
          <s v="2153/07/09 - 2153/07/15"/>
          <s v="2153/07/16 - 2153/07/22"/>
          <s v="2153/07/23 - 2153/07/29"/>
          <s v="2153/07/30 - 2153/08/05"/>
          <s v="2153/08/06 - 2153/08/12"/>
          <s v="2153/08/13 - 2153/08/19"/>
          <s v="2153/08/20 - 2153/08/26"/>
          <s v="2153/08/27 - 2153/09/02"/>
          <s v="2153/09/03 - 2153/09/09"/>
          <s v="2153/09/10 - 2153/09/16"/>
          <s v="2153/09/17 - 2153/09/23"/>
          <s v="2153/09/24 - 2153/09/30"/>
          <s v="2153/10/01 - 2153/10/07"/>
          <s v="2153/10/08 - 2153/10/14"/>
          <s v="2153/10/15 - 2153/10/21"/>
          <s v="2153/10/22 - 2153/10/28"/>
          <s v="2153/10/29 - 2153/11/04"/>
          <s v="2153/11/05 - 2153/11/11"/>
          <s v="2153/11/12 - 2153/11/18"/>
          <s v="2153/11/19 - 2153/11/25"/>
          <s v="2153/11/26 - 2153/12/02"/>
          <s v="2153/12/03 - 2153/12/09"/>
          <s v="2153/12/10 - 2153/12/16"/>
          <s v="2153/12/17 - 2153/12/23"/>
          <s v="2153/12/24 - 2153/12/30"/>
          <s v="2153/12/31 - 2154/01/06"/>
          <s v="2154/01/07 - 2154/01/13"/>
          <s v="2154/01/14 - 2154/01/20"/>
          <s v="2154/01/21 - 2154/01/27"/>
          <s v="2154/01/28 - 2154/02/03"/>
          <s v="2154/02/04 - 2154/02/10"/>
          <s v="2154/02/11 - 2154/02/17"/>
          <s v="2154/02/18 - 2154/02/24"/>
          <s v="2154/02/25 - 2154/03/03"/>
          <s v="2154/03/04 - 2154/03/10"/>
          <s v="2154/03/11 - 2154/03/17"/>
          <s v="2154/03/18 - 2154/03/24"/>
          <s v="2154/03/25 - 2154/03/31"/>
          <s v="2154/04/01 - 2154/04/07"/>
          <s v="2154/04/08 - 2154/04/14"/>
          <s v="2154/04/15 - 2154/04/21"/>
          <s v="2154/04/22 - 2154/04/28"/>
          <s v="2154/04/29 - 2154/05/05"/>
          <s v="2154/05/06 - 2154/05/12"/>
          <s v="2154/05/13 - 2154/05/19"/>
          <s v="2154/05/20 - 2154/05/26"/>
          <s v="2154/05/27 - 2154/06/02"/>
          <s v="2154/06/03 - 2154/06/09"/>
          <s v="2154/06/10 - 2154/06/16"/>
          <s v="2154/06/17 - 2154/06/23"/>
          <s v="2154/06/24 - 2154/06/30"/>
          <s v="2154/07/01 - 2154/07/07"/>
          <s v="2154/07/08 - 2154/07/14"/>
          <s v="2154/07/15 - 2154/07/21"/>
          <s v="2154/07/22 - 2154/07/28"/>
          <s v="2154/07/29 - 2154/08/04"/>
          <s v="2154/08/05 - 2154/08/11"/>
          <s v="2154/08/12 - 2154/08/18"/>
          <s v="2154/08/19 - 2154/08/25"/>
          <s v="2154/08/26 - 2154/09/01"/>
          <s v="2154/09/02 - 2154/09/08"/>
          <s v="2154/09/09 - 2154/09/15"/>
          <s v="2154/09/16 - 2154/09/22"/>
          <s v="2154/09/23 - 2154/09/29"/>
          <s v="2154/09/30 - 2154/10/06"/>
          <s v="2154/10/07 - 2154/10/13"/>
          <s v="2154/10/14 - 2154/10/20"/>
          <s v="2154/10/21 - 2154/10/27"/>
          <s v="2154/10/28 - 2154/11/03"/>
          <s v="2154/11/04 - 2154/11/10"/>
          <s v="2154/11/11 - 2154/11/17"/>
          <s v="2154/11/18 - 2154/11/24"/>
          <s v="2154/11/25 - 2154/12/01"/>
          <s v="2154/12/02 - 2154/12/08"/>
          <s v="2154/12/09 - 2154/12/15"/>
          <s v="2154/12/16 - 2154/12/22"/>
          <s v="2154/12/23 - 2154/12/29"/>
          <s v="2154/12/30 - 2155/01/05"/>
          <s v="2155/01/06 - 2155/01/12"/>
          <s v="2155/01/13 - 2155/01/19"/>
          <s v="2155/01/20 - 2155/01/26"/>
          <s v="2155/01/27 - 2155/02/02"/>
          <s v="2155/02/03 - 2155/02/09"/>
          <s v="2155/02/10 - 2155/02/16"/>
          <s v="2155/02/17 - 2155/02/23"/>
          <s v="2155/02/24 - 2155/03/02"/>
          <s v="2155/03/03 - 2155/03/09"/>
          <s v="2155/03/10 - 2155/03/16"/>
          <s v="2155/03/17 - 2155/03/23"/>
          <s v="2155/03/24 - 2155/03/30"/>
          <s v="2155/03/31 - 2155/04/06"/>
          <s v="2155/04/07 - 2155/04/13"/>
          <s v="2155/04/14 - 2155/04/20"/>
          <s v="2155/04/21 - 2155/04/27"/>
          <s v="2155/04/28 - 2155/05/04"/>
          <s v="2155/05/05 - 2155/05/11"/>
          <s v="2155/05/12 - 2155/05/18"/>
          <s v="2155/05/19 - 2155/05/25"/>
          <s v="2155/05/26 - 2155/06/01"/>
          <s v="2155/06/02 - 2155/06/08"/>
          <s v="2155/06/09 - 2155/06/15"/>
          <s v="2155/06/16 - 2155/06/22"/>
          <s v="2155/06/23 - 2155/06/29"/>
          <s v="2155/06/30 - 2155/07/06"/>
          <s v="2155/07/07 - 2155/07/13"/>
          <s v="2155/07/14 - 2155/07/20"/>
          <s v="2155/07/21 - 2155/07/27"/>
          <s v="2155/07/28 - 2155/08/03"/>
          <s v="2155/08/04 - 2155/08/10"/>
          <s v="2155/08/11 - 2155/08/17"/>
          <s v="2155/08/18 - 2155/08/24"/>
          <s v="2155/08/25 - 2155/08/31"/>
          <s v="2155/09/01 - 2155/09/07"/>
          <s v="2155/09/08 - 2155/09/14"/>
          <s v="2155/09/15 - 2155/09/21"/>
          <s v="2155/09/22 - 2155/09/28"/>
          <s v="2155/09/29 - 2155/10/05"/>
          <s v="2155/10/06 - 2155/10/12"/>
          <s v="2155/10/13 - 2155/10/19"/>
          <s v="2155/10/20 - 2155/10/26"/>
          <s v="2155/10/27 - 2155/11/02"/>
          <s v="2155/11/03 - 2155/11/09"/>
          <s v="2155/11/10 - 2155/11/16"/>
          <s v="2155/11/17 - 2155/11/23"/>
          <s v="2155/11/24 - 2155/11/30"/>
          <s v="2155/12/01 - 2155/12/07"/>
          <s v="2155/12/08 - 2155/12/14"/>
          <s v="2155/12/15 - 2155/12/21"/>
          <s v="2155/12/22 - 2155/12/28"/>
          <s v="2155/12/29 - 2156/01/04"/>
          <s v="2156/01/05 - 2156/01/11"/>
          <s v="2156/01/12 - 2156/01/18"/>
          <s v="2156/01/19 - 2156/01/25"/>
          <s v="2156/01/26 - 2156/02/01"/>
          <s v="2156/02/02 - 2156/02/08"/>
          <s v="2156/02/09 - 2156/02/15"/>
          <s v="2156/02/16 - 2156/02/22"/>
          <s v="2156/02/23 - 2156/02/29"/>
          <s v="2156/03/01 - 2156/03/07"/>
          <s v="2156/03/08 - 2156/03/14"/>
          <s v="2156/03/15 - 2156/03/21"/>
          <s v="2156/03/22 - 2156/03/28"/>
          <s v="2156/03/29 - 2156/04/04"/>
          <s v="2156/04/05 - 2156/04/11"/>
          <s v="2156/04/12 - 2156/04/18"/>
          <s v="2156/04/19 - 2156/04/25"/>
          <s v="2156/04/26 - 2156/05/02"/>
          <s v="2156/05/03 - 2156/05/09"/>
          <s v="2156/05/10 - 2156/05/16"/>
          <s v="2156/05/17 - 2156/05/23"/>
          <s v="2156/05/24 - 2156/05/30"/>
          <s v="2156/05/31 - 2156/06/06"/>
          <s v="2156/06/07 - 2156/06/13"/>
          <s v="2156/06/14 - 2156/06/20"/>
          <s v="2156/06/21 - 2156/06/27"/>
          <s v="2156/06/28 - 2156/07/04"/>
          <s v="2156/07/05 - 2156/07/11"/>
          <s v="2156/07/12 - 2156/07/18"/>
          <s v="2156/07/19 - 2156/07/25"/>
          <s v="2156/07/26 - 2156/08/01"/>
          <s v="2156/08/02 - 2156/08/08"/>
          <s v="2156/08/09 - 2156/08/15"/>
          <s v="2156/08/16 - 2156/08/22"/>
          <s v="2156/08/23 - 2156/08/29"/>
          <s v="2156/08/30 - 2156/09/05"/>
          <s v="2156/09/06 - 2156/09/12"/>
          <s v="2156/09/13 - 2156/09/19"/>
          <s v="2156/09/20 - 2156/09/26"/>
          <s v="2156/09/27 - 2156/10/03"/>
          <s v="2156/10/04 - 2156/10/10"/>
          <s v="2156/10/11 - 2156/10/17"/>
          <s v="2156/10/18 - 2156/10/24"/>
          <s v="2156/10/25 - 2156/10/31"/>
          <s v="2156/11/01 - 2156/11/07"/>
          <s v="2156/11/08 - 2156/11/14"/>
          <s v="2156/11/15 - 2156/11/21"/>
          <s v="2156/11/22 - 2156/11/28"/>
          <s v="2156/11/29 - 2156/12/05"/>
          <s v="2156/12/06 - 2156/12/12"/>
          <s v="2156/12/13 - 2156/12/19"/>
          <s v="2156/12/20 - 2156/12/26"/>
          <s v="2156/12/27 - 2157/01/02"/>
          <s v="2157/01/03 - 2157/01/09"/>
          <s v="2157/01/10 - 2157/01/16"/>
          <s v="2157/01/17 - 2157/01/23"/>
          <s v="2157/01/24 - 2157/01/30"/>
          <s v="2157/01/31 - 2157/02/06"/>
          <s v="2157/02/07 - 2157/02/13"/>
          <s v="2157/02/14 - 2157/02/20"/>
          <s v="2157/02/21 - 2157/02/27"/>
          <s v="2157/02/28 - 2157/03/06"/>
          <s v="2157/03/07 - 2157/03/13"/>
          <s v="2157/03/14 - 2157/03/20"/>
          <s v="2157/03/21 - 2157/03/27"/>
          <s v="2157/03/28 - 2157/04/03"/>
          <s v="2157/04/04 - 2157/04/10"/>
          <s v="2157/04/11 - 2157/04/17"/>
          <s v="2157/04/18 - 2157/04/24"/>
          <s v="2157/04/25 - 2157/05/01"/>
          <s v="2157/05/02 - 2157/05/08"/>
          <s v="2157/05/09 - 2157/05/15"/>
          <s v="2157/05/16 - 2157/05/22"/>
          <s v="2157/05/23 - 2157/05/29"/>
          <s v="2157/05/30 - 2157/06/05"/>
          <s v="2157/06/06 - 2157/06/12"/>
          <s v="2157/06/13 - 2157/06/19"/>
          <s v="2157/06/20 - 2157/06/26"/>
          <s v="2157/06/27 - 2157/07/03"/>
          <s v="2157/07/04 - 2157/07/10"/>
          <s v="2157/07/11 - 2157/07/17"/>
          <s v="2157/07/18 - 2157/07/24"/>
          <s v="2157/07/25 - 2157/07/31"/>
          <s v="2157/08/01 - 2157/08/07"/>
          <s v="2157/08/08 - 2157/08/14"/>
          <s v="2157/08/15 - 2157/08/21"/>
          <s v="2157/08/22 - 2157/08/28"/>
          <s v="2157/08/29 - 2157/09/04"/>
          <s v="2157/09/05 - 2157/09/11"/>
          <s v="2157/09/12 - 2157/09/18"/>
          <s v="2157/09/19 - 2157/09/25"/>
          <s v="2157/09/26 - 2157/10/02"/>
          <s v="2157/10/03 - 2157/10/09"/>
          <s v="2157/10/10 - 2157/10/16"/>
          <s v="2157/10/17 - 2157/10/23"/>
          <s v="2157/10/24 - 2157/10/30"/>
          <s v="2157/10/31 - 2157/11/06"/>
          <s v="2157/11/07 - 2157/11/13"/>
          <s v="2157/11/14 - 2157/11/20"/>
          <s v="2157/11/21 - 2157/11/27"/>
          <s v="2157/11/28 - 2157/12/04"/>
          <s v="2157/12/05 - 2157/12/11"/>
          <s v="2157/12/12 - 2157/12/18"/>
          <s v="2157/12/19 - 2157/12/25"/>
          <s v="2157/12/26 - 2158/01/01"/>
          <s v="2158/01/02 - 2158/01/08"/>
          <s v="2158/01/09 - 2158/01/15"/>
          <s v="2158/01/16 - 2158/01/22"/>
          <s v="2158/01/23 - 2158/01/29"/>
          <s v="2158/01/30 - 2158/02/05"/>
          <s v="2158/02/06 - 2158/02/12"/>
          <s v="2158/02/13 - 2158/02/19"/>
          <s v="2158/02/20 - 2158/02/26"/>
          <s v="2158/02/27 - 2158/03/05"/>
          <s v="2158/03/06 - 2158/03/12"/>
          <s v="2158/03/13 - 2158/03/19"/>
          <s v="2158/03/20 - 2158/03/26"/>
          <s v="2158/03/27 - 2158/04/02"/>
          <s v="2158/04/03 - 2158/04/09"/>
          <s v="2158/04/10 - 2158/04/16"/>
          <s v="2158/04/17 - 2158/04/23"/>
          <s v="2158/04/24 - 2158/04/30"/>
          <s v="2158/05/01 - 2158/05/07"/>
          <s v="2158/05/08 - 2158/05/14"/>
          <s v="2158/05/15 - 2158/05/21"/>
          <s v="2158/05/22 - 2158/05/28"/>
          <s v="2158/05/29 - 2158/06/04"/>
          <s v="2158/06/05 - 2158/06/11"/>
          <s v="2158/06/12 - 2158/06/18"/>
          <s v="2158/06/19 - 2158/06/25"/>
          <s v="2158/06/26 - 2158/07/02"/>
          <s v="2158/07/03 - 2158/07/09"/>
          <s v="2158/07/10 - 2158/07/16"/>
          <s v="2158/07/17 - 2158/07/23"/>
          <s v="2158/07/24 - 2158/07/30"/>
          <s v="2158/07/31 - 2158/08/06"/>
          <s v="2158/08/07 - 2158/08/13"/>
          <s v="2158/08/14 - 2158/08/20"/>
          <s v="2158/08/21 - 2158/08/27"/>
          <s v="2158/08/28 - 2158/09/03"/>
          <s v="2158/09/04 - 2158/09/10"/>
          <s v="2158/09/11 - 2158/09/17"/>
          <s v="2158/09/18 - 2158/09/24"/>
          <s v="2158/09/25 - 2158/10/01"/>
          <s v="2158/10/02 - 2158/10/08"/>
          <s v="2158/10/09 - 2158/10/15"/>
          <s v="2158/10/16 - 2158/10/22"/>
          <s v="2158/10/23 - 2158/10/29"/>
          <s v="2158/10/30 - 2158/11/05"/>
          <s v="2158/11/06 - 2158/11/12"/>
          <s v="2158/11/13 - 2158/11/19"/>
          <s v="2158/11/20 - 2158/11/26"/>
          <s v="2158/11/27 - 2158/12/03"/>
          <s v="2158/12/04 - 2158/12/10"/>
          <s v="2158/12/11 - 2158/12/17"/>
          <s v="2158/12/18 - 2158/12/24"/>
          <s v="2158/12/25 - 2158/12/31"/>
          <s v="2159/01/01 - 2159/01/07"/>
          <s v="2159/01/08 - 2159/01/14"/>
          <s v="2159/01/15 - 2159/01/21"/>
          <s v="2159/01/22 - 2159/01/28"/>
          <s v="2159/01/29 - 2159/02/04"/>
          <s v="2159/02/05 - 2159/02/11"/>
          <s v="2159/02/12 - 2159/02/18"/>
          <s v="2159/02/19 - 2159/02/25"/>
          <s v="2159/02/26 - 2159/03/04"/>
          <s v="2159/03/05 - 2159/03/11"/>
          <s v="2159/03/12 - 2159/03/18"/>
          <s v="2159/03/19 - 2159/03/25"/>
          <s v="2159/03/26 - 2159/04/01"/>
          <s v="2159/04/02 - 2159/04/08"/>
          <s v="2159/04/09 - 2159/04/15"/>
          <s v="2159/04/16 - 2159/04/22"/>
          <s v="2159/04/23 - 2159/04/29"/>
          <s v="2159/04/30 - 2159/05/06"/>
          <s v="2159/05/07 - 2159/05/13"/>
          <s v="2159/05/14 - 2159/05/20"/>
          <s v="2159/05/21 - 2159/05/27"/>
          <s v="2159/05/28 - 2159/06/03"/>
          <s v="2159/06/04 - 2159/06/10"/>
          <s v="2159/06/11 - 2159/06/17"/>
          <s v="2159/06/18 - 2159/06/24"/>
          <s v="2159/06/25 - 2159/07/01"/>
          <s v="2159/07/02 - 2159/07/08"/>
          <s v="2159/07/09 - 2159/07/15"/>
          <s v="2159/07/16 - 2159/07/22"/>
          <s v="2159/07/23 - 2159/07/29"/>
          <s v="2159/07/30 - 2159/08/05"/>
          <s v="2159/08/06 - 2159/08/12"/>
          <s v="2159/08/13 - 2159/08/19"/>
          <s v="2159/08/20 - 2159/08/26"/>
          <s v="2159/08/27 - 2159/09/02"/>
          <s v="2159/09/03 - 2159/09/09"/>
          <s v="2159/09/10 - 2159/09/16"/>
          <s v="2159/09/17 - 2159/09/23"/>
          <s v="2159/09/24 - 2159/09/30"/>
          <s v="2159/10/01 - 2159/10/07"/>
          <s v="2159/10/08 - 2159/10/14"/>
          <s v="2159/10/15 - 2159/10/21"/>
          <s v="2159/10/22 - 2159/10/28"/>
          <s v="2159/10/29 - 2159/11/04"/>
          <s v="2159/11/05 - 2159/11/11"/>
          <s v="2159/11/12 - 2159/11/18"/>
          <s v="2159/11/19 - 2159/11/25"/>
          <s v="2159/11/26 - 2159/12/02"/>
          <s v="2159/12/03 - 2159/12/09"/>
          <s v="2159/12/10 - 2159/12/16"/>
          <s v="2159/12/17 - 2159/12/23"/>
          <s v="2159/12/24 - 2159/12/30"/>
          <s v="2159/12/31 - 2160/01/06"/>
          <s v="2160/01/07 - 2160/01/13"/>
          <s v="2160/01/14 - 2160/01/20"/>
          <s v="2160/01/21 - 2160/01/27"/>
          <s v="2160/01/28 - 2160/02/03"/>
          <s v="2160/02/04 - 2160/02/10"/>
          <s v="2160/02/11 - 2160/02/17"/>
          <s v="2160/02/18 - 2160/02/24"/>
          <s v="2160/02/25 - 2160/03/02"/>
          <s v="2160/03/03 - 2160/03/09"/>
          <s v="2160/03/10 - 2160/03/16"/>
          <s v="2160/03/17 - 2160/03/23"/>
          <s v="2160/03/24 - 2160/03/30"/>
          <s v="2160/03/31 - 2160/04/06"/>
          <s v="2160/04/07 - 2160/04/13"/>
          <s v="2160/04/14 - 2160/04/20"/>
          <s v="2160/04/21 - 2160/04/27"/>
          <s v="2160/04/28 - 2160/05/04"/>
          <s v="2160/05/05 - 2160/05/11"/>
          <s v="2160/05/12 - 2160/05/18"/>
          <s v="2160/05/19 - 2160/05/25"/>
          <s v="2160/05/26 - 2160/06/01"/>
          <s v="2160/06/02 - 2160/06/08"/>
          <s v="2160/06/09 - 2160/06/15"/>
          <s v="2160/06/16 - 2160/06/22"/>
          <s v="2160/06/23 - 2160/06/29"/>
          <s v="2160/06/30 - 2160/07/06"/>
          <s v="2160/07/07 - 2160/07/13"/>
          <s v="2160/07/14 - 2160/07/20"/>
          <s v="2160/07/21 - 2160/07/27"/>
          <s v="2160/07/28 - 2160/08/03"/>
          <s v="2160/08/04 - 2160/08/10"/>
          <s v="2160/08/11 - 2160/08/17"/>
          <s v="2160/08/18 - 2160/08/24"/>
          <s v="2160/08/25 - 2160/08/31"/>
          <s v="2160/09/01 - 2160/09/07"/>
          <s v="2160/09/08 - 2160/09/14"/>
          <s v="2160/09/15 - 2160/09/21"/>
          <s v="2160/09/22 - 2160/09/28"/>
          <s v="2160/09/29 - 2160/10/05"/>
          <s v="2160/10/06 - 2160/10/12"/>
          <s v="2160/10/13 - 2160/10/19"/>
          <s v="2160/10/20 - 2160/10/26"/>
          <s v="2160/10/27 - 2160/11/02"/>
          <s v="2160/11/03 - 2160/11/09"/>
          <s v="2160/11/10 - 2160/11/16"/>
          <s v="2160/11/17 - 2160/11/23"/>
          <s v="2160/11/24 - 2160/11/30"/>
          <s v="2160/12/01 - 2160/12/07"/>
          <s v="2160/12/08 - 2160/12/14"/>
          <s v="2160/12/15 - 2160/12/21"/>
          <s v="2160/12/22 - 2160/12/28"/>
          <s v="2160/12/29 - 2161/01/04"/>
          <s v="2161/01/05 - 2161/01/11"/>
          <s v="2161/01/12 - 2161/01/18"/>
          <s v="2161/01/19 - 2161/01/25"/>
          <s v="2161/01/26 - 2161/02/01"/>
          <s v="2161/02/02 - 2161/02/08"/>
          <s v="2161/02/09 - 2161/02/15"/>
          <s v="2161/02/16 - 2161/02/22"/>
          <s v="2161/02/23 - 2161/03/01"/>
          <s v="2161/03/02 - 2161/03/08"/>
          <s v="2161/03/09 - 2161/03/15"/>
          <s v="2161/03/16 - 2161/03/22"/>
          <s v="2161/03/23 - 2161/03/29"/>
          <s v="2161/03/30 - 2161/04/05"/>
          <s v="2161/04/06 - 2161/04/12"/>
          <s v="2161/04/13 - 2161/04/19"/>
          <s v="2161/04/20 - 2161/04/26"/>
          <s v="2161/04/27 - 2161/05/03"/>
          <s v="2161/05/04 - 2161/05/10"/>
          <s v="2161/05/11 - 2161/05/17"/>
          <s v="2161/05/18 - 2161/05/24"/>
          <s v="2161/05/25 - 2161/05/31"/>
          <s v="2161/06/01 - 2161/06/07"/>
          <s v="2161/06/08 - 2161/06/14"/>
          <s v="2161/06/15 - 2161/06/21"/>
          <s v="2161/06/22 - 2161/06/28"/>
          <s v="2161/06/29 - 2161/07/05"/>
          <s v="2161/07/06 - 2161/07/12"/>
          <s v="2161/07/13 - 2161/07/19"/>
          <s v="2161/07/20 - 2161/07/26"/>
          <s v="2161/07/27 - 2161/08/02"/>
          <s v="2161/08/03 - 2161/08/09"/>
          <s v="2161/08/10 - 2161/08/16"/>
          <s v="2161/08/17 - 2161/08/23"/>
          <s v="2161/08/24 - 2161/08/30"/>
          <s v="2161/08/31 - 2161/09/06"/>
          <s v="2161/09/07 - 2161/09/13"/>
          <s v="2161/09/14 - 2161/09/20"/>
          <s v="2161/09/21 - 2161/09/27"/>
          <s v="2161/09/28 - 2161/10/04"/>
          <s v="2161/10/05 - 2161/10/11"/>
          <s v="2161/10/12 - 2161/10/18"/>
          <s v="2161/10/19 - 2161/10/25"/>
          <s v="2161/10/26 - 2161/11/01"/>
          <s v="2161/11/02 - 2161/11/08"/>
          <s v="2161/11/09 - 2161/11/15"/>
          <s v="2161/11/16 - 2161/11/22"/>
          <s v="2161/11/23 - 2161/11/29"/>
          <s v="2161/11/30 - 2161/12/06"/>
          <s v="2161/12/07 - 2161/12/13"/>
          <s v="2161/12/14 - 2161/12/20"/>
          <s v="2161/12/21 - 2161/12/27"/>
          <s v="2161/12/28 - 2162/01/03"/>
          <s v="2162/01/04 - 2162/01/10"/>
          <s v="2162/01/11 - 2162/01/17"/>
          <s v="2162/01/18 - 2162/01/24"/>
          <s v="2162/01/25 - 2162/01/31"/>
          <s v="2162/02/01 - 2162/02/07"/>
          <s v="2162/02/08 - 2162/02/14"/>
          <s v="2162/02/15 - 2162/02/21"/>
          <s v="2162/02/22 - 2162/02/28"/>
          <s v="2162/03/01 - 2162/03/07"/>
          <s v="2162/03/08 - 2162/03/14"/>
          <s v="2162/03/15 - 2162/03/21"/>
          <s v="2162/03/22 - 2162/03/28"/>
          <s v="2162/03/29 - 2162/04/04"/>
          <s v="2162/04/05 - 2162/04/11"/>
          <s v="2162/04/12 - 2162/04/18"/>
          <s v="2162/04/19 - 2162/04/25"/>
          <s v="2162/04/26 - 2162/05/02"/>
          <s v="2162/05/03 - 2162/05/09"/>
          <s v="2162/05/10 - 2162/05/16"/>
          <s v="2162/05/17 - 2162/05/23"/>
          <s v="2162/05/24 - 2162/05/30"/>
          <s v="2162/05/31 - 2162/06/06"/>
          <s v="2162/06/07 - 2162/06/13"/>
          <s v="2162/06/14 - 2162/06/20"/>
          <s v="2162/06/21 - 2162/06/27"/>
          <s v="2162/06/28 - 2162/07/04"/>
          <s v="2162/07/05 - 2162/07/11"/>
          <s v="2162/07/12 - 2162/07/18"/>
          <s v="2162/07/19 - 2162/07/25"/>
          <s v="2162/07/26 - 2162/08/01"/>
          <s v="2162/08/02 - 2162/08/08"/>
          <s v="2162/08/09 - 2162/08/15"/>
          <s v="2162/08/16 - 2162/08/22"/>
          <s v="2162/08/23 - 2162/08/29"/>
          <s v="2162/08/30 - 2162/09/05"/>
          <s v="2162/09/06 - 2162/09/12"/>
          <s v="2162/09/13 - 2162/09/19"/>
          <s v="2162/09/20 - 2162/09/26"/>
          <s v="2162/09/27 - 2162/10/03"/>
          <s v="2162/10/04 - 2162/10/10"/>
          <s v="2162/10/11 - 2162/10/17"/>
          <s v="2162/10/18 - 2162/10/24"/>
          <s v="2162/10/25 - 2162/10/31"/>
          <s v="2162/11/01 - 2162/11/07"/>
          <s v="2162/11/08 - 2162/11/14"/>
          <s v="2162/11/15 - 2162/11/21"/>
          <s v="2162/11/22 - 2162/11/28"/>
          <s v="2162/11/29 - 2162/12/05"/>
          <s v="2162/12/06 - 2162/12/12"/>
          <s v="2162/12/13 - 2162/12/19"/>
          <s v="2162/12/20 - 2162/12/26"/>
          <s v="2162/12/27 - 2163/01/02"/>
          <s v="2163/01/03 - 2163/01/09"/>
          <s v="2163/01/10 - 2163/01/16"/>
          <s v="2163/01/17 - 2163/01/23"/>
          <s v="2163/01/24 - 2163/01/30"/>
          <s v="2163/01/31 - 2163/02/06"/>
          <s v="2163/02/07 - 2163/02/13"/>
          <s v="2163/02/14 - 2163/02/20"/>
          <s v="2163/02/21 - 2163/02/27"/>
          <s v="2163/02/28 - 2163/03/06"/>
          <s v="2163/03/07 - 2163/03/13"/>
          <s v="2163/03/14 - 2163/03/20"/>
          <s v="2163/03/21 - 2163/03/27"/>
          <s v="2163/03/28 - 2163/04/03"/>
          <s v="2163/04/04 - 2163/04/10"/>
          <s v="2163/04/11 - 2163/04/17"/>
          <s v="2163/04/18 - 2163/04/24"/>
          <s v="2163/04/25 - 2163/05/01"/>
          <s v="2163/05/02 - 2163/05/08"/>
          <s v="2163/05/09 - 2163/05/15"/>
          <s v="2163/05/16 - 2163/05/22"/>
          <s v="2163/05/23 - 2163/05/29"/>
          <s v="2163/05/30 - 2163/06/05"/>
          <s v="2163/06/06 - 2163/06/12"/>
          <s v="2163/06/13 - 2163/06/19"/>
          <s v="2163/06/20 - 2163/06/26"/>
          <s v="2163/06/27 - 2163/07/03"/>
          <s v="2163/07/04 - 2163/07/10"/>
          <s v="2163/07/11 - 2163/07/17"/>
          <s v="2163/07/18 - 2163/07/24"/>
          <s v="2163/07/25 - 2163/07/31"/>
          <s v="2163/08/01 - 2163/08/07"/>
          <s v="2163/08/08 - 2163/08/14"/>
          <s v="2163/08/15 - 2163/08/21"/>
          <s v="2163/08/22 - 2163/08/28"/>
          <s v="2163/08/29 - 2163/09/04"/>
          <s v="2163/09/05 - 2163/09/11"/>
          <s v="2163/09/12 - 2163/09/18"/>
          <s v="2163/09/19 - 2163/09/25"/>
          <s v="2163/09/26 - 2163/10/02"/>
          <s v="2163/10/03 - 2163/10/09"/>
          <s v="2163/10/10 - 2163/10/16"/>
          <s v="2163/10/17 - 2163/10/23"/>
          <s v="2163/10/24 - 2163/10/30"/>
          <s v="2163/10/31 - 2163/11/06"/>
          <s v="2163/11/07 - 2163/11/13"/>
          <s v="2163/11/14 - 2163/11/20"/>
          <s v="2163/11/21 - 2163/11/27"/>
          <s v="2163/11/28 - 2163/12/04"/>
          <s v="2163/12/05 - 2163/12/11"/>
          <s v="2163/12/12 - 2163/12/18"/>
          <s v="2163/12/19 - 2163/12/25"/>
          <s v="2163/12/26 - 2164/01/01"/>
          <s v="2164/01/02 - 2164/01/08"/>
          <s v="2164/01/09 - 2164/01/15"/>
          <s v="2164/01/16 - 2164/01/22"/>
          <s v="2164/01/23 - 2164/01/29"/>
          <s v="2164/01/30 - 2164/02/05"/>
          <s v="2164/02/06 - 2164/02/12"/>
          <s v="2164/02/13 - 2164/02/19"/>
          <s v="2164/02/20 - 2164/02/26"/>
          <s v="2164/02/27 - 2164/03/04"/>
          <s v="2164/03/05 - 2164/03/11"/>
          <s v="2164/03/12 - 2164/03/18"/>
          <s v="2164/03/19 - 2164/03/25"/>
          <s v="2164/03/26 - 2164/04/01"/>
          <s v="2164/04/02 - 2164/04/08"/>
          <s v="2164/04/09 - 2164/04/15"/>
          <s v="2164/04/16 - 2164/04/22"/>
          <s v="2164/04/23 - 2164/04/29"/>
          <s v="2164/04/30 - 2164/05/06"/>
          <s v="2164/05/07 - 2164/05/13"/>
          <s v="2164/05/14 - 2164/05/20"/>
          <s v="2164/05/21 - 2164/05/27"/>
          <s v="2164/05/28 - 2164/06/03"/>
          <s v="2164/06/04 - 2164/06/10"/>
          <s v="2164/06/11 - 2164/06/17"/>
          <s v="2164/06/18 - 2164/06/24"/>
          <s v="2164/06/25 - 2164/07/01"/>
          <s v="2164/07/02 - 2164/07/08"/>
          <s v="2164/07/09 - 2164/07/15"/>
          <s v="2164/07/16 - 2164/07/22"/>
          <s v="2164/07/23 - 2164/07/29"/>
          <s v="2164/07/30 - 2164/08/05"/>
          <s v="2164/08/06 - 2164/08/12"/>
          <s v="2164/08/13 - 2164/08/19"/>
          <s v="2164/08/20 - 2164/08/26"/>
          <s v="2164/08/27 - 2164/09/02"/>
          <s v="2164/09/03 - 2164/09/09"/>
          <s v="2164/09/10 - 2164/09/16"/>
          <s v="2164/09/17 - 2164/09/23"/>
          <s v="2164/09/24 - 2164/09/30"/>
          <s v="2164/10/01 - 2164/10/07"/>
          <s v="2164/10/08 - 2164/10/14"/>
          <s v="2164/10/15 - 2164/10/21"/>
          <s v="2164/10/22 - 2164/10/28"/>
          <s v="2164/10/29 - 2164/11/04"/>
          <s v="2164/11/05 - 2164/11/11"/>
          <s v="2164/11/12 - 2164/11/18"/>
          <s v="2164/11/19 - 2164/11/25"/>
          <s v="2164/11/26 - 2164/12/02"/>
          <s v="2164/12/03 - 2164/12/09"/>
          <s v="2164/12/10 - 2164/12/16"/>
          <s v="2164/12/17 - 2164/12/23"/>
          <s v="2164/12/24 - 2164/12/30"/>
          <s v="2164/12/31 - 2165/01/06"/>
          <s v="2165/01/07 - 2165/01/13"/>
          <s v="2165/01/14 - 2165/01/20"/>
          <s v="2165/01/21 - 2165/01/27"/>
          <s v="2165/01/28 - 2165/02/03"/>
          <s v="2165/02/04 - 2165/02/10"/>
          <s v="2165/02/11 - 2165/02/17"/>
          <s v="2165/02/18 - 2165/02/24"/>
          <s v="2165/02/25 - 2165/03/03"/>
          <s v="2165/03/04 - 2165/03/10"/>
          <s v="2165/03/11 - 2165/03/17"/>
          <s v="2165/03/18 - 2165/03/24"/>
          <s v="2165/03/25 - 2165/03/31"/>
          <s v="2165/04/01 - 2165/04/07"/>
          <s v="2165/04/08 - 2165/04/14"/>
          <s v="2165/04/15 - 2165/04/21"/>
          <s v="2165/04/22 - 2165/04/28"/>
          <s v="2165/04/29 - 2165/05/05"/>
          <s v="2165/05/06 - 2165/05/12"/>
          <s v="2165/05/13 - 2165/05/19"/>
          <s v="2165/05/20 - 2165/05/26"/>
          <s v="2165/05/27 - 2165/06/02"/>
          <s v="2165/06/03 - 2165/06/09"/>
          <s v="2165/06/10 - 2165/06/16"/>
          <s v="2165/06/17 - 2165/06/23"/>
          <s v="2165/06/24 - 2165/06/30"/>
          <s v="2165/07/01 - 2165/07/07"/>
          <s v="2165/07/08 - 2165/07/14"/>
          <s v="2165/07/15 - 2165/07/21"/>
          <s v="2165/07/22 - 2165/07/28"/>
          <s v="2165/07/29 - 2165/08/04"/>
          <s v="2165/08/05 - 2165/08/11"/>
          <s v="2165/08/12 - 2165/08/18"/>
          <s v="2165/08/19 - 2165/08/25"/>
          <s v="2165/08/26 - 2165/09/01"/>
          <s v="2165/09/02 - 2165/09/08"/>
          <s v="2165/09/09 - 2165/09/15"/>
          <s v="2165/09/16 - 2165/09/22"/>
          <s v="2165/09/23 - 2165/09/29"/>
          <s v="2165/09/30 - 2165/10/06"/>
          <s v="2165/10/07 - 2165/10/13"/>
          <s v="2165/10/14 - 2165/10/20"/>
          <s v="2165/10/21 - 2165/10/27"/>
          <s v="2165/10/28 - 2165/11/03"/>
          <s v="2165/11/04 - 2165/11/10"/>
          <s v="2165/11/11 - 2165/11/17"/>
          <s v="2165/11/18 - 2165/11/24"/>
          <s v="2165/11/25 - 2165/12/01"/>
          <s v="2165/12/02 - 2165/12/08"/>
          <s v="2165/12/09 - 2165/12/15"/>
          <s v="2165/12/16 - 2165/12/22"/>
          <s v="2165/12/23 - 2165/12/29"/>
          <s v="2165/12/30 - 2166/01/05"/>
          <s v="2166/01/06 - 2166/01/12"/>
          <s v="2166/01/13 - 2166/01/19"/>
          <s v="2166/01/20 - 2166/01/26"/>
          <s v="2166/01/27 - 2166/02/02"/>
          <s v="2166/02/03 - 2166/02/09"/>
          <s v="2166/02/10 - 2166/02/16"/>
          <s v="2166/02/17 - 2166/02/23"/>
          <s v="2166/02/24 - 2166/03/02"/>
          <s v="2166/03/03 - 2166/03/09"/>
          <s v="2166/03/10 - 2166/03/16"/>
          <s v="2166/03/17 - 2166/03/23"/>
          <s v="2166/03/24 - 2166/03/30"/>
          <s v="2166/03/31 - 2166/04/06"/>
          <s v="2166/04/07 - 2166/04/13"/>
          <s v="2166/04/14 - 2166/04/20"/>
          <s v="2166/04/21 - 2166/04/27"/>
          <s v="2166/04/28 - 2166/05/04"/>
          <s v="2166/05/05 - 2166/05/11"/>
          <s v="2166/05/12 - 2166/05/18"/>
          <s v="2166/05/19 - 2166/05/25"/>
          <s v="2166/05/26 - 2166/06/01"/>
          <s v="2166/06/02 - 2166/06/08"/>
          <s v="2166/06/09 - 2166/06/15"/>
          <s v="2166/06/16 - 2166/06/22"/>
          <s v="2166/06/23 - 2166/06/29"/>
          <s v="2166/06/30 - 2166/07/06"/>
          <s v="2166/07/07 - 2166/07/13"/>
          <s v="2166/07/14 - 2166/07/20"/>
          <s v="2166/07/21 - 2166/07/27"/>
          <s v="2166/07/28 - 2166/08/03"/>
          <s v="2166/08/04 - 2166/08/10"/>
          <s v="2166/08/11 - 2166/08/17"/>
          <s v="2166/08/18 - 2166/08/24"/>
          <s v="2166/08/25 - 2166/08/31"/>
          <s v="2166/09/01 - 2166/09/07"/>
          <s v="2166/09/08 - 2166/09/14"/>
          <s v="2166/09/15 - 2166/09/21"/>
          <s v="2166/09/22 - 2166/09/28"/>
          <s v="2166/09/29 - 2166/10/05"/>
          <s v="2166/10/06 - 2166/10/12"/>
          <s v="2166/10/13 - 2166/10/19"/>
          <s v="2166/10/20 - 2166/10/26"/>
          <s v="2166/10/27 - 2166/11/02"/>
          <s v="2166/11/03 - 2166/11/09"/>
          <s v="2166/11/10 - 2166/11/16"/>
          <s v="2166/11/17 - 2166/11/23"/>
          <s v="2166/11/24 - 2166/11/30"/>
          <s v="2166/12/01 - 2166/12/07"/>
          <s v="2166/12/08 - 2166/12/14"/>
          <s v="2166/12/15 - 2166/12/21"/>
          <s v="2166/12/22 - 2166/12/28"/>
          <s v="2166/12/29 - 2167/01/04"/>
          <s v="2167/01/05 - 2167/01/11"/>
          <s v="2167/01/12 - 2167/01/18"/>
          <s v="2167/01/19 - 2167/01/25"/>
          <s v="2167/01/26 - 2167/02/01"/>
          <s v="2167/02/02 - 2167/02/08"/>
          <s v="2167/02/09 - 2167/02/15"/>
          <s v="2167/02/16 - 2167/02/22"/>
          <s v="2167/02/23 - 2167/03/01"/>
          <s v="2167/03/02 - 2167/03/08"/>
          <s v="2167/03/09 - 2167/03/15"/>
          <s v="2167/03/16 - 2167/03/22"/>
          <s v="2167/03/23 - 2167/03/29"/>
          <s v="2167/03/30 - 2167/04/05"/>
          <s v="2167/04/06 - 2167/04/12"/>
          <s v="2167/04/13 - 2167/04/19"/>
          <s v="2167/04/20 - 2167/04/26"/>
          <s v="2167/04/27 - 2167/05/03"/>
          <s v="2167/05/04 - 2167/05/10"/>
          <s v="2167/05/11 - 2167/05/17"/>
          <s v="2167/05/18 - 2167/05/24"/>
          <s v="2167/05/25 - 2167/05/31"/>
          <s v="2167/06/01 - 2167/06/07"/>
          <s v="2167/06/08 - 2167/06/14"/>
          <s v="2167/06/15 - 2167/06/21"/>
          <s v="2167/06/22 - 2167/06/28"/>
          <s v="2167/06/29 - 2167/07/05"/>
          <s v="2167/07/06 - 2167/07/12"/>
          <s v="2167/07/13 - 2167/07/19"/>
          <s v="2167/07/20 - 2167/07/26"/>
          <s v="2167/07/27 - 2167/08/02"/>
          <s v="2167/08/03 - 2167/08/09"/>
          <s v="2167/08/10 - 2167/08/16"/>
          <s v="2167/08/17 - 2167/08/23"/>
          <s v="2167/08/24 - 2167/08/30"/>
          <s v="2167/08/31 - 2167/09/06"/>
          <s v="2167/09/07 - 2167/09/13"/>
          <s v="2167/09/14 - 2167/09/20"/>
          <s v="2167/09/21 - 2167/09/27"/>
          <s v="2167/09/28 - 2167/10/04"/>
          <s v="2167/10/05 - 2167/10/11"/>
          <s v="2167/10/12 - 2167/10/18"/>
          <s v="2167/10/19 - 2167/10/25"/>
          <s v="2167/10/26 - 2167/11/01"/>
          <s v="2167/11/02 - 2167/11/08"/>
          <s v="2167/11/09 - 2167/11/15"/>
          <s v="2167/11/16 - 2167/11/22"/>
          <s v="2167/11/23 - 2167/11/29"/>
          <s v="2167/11/30 - 2167/12/06"/>
          <s v="2167/12/07 - 2167/12/13"/>
          <s v="2167/12/14 - 2167/12/20"/>
          <s v="2167/12/21 - 2167/12/27"/>
          <s v="2167/12/28 - 2168/01/03"/>
          <s v="2168/01/04 - 2168/01/10"/>
          <s v="2168/01/11 - 2168/01/17"/>
          <s v="2168/01/18 - 2168/01/24"/>
          <s v="2168/01/25 - 2168/01/31"/>
          <s v="2168/02/01 - 2168/02/07"/>
          <s v="2168/02/08 - 2168/02/14"/>
          <s v="2168/02/15 - 2168/02/21"/>
          <s v="2168/02/22 - 2168/02/28"/>
          <s v="2168/02/29 - 2168/03/06"/>
          <s v="2168/03/07 - 2168/03/13"/>
          <s v="2168/03/14 - 2168/03/20"/>
          <s v="2168/03/21 - 2168/03/27"/>
          <s v="2168/03/28 - 2168/04/03"/>
          <s v="2168/04/04 - 2168/04/10"/>
          <s v="2168/04/11 - 2168/04/17"/>
          <s v="2168/04/18 - 2168/04/24"/>
          <s v="2168/04/25 - 2168/05/01"/>
          <s v="2168/05/02 - 2168/05/08"/>
          <s v="2168/05/09 - 2168/05/15"/>
          <s v="2168/05/16 - 2168/05/22"/>
          <s v="2168/05/23 - 2168/05/29"/>
          <s v="2168/05/30 - 2168/06/05"/>
          <s v="2168/06/06 - 2168/06/12"/>
          <s v="2168/06/13 - 2168/06/19"/>
          <s v="2168/06/20 - 2168/06/26"/>
          <s v="2168/06/27 - 2168/07/03"/>
          <s v="2168/07/04 - 2168/07/10"/>
          <s v="2168/07/11 - 2168/07/17"/>
          <s v="2168/07/18 - 2168/07/24"/>
          <s v="2168/07/25 - 2168/07/31"/>
          <s v="2168/08/01 - 2168/08/07"/>
          <s v="2168/08/08 - 2168/08/14"/>
          <s v="2168/08/15 - 2168/08/21"/>
          <s v="2168/08/22 - 2168/08/28"/>
          <s v="2168/08/29 - 2168/09/04"/>
          <s v="2168/09/05 - 2168/09/11"/>
          <s v="2168/09/12 - 2168/09/18"/>
          <s v="2168/09/19 - 2168/09/25"/>
          <s v="2168/09/26 - 2168/10/02"/>
          <s v="2168/10/03 - 2168/10/09"/>
          <s v="2168/10/10 - 2168/10/16"/>
          <s v="2168/10/17 - 2168/10/23"/>
          <s v="2168/10/24 - 2168/10/30"/>
          <s v="2168/10/31 - 2168/11/06"/>
          <s v="2168/11/07 - 2168/11/13"/>
          <s v="2168/11/14 - 2168/11/20"/>
          <s v="2168/11/21 - 2168/11/27"/>
          <s v="2168/11/28 - 2168/12/04"/>
          <s v="2168/12/05 - 2168/12/11"/>
          <s v="2168/12/12 - 2168/12/18"/>
          <s v="2168/12/19 - 2168/12/25"/>
          <s v="2168/12/26 - 2169/01/01"/>
          <s v="2169/01/02 - 2169/01/08"/>
          <s v="2169/01/09 - 2169/01/15"/>
          <s v="2169/01/16 - 2169/01/22"/>
          <s v="2169/01/23 - 2169/01/29"/>
          <s v="2169/01/30 - 2169/02/05"/>
          <s v="2169/02/06 - 2169/02/12"/>
          <s v="2169/02/13 - 2169/02/19"/>
          <s v="2169/02/20 - 2169/02/26"/>
          <s v="2169/02/27 - 2169/03/05"/>
          <s v="2169/03/06 - 2169/03/12"/>
          <s v="2169/03/13 - 2169/03/19"/>
          <s v="2169/03/20 - 2169/03/26"/>
          <s v="2169/03/27 - 2169/04/02"/>
          <s v="2169/04/03 - 2169/04/09"/>
          <s v="2169/04/10 - 2169/04/16"/>
          <s v="2169/04/17 - 2169/04/23"/>
          <s v="2169/04/24 - 2169/04/30"/>
          <s v="2169/05/01 - 2169/05/07"/>
          <s v="2169/05/08 - 2169/05/14"/>
          <s v="2169/05/15 - 2169/05/21"/>
          <s v="2169/05/22 - 2169/05/28"/>
          <s v="2169/05/29 - 2169/06/04"/>
          <s v="2169/06/05 - 2169/06/11"/>
          <s v="2169/06/12 - 2169/06/18"/>
          <s v="2169/06/19 - 2169/06/25"/>
          <s v="2169/06/26 - 2169/07/02"/>
          <s v="2169/07/03 - 2169/07/09"/>
          <s v="2169/07/10 - 2169/07/16"/>
          <s v="2169/07/17 - 2169/07/23"/>
          <s v="2169/07/24 - 2169/07/30"/>
          <s v="2169/07/31 - 2169/08/06"/>
          <s v="2169/08/07 - 2169/08/13"/>
          <s v="2169/08/14 - 2169/08/20"/>
          <s v="2169/08/21 - 2169/08/27"/>
          <s v="2169/08/28 - 2169/09/03"/>
          <s v="2169/09/04 - 2169/09/10"/>
          <s v="2169/09/11 - 2169/09/17"/>
          <s v="2169/09/18 - 2169/09/24"/>
          <s v="2169/09/25 - 2169/10/01"/>
          <s v="2169/10/02 - 2169/10/08"/>
          <s v="2169/10/09 - 2169/10/15"/>
          <s v="2169/10/16 - 2169/10/22"/>
          <s v="2169/10/23 - 2169/10/29"/>
          <s v="2169/10/30 - 2169/11/05"/>
          <s v="2169/11/06 - 2169/11/12"/>
          <s v="2169/11/13 - 2169/11/19"/>
          <s v="2169/11/20 - 2169/11/26"/>
          <s v="2169/11/27 - 2169/12/03"/>
          <s v="2169/12/04 - 2169/12/10"/>
          <s v="2169/12/11 - 2169/12/17"/>
          <s v="2169/12/18 - 2169/12/24"/>
          <s v="2169/12/25 - 2169/12/31"/>
          <s v="2170/01/01 - 2170/01/07"/>
          <s v="2170/01/08 - 2170/01/14"/>
          <s v="2170/01/15 - 2170/01/21"/>
          <s v="2170/01/22 - 2170/01/28"/>
          <s v="2170/01/29 - 2170/02/04"/>
          <s v="2170/02/05 - 2170/02/11"/>
          <s v="2170/02/12 - 2170/02/18"/>
          <s v="2170/02/19 - 2170/02/25"/>
          <s v="2170/02/26 - 2170/03/04"/>
          <s v="2170/03/05 - 2170/03/11"/>
          <s v="2170/03/12 - 2170/03/18"/>
          <s v="2170/03/19 - 2170/03/25"/>
          <s v="2170/03/26 - 2170/04/01"/>
          <s v="2170/04/02 - 2170/04/08"/>
          <s v="2170/04/09 - 2170/04/15"/>
          <s v="2170/04/16 - 2170/04/22"/>
          <s v="2170/04/23 - 2170/04/29"/>
          <s v="2170/04/30 - 2170/05/06"/>
          <s v="2170/05/07 - 2170/05/13"/>
          <s v="2170/05/14 - 2170/05/20"/>
          <s v="2170/05/21 - 2170/05/27"/>
          <s v="2170/05/28 - 2170/06/03"/>
          <s v="2170/06/04 - 2170/06/10"/>
          <s v="2170/06/11 - 2170/06/17"/>
          <s v="2170/06/18 - 2170/06/24"/>
          <s v="2170/06/25 - 2170/07/01"/>
          <s v="2170/07/02 - 2170/07/08"/>
          <s v="2170/07/09 - 2170/07/15"/>
          <s v="2170/07/16 - 2170/07/22"/>
          <s v="2170/07/23 - 2170/07/29"/>
          <s v="2170/07/30 - 2170/08/05"/>
          <s v="2170/08/06 - 2170/08/12"/>
          <s v="2170/08/13 - 2170/08/19"/>
          <s v="2170/08/20 - 2170/08/26"/>
          <s v="2170/08/27 - 2170/09/02"/>
          <s v="2170/09/03 - 2170/09/09"/>
          <s v="2170/09/10 - 2170/09/16"/>
          <s v="2170/09/17 - 2170/09/23"/>
          <s v="2170/09/24 - 2170/09/30"/>
          <s v="2170/10/01 - 2170/10/07"/>
          <s v="2170/10/08 - 2170/10/14"/>
          <s v="2170/10/15 - 2170/10/21"/>
          <s v="2170/10/22 - 2170/10/28"/>
          <s v="2170/10/29 - 2170/11/04"/>
          <s v="2170/11/05 - 2170/11/11"/>
          <s v="2170/11/12 - 2170/11/18"/>
          <s v="2170/11/19 - 2170/11/25"/>
          <s v="2170/11/26 - 2170/12/02"/>
          <s v="2170/12/03 - 2170/12/09"/>
          <s v="2170/12/10 - 2170/12/16"/>
          <s v="2170/12/17 - 2170/12/23"/>
          <s v="2170/12/24 - 2170/12/30"/>
          <s v="2170/12/31 - 2171/01/06"/>
          <s v="2171/01/07 - 2171/01/13"/>
          <s v="2171/01/14 - 2171/01/20"/>
          <s v="2171/01/21 - 2171/01/27"/>
          <s v="2171/01/28 - 2171/02/03"/>
          <s v="2171/02/04 - 2171/02/10"/>
          <s v="2171/02/11 - 2171/02/17"/>
          <s v="2171/02/18 - 2171/02/24"/>
          <s v="2171/02/25 - 2171/03/03"/>
          <s v="2171/03/04 - 2171/03/10"/>
          <s v="2171/03/11 - 2171/03/17"/>
          <s v="2171/03/18 - 2171/03/24"/>
          <s v="2171/03/25 - 2171/03/31"/>
          <s v="2171/04/01 - 2171/04/07"/>
          <s v="2171/04/08 - 2171/04/14"/>
          <s v="2171/04/15 - 2171/04/21"/>
          <s v="2171/04/22 - 2171/04/28"/>
          <s v="2171/04/29 - 2171/05/05"/>
          <s v="2171/05/06 - 2171/05/12"/>
          <s v="2171/05/13 - 2171/05/19"/>
          <s v="2171/05/20 - 2171/05/26"/>
          <s v="2171/05/27 - 2171/06/02"/>
          <s v="2171/06/03 - 2171/06/09"/>
          <s v="2171/06/10 - 2171/06/16"/>
          <s v="2171/06/17 - 2171/06/23"/>
          <s v="2171/06/24 - 2171/06/30"/>
          <s v="2171/07/01 - 2171/07/07"/>
          <s v="2171/07/08 - 2171/07/14"/>
          <s v="2171/07/15 - 2171/07/21"/>
          <s v="2171/07/22 - 2171/07/28"/>
          <s v="2171/07/29 - 2171/08/04"/>
          <s v="2171/08/05 - 2171/08/11"/>
          <s v="2171/08/12 - 2171/08/18"/>
          <s v="2171/08/19 - 2171/08/25"/>
          <s v="2171/08/26 - 2171/09/01"/>
          <s v="2171/09/02 - 2171/09/08"/>
          <s v="2171/09/09 - 2171/09/15"/>
          <s v="2171/09/16 - 2171/09/22"/>
          <s v="2171/09/23 - 2171/09/29"/>
          <s v="2171/09/30 - 2171/10/06"/>
          <s v="2171/10/07 - 2171/10/13"/>
          <s v="2171/10/14 - 2171/10/20"/>
          <s v="2171/10/21 - 2171/10/27"/>
          <s v="2171/10/28 - 2171/11/03"/>
          <s v="2171/11/04 - 2171/11/10"/>
          <s v="2171/11/11 - 2171/11/17"/>
          <s v="2171/11/18 - 2171/11/24"/>
          <s v="2171/11/25 - 2171/12/01"/>
          <s v="2171/12/02 - 2171/12/08"/>
          <s v="2171/12/09 - 2171/12/15"/>
          <s v="2171/12/16 - 2171/12/22"/>
          <s v="2171/12/23 - 2171/12/29"/>
          <s v="2171/12/30 - 2172/01/05"/>
          <s v="2172/01/06 - 2172/01/12"/>
          <s v="2172/01/13 - 2172/01/19"/>
          <s v="2172/01/20 - 2172/01/26"/>
          <s v="2172/01/27 - 2172/02/02"/>
          <s v="2172/02/03 - 2172/02/09"/>
          <s v="2172/02/10 - 2172/02/16"/>
          <s v="2172/02/17 - 2172/02/23"/>
          <s v="2172/02/24 - 2172/03/01"/>
          <s v="2172/03/02 - 2172/03/08"/>
          <s v="2172/03/09 - 2172/03/15"/>
          <s v="2172/03/16 - 2172/03/22"/>
          <s v="2172/03/23 - 2172/03/29"/>
          <s v="2172/03/30 - 2172/04/05"/>
          <s v="2172/04/06 - 2172/04/12"/>
          <s v="2172/04/13 - 2172/04/19"/>
          <s v="2172/04/20 - 2172/04/26"/>
          <s v="2172/04/27 - 2172/05/03"/>
          <s v="2172/05/04 - 2172/05/10"/>
          <s v="2172/05/11 - 2172/05/17"/>
          <s v="2172/05/18 - 2172/05/24"/>
          <s v="2172/05/25 - 2172/05/31"/>
          <s v="2172/06/01 - 2172/06/07"/>
          <s v="2172/06/08 - 2172/06/14"/>
          <s v="2172/06/15 - 2172/06/21"/>
          <s v="2172/06/22 - 2172/06/28"/>
          <s v="2172/06/29 - 2172/07/05"/>
          <s v="2172/07/06 - 2172/07/12"/>
          <s v="2172/07/13 - 2172/07/19"/>
          <s v="2172/07/20 - 2172/07/26"/>
          <s v="2172/07/27 - 2172/08/02"/>
          <s v="2172/08/03 - 2172/08/09"/>
          <s v="2172/08/10 - 2172/08/16"/>
          <s v="2172/08/17 - 2172/08/23"/>
          <s v="2172/08/24 - 2172/08/30"/>
          <s v="2172/08/31 - 2172/09/06"/>
          <s v="2172/09/07 - 2172/09/13"/>
          <s v="2172/09/14 - 2172/09/20"/>
          <s v="2172/09/21 - 2172/09/27"/>
          <s v="2172/09/28 - 2172/10/04"/>
          <s v="2172/10/05 - 2172/10/11"/>
          <s v="2172/10/12 - 2172/10/18"/>
          <s v="2172/10/19 - 2172/10/25"/>
          <s v="2172/10/26 - 2172/11/01"/>
          <s v="2172/11/02 - 2172/11/08"/>
          <s v="2172/11/09 - 2172/11/15"/>
          <s v="2172/11/16 - 2172/11/22"/>
          <s v="2172/11/23 - 2172/11/29"/>
          <s v="2172/11/30 - 2172/12/06"/>
          <s v="2172/12/07 - 2172/12/13"/>
          <s v="2172/12/14 - 2172/12/20"/>
          <s v="2172/12/21 - 2172/12/27"/>
          <s v="2172/12/28 - 2173/01/03"/>
          <s v="2173/01/04 - 2173/01/10"/>
          <s v="2173/01/11 - 2173/01/17"/>
          <s v="2173/01/18 - 2173/01/24"/>
          <s v="2173/01/25 - 2173/01/31"/>
          <s v="2173/02/01 - 2173/02/07"/>
          <s v="2173/02/08 - 2173/02/14"/>
          <s v="2173/02/15 - 2173/02/21"/>
          <s v="2173/02/22 - 2173/02/28"/>
          <s v="2173/03/01 - 2173/03/07"/>
          <s v="2173/03/08 - 2173/03/14"/>
          <s v="2173/03/15 - 2173/03/21"/>
          <s v="2173/03/22 - 2173/03/28"/>
          <s v="2173/03/29 - 2173/04/04"/>
          <s v="2173/04/05 - 2173/04/11"/>
          <s v="2173/04/12 - 2173/04/18"/>
          <s v="2173/04/19 - 2173/04/25"/>
          <s v="2173/04/26 - 2173/05/02"/>
          <s v="2173/05/03 - 2173/05/09"/>
          <s v="2173/05/10 - 2173/05/16"/>
          <s v="2173/05/17 - 2173/05/23"/>
          <s v="2173/05/24 - 2173/05/30"/>
          <s v="2173/05/31 - 2173/06/06"/>
          <s v="2173/06/07 - 2173/06/13"/>
          <s v="2173/06/14 - 2173/06/20"/>
          <s v="2173/06/21 - 2173/06/27"/>
          <s v="2173/06/28 - 2173/07/04"/>
          <s v="2173/07/05 - 2173/07/11"/>
          <s v="2173/07/12 - 2173/07/18"/>
          <s v="2173/07/19 - 2173/07/25"/>
          <s v="2173/07/26 - 2173/08/01"/>
          <s v="2173/08/02 - 2173/08/08"/>
          <s v="2173/08/09 - 2173/08/15"/>
          <s v="2173/08/16 - 2173/08/22"/>
          <s v="2173/08/23 - 2173/08/29"/>
          <s v="2173/08/30 - 2173/09/05"/>
          <s v="2173/09/06 - 2173/09/12"/>
          <s v="2173/09/13 - 2173/09/19"/>
          <s v="2173/09/20 - 2173/09/26"/>
          <s v="2173/09/27 - 2173/10/03"/>
          <s v="2173/10/04 - 2173/10/10"/>
          <s v="2173/10/11 - 2173/10/17"/>
          <s v="2173/10/18 - 2173/10/24"/>
          <s v="2173/10/25 - 2173/10/31"/>
          <s v="2173/11/01 - 2173/11/07"/>
          <s v="2173/11/08 - 2173/11/14"/>
          <s v="2173/11/15 - 2173/11/21"/>
          <s v="2173/11/22 - 2173/11/28"/>
          <s v="2173/11/29 - 2173/12/05"/>
          <s v="2173/12/06 - 2173/12/12"/>
          <s v="2173/12/13 - 2173/12/19"/>
          <s v="2173/12/20 - 2173/12/26"/>
          <s v="2173/12/27 - 2174/01/02"/>
          <s v="2174/01/03 - 2174/01/09"/>
          <s v="2174/01/10 - 2174/01/16"/>
          <s v="2174/01/17 - 2174/01/23"/>
          <s v="2174/01/24 - 2174/01/30"/>
          <s v="2174/01/31 - 2174/02/06"/>
          <s v="2174/02/07 - 2174/02/13"/>
          <s v="2174/02/14 - 2174/02/20"/>
          <s v="2174/02/21 - 2174/02/27"/>
          <s v="2174/02/28 - 2174/03/06"/>
          <s v="2174/03/07 - 2174/03/13"/>
          <s v="2174/03/14 - 2174/03/20"/>
          <s v="2174/03/21 - 2174/03/27"/>
          <s v="2174/03/28 - 2174/04/03"/>
          <s v="2174/04/04 - 2174/04/10"/>
          <s v="2174/04/11 - 2174/04/17"/>
          <s v="2174/04/18 - 2174/04/24"/>
          <s v="2174/04/25 - 2174/05/01"/>
          <s v="2174/05/02 - 2174/05/08"/>
          <s v="2174/05/09 - 2174/05/15"/>
          <s v="2174/05/16 - 2174/05/22"/>
          <s v="2174/05/23 - 2174/05/29"/>
          <s v="2174/05/30 - 2174/06/05"/>
          <s v="2174/06/06 - 2174/06/12"/>
          <s v="2174/06/13 - 2174/06/19"/>
          <s v="2174/06/20 - 2174/06/26"/>
          <s v="2174/06/27 - 2174/07/03"/>
          <s v="2174/07/04 - 2174/07/10"/>
          <s v="2174/07/11 - 2174/07/17"/>
          <s v="2174/07/18 - 2174/07/24"/>
          <s v="2174/07/25 - 2174/07/31"/>
          <s v="2174/08/01 - 2174/08/07"/>
          <s v="2174/08/08 - 2174/08/14"/>
          <s v="2174/08/15 - 2174/08/21"/>
          <s v="2174/08/22 - 2174/08/28"/>
          <s v="2174/08/29 - 2174/09/04"/>
          <s v="2174/09/05 - 2174/09/11"/>
          <s v="2174/09/12 - 2174/09/18"/>
          <s v="2174/09/19 - 2174/09/25"/>
          <s v="2174/09/26 - 2174/10/02"/>
          <s v="2174/10/03 - 2174/10/09"/>
          <s v="2174/10/10 - 2174/10/16"/>
          <s v="2174/10/17 - 2174/10/23"/>
          <s v="2174/10/24 - 2174/10/30"/>
          <s v="2174/10/31 - 2174/11/06"/>
          <s v="2174/11/07 - 2174/11/13"/>
          <s v="2174/11/14 - 2174/11/20"/>
          <s v="2174/11/21 - 2174/11/27"/>
          <s v="2174/11/28 - 2174/12/04"/>
          <s v="2174/12/05 - 2174/12/11"/>
          <s v="2174/12/12 - 2174/12/18"/>
          <s v="2174/12/19 - 2174/12/25"/>
          <s v="2174/12/26 - 2175/01/01"/>
          <s v="2175/01/02 - 2175/01/08"/>
          <s v="2175/01/09 - 2175/01/15"/>
          <s v="2175/01/16 - 2175/01/22"/>
          <s v="2175/01/23 - 2175/01/29"/>
          <s v="2175/01/30 - 2175/02/05"/>
          <s v="2175/02/06 - 2175/02/12"/>
          <s v="2175/02/13 - 2175/02/19"/>
          <s v="2175/02/20 - 2175/02/26"/>
          <s v="2175/02/27 - 2175/03/05"/>
          <s v="2175/03/06 - 2175/03/12"/>
          <s v="2175/03/13 - 2175/03/19"/>
          <s v="2175/03/20 - 2175/03/26"/>
          <s v="2175/03/27 - 2175/04/02"/>
          <s v="2175/04/03 - 2175/04/09"/>
          <s v="2175/04/10 - 2175/04/16"/>
          <s v="2175/04/17 - 2175/04/23"/>
          <s v="2175/04/24 - 2175/04/30"/>
          <s v="2175/05/01 - 2175/05/07"/>
          <s v="2175/05/08 - 2175/05/14"/>
          <s v="2175/05/15 - 2175/05/21"/>
          <s v="2175/05/22 - 2175/05/28"/>
          <s v="2175/05/29 - 2175/06/04"/>
          <s v="2175/06/05 - 2175/06/11"/>
          <s v="2175/06/12 - 2175/06/18"/>
          <s v="2175/06/19 - 2175/06/25"/>
          <s v="2175/06/26 - 2175/07/02"/>
          <s v="2175/07/03 - 2175/07/09"/>
          <s v="2175/07/10 - 2175/07/16"/>
          <s v="2175/07/17 - 2175/07/23"/>
          <s v="2175/07/24 - 2175/07/30"/>
          <s v="2175/07/31 - 2175/08/06"/>
          <s v="2175/08/07 - 2175/08/13"/>
          <s v="2175/08/14 - 2175/08/20"/>
          <s v="2175/08/21 - 2175/08/27"/>
          <s v="2175/08/28 - 2175/09/03"/>
          <s v="2175/09/04 - 2175/09/10"/>
          <s v="2175/09/11 - 2175/09/17"/>
          <s v="2175/09/18 - 2175/09/24"/>
          <s v="2175/09/25 - 2175/10/01"/>
          <s v="2175/10/02 - 2175/10/08"/>
          <s v="2175/10/09 - 2175/10/15"/>
          <s v="2175/10/16 - 2175/10/22"/>
          <s v="2175/10/23 - 2175/10/29"/>
          <s v="2175/10/30 - 2175/11/05"/>
          <s v="2175/11/06 - 2175/11/12"/>
          <s v="2175/11/13 - 2175/11/19"/>
          <s v="2175/11/20 - 2175/11/26"/>
          <s v="2175/11/27 - 2175/12/03"/>
          <s v="2175/12/04 - 2175/12/10"/>
          <s v="2175/12/11 - 2175/12/17"/>
          <s v="2175/12/18 - 2175/12/24"/>
          <s v="2175/12/25 - 2175/12/31"/>
          <s v="2176/01/01 - 2176/01/07"/>
          <s v="2176/01/08 - 2176/01/14"/>
          <s v="2176/01/15 - 2176/01/21"/>
          <s v="2176/01/22 - 2176/01/28"/>
          <s v="2176/01/29 - 2176/02/04"/>
          <s v="2176/02/05 - 2176/02/11"/>
          <s v="2176/02/12 - 2176/02/18"/>
          <s v="2176/02/19 - 2176/02/25"/>
          <s v="2176/02/26 - 2176/03/03"/>
          <s v="2176/03/04 - 2176/03/10"/>
          <s v="2176/03/11 - 2176/03/17"/>
          <s v="2176/03/18 - 2176/03/24"/>
          <s v="2176/03/25 - 2176/03/31"/>
          <s v="2176/04/01 - 2176/04/07"/>
          <s v="2176/04/08 - 2176/04/14"/>
          <s v="2176/04/15 - 2176/04/21"/>
          <s v="2176/04/22 - 2176/04/28"/>
          <s v="2176/04/29 - 2176/05/05"/>
          <s v="2176/05/06 - 2176/05/12"/>
          <s v="2176/05/13 - 2176/05/19"/>
          <s v="2176/05/20 - 2176/05/26"/>
          <s v="2176/05/27 - 2176/06/02"/>
          <s v="2176/06/03 - 2176/06/09"/>
          <s v="2176/06/10 - 2176/06/16"/>
          <s v="2176/06/17 - 2176/06/23"/>
          <s v="2176/06/24 - 2176/06/30"/>
          <s v="2176/07/01 - 2176/07/07"/>
          <s v="2176/07/08 - 2176/07/14"/>
          <s v="2176/07/15 - 2176/07/21"/>
          <s v="2176/07/22 - 2176/07/28"/>
          <s v="2176/07/29 - 2176/08/04"/>
          <s v="2176/08/05 - 2176/08/11"/>
          <s v="2176/08/12 - 2176/08/18"/>
          <s v="2176/08/19 - 2176/08/25"/>
          <s v="2176/08/26 - 2176/09/01"/>
          <s v="2176/09/02 - 2176/09/08"/>
          <s v="2176/09/09 - 2176/09/15"/>
          <s v="2176/09/16 - 2176/09/22"/>
          <s v="2176/09/23 - 2176/09/29"/>
          <s v="2176/09/30 - 2176/10/06"/>
          <s v="2176/10/07 - 2176/10/13"/>
          <s v="2176/10/14 - 2176/10/20"/>
          <s v="2176/10/21 - 2176/10/27"/>
          <s v="2176/10/28 - 2176/11/03"/>
          <s v="2176/11/04 - 2176/11/10"/>
          <s v="2176/11/11 - 2176/11/17"/>
          <s v="2176/11/18 - 2176/11/24"/>
          <s v="2176/11/25 - 2176/12/01"/>
          <s v="2176/12/02 - 2176/12/08"/>
          <s v="2176/12/09 - 2176/12/15"/>
          <s v="2176/12/16 - 2176/12/22"/>
          <s v="2176/12/23 - 2176/12/29"/>
          <s v="2176/12/30 - 2177/01/05"/>
          <s v="2177/01/06 - 2177/01/12"/>
          <s v="2177/01/13 - 2177/01/19"/>
          <s v="2177/01/20 - 2177/01/26"/>
          <s v="2177/01/27 - 2177/02/02"/>
          <s v="2177/02/03 - 2177/02/09"/>
          <s v="2177/02/10 - 2177/02/16"/>
          <s v="2177/02/17 - 2177/02/23"/>
          <s v="2177/02/24 - 2177/03/02"/>
          <s v="2177/03/03 - 2177/03/09"/>
          <s v="2177/03/10 - 2177/03/16"/>
          <s v="2177/03/17 - 2177/03/23"/>
          <s v="2177/03/24 - 2177/03/30"/>
          <s v="2177/03/31 - 2177/04/06"/>
          <s v="2177/04/07 - 2177/04/13"/>
          <s v="2177/04/14 - 2177/04/20"/>
          <s v="2177/04/21 - 2177/04/27"/>
          <s v="2177/04/28 - 2177/05/04"/>
          <s v="2177/05/05 - 2177/05/11"/>
          <s v="2177/05/12 - 2177/05/18"/>
          <s v="2177/05/19 - 2177/05/25"/>
          <s v="2177/05/26 - 2177/06/01"/>
          <s v="2177/06/02 - 2177/06/08"/>
          <s v="2177/06/09 - 2177/06/15"/>
          <s v="2177/06/16 - 2177/06/22"/>
          <s v="2177/06/23 - 2177/06/29"/>
          <s v="2177/06/30 - 2177/07/06"/>
          <s v="2177/07/07 - 2177/07/13"/>
          <s v="2177/07/14 - 2177/07/20"/>
          <s v="2177/07/21 - 2177/07/27"/>
          <s v="2177/07/28 - 2177/08/03"/>
          <s v="2177/08/04 - 2177/08/10"/>
          <s v="2177/08/11 - 2177/08/17"/>
          <s v="2177/08/18 - 2177/08/24"/>
          <s v="2177/08/25 - 2177/08/31"/>
          <s v="2177/09/01 - 2177/09/07"/>
          <s v="2177/09/08 - 2177/09/14"/>
          <s v="2177/09/15 - 2177/09/21"/>
          <s v="2177/09/22 - 2177/09/28"/>
          <s v="2177/09/29 - 2177/10/05"/>
          <s v="2177/10/06 - 2177/10/12"/>
          <s v="2177/10/13 - 2177/10/19"/>
          <s v="2177/10/20 - 2177/10/26"/>
          <s v="2177/10/27 - 2177/11/02"/>
          <s v="2177/11/03 - 2177/11/09"/>
          <s v="2177/11/10 - 2177/11/16"/>
          <s v="2177/11/17 - 2177/11/23"/>
          <s v="2177/11/24 - 2177/11/30"/>
          <s v="2177/12/01 - 2177/12/07"/>
          <s v="2177/12/08 - 2177/12/14"/>
          <s v="2177/12/15 - 2177/12/21"/>
          <s v="2177/12/22 - 2177/12/28"/>
          <s v="2177/12/29 - 2178/01/04"/>
          <s v="2178/01/05 - 2178/01/11"/>
          <s v="2178/01/12 - 2178/01/18"/>
          <s v="2178/01/19 - 2178/01/25"/>
          <s v="2178/01/26 - 2178/02/01"/>
          <s v="2178/02/02 - 2178/02/08"/>
          <s v="2178/02/09 - 2178/02/15"/>
          <s v="2178/02/16 - 2178/02/22"/>
          <s v="2178/02/23 - 2178/03/01"/>
          <s v="2178/03/02 - 2178/03/08"/>
          <s v="2178/03/09 - 2178/03/15"/>
          <s v="2178/03/16 - 2178/03/22"/>
          <s v="2178/03/23 - 2178/03/29"/>
          <s v="2178/03/30 - 2178/04/05"/>
          <s v="2178/04/06 - 2178/04/12"/>
          <s v="2178/04/13 - 2178/04/19"/>
          <s v="2178/04/20 - 2178/04/26"/>
          <s v="2178/04/27 - 2178/05/03"/>
          <s v="2178/05/04 - 2178/05/10"/>
          <s v="2178/05/11 - 2178/05/17"/>
          <s v="2178/05/18 - 2178/05/24"/>
          <s v="2178/05/25 - 2178/05/31"/>
          <s v="2178/06/01 - 2178/06/07"/>
          <s v="2178/06/08 - 2178/06/14"/>
          <s v="2178/06/15 - 2178/06/21"/>
          <s v="2178/06/22 - 2178/06/28"/>
          <s v="2178/06/29 - 2178/07/05"/>
          <s v="2178/07/06 - 2178/07/12"/>
          <s v="2178/07/13 - 2178/07/19"/>
          <s v="2178/07/20 - 2178/07/26"/>
          <s v="2178/07/27 - 2178/08/02"/>
          <s v="2178/08/03 - 2178/08/09"/>
          <s v="2178/08/10 - 2178/08/16"/>
          <s v="2178/08/17 - 2178/08/23"/>
          <s v="2178/08/24 - 2178/08/30"/>
          <s v="2178/08/31 - 2178/09/06"/>
          <s v="2178/09/07 - 2178/09/13"/>
          <s v="2178/09/14 - 2178/09/20"/>
          <s v="2178/09/21 - 2178/09/27"/>
          <s v="2178/09/28 - 2178/10/04"/>
          <s v="2178/10/05 - 2178/10/11"/>
          <s v="2178/10/12 - 2178/10/18"/>
          <s v="2178/10/19 - 2178/10/25"/>
          <s v="2178/10/26 - 2178/11/01"/>
          <s v="2178/11/02 - 2178/11/08"/>
          <s v="2178/11/09 - 2178/11/15"/>
          <s v="2178/11/16 - 2178/11/22"/>
          <s v="2178/11/23 - 2178/11/29"/>
          <s v="2178/11/30 - 2178/12/06"/>
          <s v="2178/12/07 - 2178/12/13"/>
          <s v="2178/12/14 - 2178/12/20"/>
          <s v="2178/12/21 - 2178/12/27"/>
          <s v="2178/12/28 - 2179/01/03"/>
          <s v="2179/01/04 - 2179/01/10"/>
          <s v="2179/01/11 - 2179/01/17"/>
          <s v="2179/01/18 - 2179/01/24"/>
          <s v="2179/01/25 - 2179/01/31"/>
          <s v="2179/02/01 - 2179/02/07"/>
          <s v="2179/02/08 - 2179/02/14"/>
          <s v="2179/02/15 - 2179/02/21"/>
          <s v="2179/02/22 - 2179/02/28"/>
          <s v="2179/03/01 - 2179/03/07"/>
          <s v="2179/03/08 - 2179/03/14"/>
          <s v="2179/03/15 - 2179/03/21"/>
          <s v="2179/03/22 - 2179/03/28"/>
          <s v="2179/03/29 - 2179/04/04"/>
          <s v="2179/04/05 - 2179/04/11"/>
          <s v="2179/04/12 - 2179/04/18"/>
          <s v="2179/04/19 - 2179/04/25"/>
          <s v="2179/04/26 - 2179/05/02"/>
          <s v="2179/05/03 - 2179/05/09"/>
          <s v="2179/05/10 - 2179/05/16"/>
          <s v="2179/05/17 - 2179/05/23"/>
          <s v="2179/05/24 - 2179/05/30"/>
          <s v="2179/05/31 - 2179/06/06"/>
          <s v="2179/06/07 - 2179/06/13"/>
          <s v="2179/06/14 - 2179/06/20"/>
          <s v="2179/06/21 - 2179/06/27"/>
          <s v="2179/06/28 - 2179/07/04"/>
          <s v="2179/07/05 - 2179/07/11"/>
          <s v="2179/07/12 - 2179/07/18"/>
          <s v="2179/07/19 - 2179/07/25"/>
          <s v="2179/07/26 - 2179/08/01"/>
          <s v="2179/08/02 - 2179/08/08"/>
          <s v="2179/08/09 - 2179/08/15"/>
          <s v="2179/08/16 - 2179/08/22"/>
          <s v="2179/08/23 - 2179/08/29"/>
          <s v="2179/08/30 - 2179/09/05"/>
          <s v="2179/09/06 - 2179/09/12"/>
          <s v="2179/09/13 - 2179/09/19"/>
          <s v="2179/09/20 - 2179/09/26"/>
          <s v="2179/09/27 - 2179/10/03"/>
          <s v="2179/10/04 - 2179/10/10"/>
          <s v="2179/10/11 - 2179/10/17"/>
          <s v="2179/10/18 - 2179/10/24"/>
          <s v="2179/10/25 - 2179/10/31"/>
          <s v="2179/11/01 - 2179/11/07"/>
          <s v="2179/11/08 - 2179/11/14"/>
          <s v="2179/11/15 - 2179/11/21"/>
          <s v="2179/11/22 - 2179/11/28"/>
          <s v="2179/11/29 - 2179/12/05"/>
          <s v="2179/12/06 - 2179/12/12"/>
          <s v="2179/12/13 - 2179/12/19"/>
          <s v="2179/12/20 - 2179/12/26"/>
          <s v="2179/12/27 - 2180/01/02"/>
          <s v="2180/01/03 - 2180/01/09"/>
          <s v="2180/01/10 - 2180/01/16"/>
          <s v="2180/01/17 - 2180/01/23"/>
          <s v="2180/01/24 - 2180/01/30"/>
          <s v="2180/01/31 - 2180/02/06"/>
          <s v="2180/02/07 - 2180/02/13"/>
          <s v="2180/02/14 - 2180/02/20"/>
          <s v="2180/02/21 - 2180/02/27"/>
          <s v="2180/02/28 - 2180/03/05"/>
          <s v="2180/03/06 - 2180/03/12"/>
          <s v="2180/03/13 - 2180/03/19"/>
          <s v="2180/03/20 - 2180/03/26"/>
          <s v="2180/03/27 - 2180/04/02"/>
          <s v="2180/04/03 - 2180/04/09"/>
          <s v="2180/04/10 - 2180/04/16"/>
          <s v="2180/04/17 - 2180/04/23"/>
          <s v="2180/04/24 - 2180/04/30"/>
          <s v="2180/05/01 - 2180/05/07"/>
          <s v="2180/05/08 - 2180/05/14"/>
          <s v="2180/05/15 - 2180/05/21"/>
          <s v="2180/05/22 - 2180/05/28"/>
          <s v="2180/05/29 - 2180/06/04"/>
          <s v="2180/06/05 - 2180/06/11"/>
          <s v="2180/06/12 - 2180/06/18"/>
          <s v="2180/06/19 - 2180/06/25"/>
          <s v="2180/06/26 - 2180/07/02"/>
          <s v="2180/07/03 - 2180/07/09"/>
          <s v="2180/07/10 - 2180/07/16"/>
          <s v="2180/07/17 - 2180/07/23"/>
          <s v="2180/07/24 - 2180/07/30"/>
          <s v="2180/07/31 - 2180/08/06"/>
          <s v="2180/08/07 - 2180/08/13"/>
          <s v="2180/08/14 - 2180/08/20"/>
          <s v="2180/08/21 - 2180/08/27"/>
          <s v="2180/08/28 - 2180/09/03"/>
          <s v="2180/09/04 - 2180/09/10"/>
          <s v="2180/09/11 - 2180/09/17"/>
          <s v="2180/09/18 - 2180/09/24"/>
          <s v="2180/09/25 - 2180/10/01"/>
          <s v="2180/10/02 - 2180/10/08"/>
          <s v="2180/10/09 - 2180/10/15"/>
          <s v="2180/10/16 - 2180/10/22"/>
          <s v="2180/10/23 - 2180/10/29"/>
          <s v="2180/10/30 - 2180/11/05"/>
          <s v="2180/11/06 - 2180/11/12"/>
          <s v="2180/11/13 - 2180/11/19"/>
          <s v="2180/11/20 - 2180/11/26"/>
          <s v="2180/11/27 - 2180/12/03"/>
          <s v="2180/12/04 - 2180/12/10"/>
          <s v="2180/12/11 - 2180/12/17"/>
          <s v="2180/12/18 - 2180/12/24"/>
          <s v="2180/12/25 - 2180/12/31"/>
          <s v="2181/01/01 - 2181/01/07"/>
          <s v="2181/01/08 - 2181/01/14"/>
          <s v="2181/01/15 - 2181/01/21"/>
          <s v="2181/01/22 - 2181/01/28"/>
          <s v="2181/01/29 - 2181/02/04"/>
          <s v="2181/02/05 - 2181/02/11"/>
          <s v="2181/02/12 - 2181/02/18"/>
          <s v="2181/02/19 - 2181/02/25"/>
          <s v="2181/02/26 - 2181/03/04"/>
          <s v="2181/03/05 - 2181/03/11"/>
          <s v="2181/03/12 - 2181/03/18"/>
          <s v="2181/03/19 - 2181/03/25"/>
          <s v="2181/03/26 - 2181/04/01"/>
          <s v="2181/04/02 - 2181/04/08"/>
          <s v="2181/04/09 - 2181/04/15"/>
          <s v="2181/04/16 - 2181/04/22"/>
          <s v="2181/04/23 - 2181/04/29"/>
          <s v="2181/04/30 - 2181/05/06"/>
          <s v="2181/05/07 - 2181/05/13"/>
          <s v="2181/05/14 - 2181/05/20"/>
          <s v="2181/05/21 - 2181/05/27"/>
          <s v="2181/05/28 - 2181/06/03"/>
          <s v="2181/06/04 - 2181/06/10"/>
          <s v="2181/06/11 - 2181/06/17"/>
          <s v="2181/06/18 - 2181/06/24"/>
          <s v="2181/06/25 - 2181/07/01"/>
          <s v="2181/07/02 - 2181/07/08"/>
          <s v="2181/07/09 - 2181/07/15"/>
          <s v="2181/07/16 - 2181/07/22"/>
          <s v="2181/07/23 - 2181/07/29"/>
          <s v="2181/07/30 - 2181/08/05"/>
          <s v="2181/08/06 - 2181/08/12"/>
          <s v="2181/08/13 - 2181/08/19"/>
          <s v="2181/08/20 - 2181/08/26"/>
          <s v="2181/08/27 - 2181/09/02"/>
          <s v="2181/09/03 - 2181/09/09"/>
          <s v="2181/09/10 - 2181/09/16"/>
          <s v="2181/09/17 - 2181/09/23"/>
          <s v="2181/09/24 - 2181/09/30"/>
          <s v="2181/10/01 - 2181/10/07"/>
          <s v="2181/10/08 - 2181/10/14"/>
          <s v="2181/10/15 - 2181/10/21"/>
          <s v="2181/10/22 - 2181/10/28"/>
          <s v="2181/10/29 - 2181/11/04"/>
          <s v="2181/11/05 - 2181/11/11"/>
          <s v="2181/11/12 - 2181/11/18"/>
          <s v="2181/11/19 - 2181/11/25"/>
          <s v="2181/11/26 - 2181/12/02"/>
          <s v="2181/12/03 - 2181/12/09"/>
          <s v="2181/12/10 - 2181/12/16"/>
          <s v="2181/12/17 - 2181/12/23"/>
          <s v="2181/12/24 - 2181/12/30"/>
          <s v="2181/12/31 - 2182/01/06"/>
          <s v="2182/01/07 - 2182/01/13"/>
          <s v="2182/01/14 - 2182/01/20"/>
          <s v="2182/01/21 - 2182/01/27"/>
          <s v="2182/01/28 - 2182/02/03"/>
          <s v="2182/02/04 - 2182/02/10"/>
          <s v="2182/02/11 - 2182/02/17"/>
          <s v="2182/02/18 - 2182/02/24"/>
          <s v="2182/02/25 - 2182/03/03"/>
          <s v="2182/03/04 - 2182/03/10"/>
          <s v="2182/03/11 - 2182/03/17"/>
          <s v="2182/03/18 - 2182/03/24"/>
          <s v="2182/03/25 - 2182/03/31"/>
          <s v="2182/04/01 - 2182/04/07"/>
          <s v="2182/04/08 - 2182/04/14"/>
          <s v="2182/04/15 - 2182/04/21"/>
          <s v="2182/04/22 - 2182/04/28"/>
          <s v="2182/04/29 - 2182/05/05"/>
          <s v="2182/05/06 - 2182/05/12"/>
          <s v="2182/05/13 - 2182/05/19"/>
          <s v="2182/05/20 - 2182/05/26"/>
          <s v="2182/05/27 - 2182/06/02"/>
          <s v="2182/06/03 - 2182/06/09"/>
          <s v="2182/06/10 - 2182/06/16"/>
          <s v="2182/06/17 - 2182/06/23"/>
          <s v="2182/06/24 - 2182/06/30"/>
          <s v="2182/07/01 - 2182/07/07"/>
          <s v="2182/07/08 - 2182/07/14"/>
          <s v="2182/07/15 - 2182/07/21"/>
          <s v="2182/07/22 - 2182/07/28"/>
          <s v="2182/07/29 - 2182/08/04"/>
          <s v="2182/08/05 - 2182/08/11"/>
          <s v="2182/08/12 - 2182/08/18"/>
          <s v="2182/08/19 - 2182/08/25"/>
          <s v="2182/08/26 - 2182/09/01"/>
          <s v="2182/09/02 - 2182/09/08"/>
          <s v="2182/09/09 - 2182/09/15"/>
          <s v="2182/09/16 - 2182/09/22"/>
          <s v="2182/09/23 - 2182/09/29"/>
          <s v="2182/09/30 - 2182/10/06"/>
          <s v="2182/10/07 - 2182/10/13"/>
          <s v="2182/10/14 - 2182/10/20"/>
          <s v="2182/10/21 - 2182/10/27"/>
          <s v="2182/10/28 - 2182/11/03"/>
          <s v="2182/11/04 - 2182/11/10"/>
          <s v="2182/11/11 - 2182/11/17"/>
          <s v="2182/11/18 - 2182/11/24"/>
          <s v="2182/11/25 - 2182/12/01"/>
          <s v="2182/12/02 - 2182/12/08"/>
          <s v="2182/12/09 - 2182/12/15"/>
          <s v="2182/12/16 - 2182/12/22"/>
          <s v="2182/12/23 - 2182/12/29"/>
          <s v="2182/12/30 - 2183/01/05"/>
          <s v="2183/01/06 - 2183/01/12"/>
          <s v="2183/01/13 - 2183/01/19"/>
          <s v="2183/01/20 - 2183/01/26"/>
          <s v="2183/01/27 - 2183/02/02"/>
          <s v="2183/02/03 - 2183/02/09"/>
          <s v="2183/02/10 - 2183/02/16"/>
          <s v="2183/02/17 - 2183/02/23"/>
          <s v="2183/02/24 - 2183/03/02"/>
          <s v="2183/03/03 - 2183/03/09"/>
          <s v="2183/03/10 - 2183/03/16"/>
          <s v="2183/03/17 - 2183/03/23"/>
          <s v="2183/03/24 - 2183/03/30"/>
          <s v="2183/03/31 - 2183/04/06"/>
          <s v="2183/04/07 - 2183/04/13"/>
          <s v="2183/04/14 - 2183/04/20"/>
          <s v="2183/04/21 - 2183/04/27"/>
          <s v="2183/04/28 - 2183/05/04"/>
          <s v="2183/05/05 - 2183/05/11"/>
          <s v="2183/05/12 - 2183/05/18"/>
          <s v="2183/05/19 - 2183/05/25"/>
          <s v="2183/05/26 - 2183/06/01"/>
          <s v="2183/06/02 - 2183/06/08"/>
          <s v="2183/06/09 - 2183/06/15"/>
          <s v="2183/06/16 - 2183/06/22"/>
          <s v="2183/06/23 - 2183/06/29"/>
          <s v="2183/06/30 - 2183/07/06"/>
          <s v="2183/07/07 - 2183/07/13"/>
          <s v="2183/07/14 - 2183/07/20"/>
          <s v="2183/07/21 - 2183/07/27"/>
          <s v="2183/07/28 - 2183/08/03"/>
          <s v="2183/08/04 - 2183/08/10"/>
          <s v="2183/08/11 - 2183/08/17"/>
          <s v="2183/08/18 - 2183/08/24"/>
          <s v="2183/08/25 - 2183/08/31"/>
          <s v="2183/09/01 - 2183/09/07"/>
          <s v="2183/09/08 - 2183/09/14"/>
          <s v="2183/09/15 - 2183/09/21"/>
          <s v="2183/09/22 - 2183/09/28"/>
          <s v="2183/09/29 - 2183/10/05"/>
          <s v="2183/10/06 - 2183/10/12"/>
          <s v="2183/10/13 - 2183/10/19"/>
          <s v="2183/10/20 - 2183/10/26"/>
          <s v="2183/10/27 - 2183/11/02"/>
          <s v="2183/11/03 - 2183/11/09"/>
          <s v="2183/11/10 - 2183/11/16"/>
          <s v="2183/11/17 - 2183/11/23"/>
          <s v="2183/11/24 - 2183/11/30"/>
          <s v="2183/12/01 - 2183/12/07"/>
          <s v="2183/12/08 - 2183/12/14"/>
          <s v="2183/12/15 - 2183/12/21"/>
          <s v="2183/12/22 - 2183/12/28"/>
          <s v="2183/12/29 - 2184/01/04"/>
          <s v="2184/01/05 - 2184/01/11"/>
          <s v="2184/01/12 - 2184/01/18"/>
          <s v="2184/01/19 - 2184/01/25"/>
          <s v="2184/01/26 - 2184/02/01"/>
          <s v="2184/02/02 - 2184/02/08"/>
          <s v="2184/02/09 - 2184/02/15"/>
          <s v="2184/02/16 - 2184/02/22"/>
          <s v="2184/02/23 - 2184/02/29"/>
          <s v="2184/03/01 - 2184/03/07"/>
          <s v="2184/03/08 - 2184/03/14"/>
          <s v="2184/03/15 - 2184/03/21"/>
          <s v="2184/03/22 - 2184/03/28"/>
          <s v="2184/03/29 - 2184/04/04"/>
          <s v="2184/04/05 - 2184/04/11"/>
          <s v="2184/04/12 - 2184/04/18"/>
          <s v="2184/04/19 - 2184/04/25"/>
          <s v="2184/04/26 - 2184/05/02"/>
          <s v="2184/05/03 - 2184/05/09"/>
          <s v="2184/05/10 - 2184/05/16"/>
          <s v="2184/05/17 - 2184/05/23"/>
          <s v="2184/05/24 - 2184/05/30"/>
          <s v="2184/05/31 - 2184/06/06"/>
          <s v="2184/06/07 - 2184/06/13"/>
          <s v="2184/06/14 - 2184/06/20"/>
          <s v="2184/06/21 - 2184/06/27"/>
          <s v="2184/06/28 - 2184/07/04"/>
          <s v="2184/07/05 - 2184/07/11"/>
          <s v="2184/07/12 - 2184/07/18"/>
          <s v="2184/07/19 - 2184/07/25"/>
          <s v="2184/07/26 - 2184/08/01"/>
          <s v="2184/08/02 - 2184/08/08"/>
          <s v="2184/08/09 - 2184/08/15"/>
          <s v="2184/08/16 - 2184/08/22"/>
          <s v="2184/08/23 - 2184/08/29"/>
          <s v="2184/08/30 - 2184/09/05"/>
          <s v="2184/09/06 - 2184/09/12"/>
          <s v="2184/09/13 - 2184/09/19"/>
          <s v="2184/09/20 - 2184/09/26"/>
          <s v="2184/09/27 - 2184/10/03"/>
          <s v="2184/10/04 - 2184/10/10"/>
          <s v="2184/10/11 - 2184/10/17"/>
          <s v="2184/10/18 - 2184/10/24"/>
          <s v="2184/10/25 - 2184/10/31"/>
          <s v="2184/11/01 - 2184/11/07"/>
          <s v="2184/11/08 - 2184/11/14"/>
          <s v="2184/11/15 - 2184/11/21"/>
          <s v="2184/11/22 - 2184/11/28"/>
          <s v="2184/11/29 - 2184/12/05"/>
          <s v="2184/12/06 - 2184/12/12"/>
          <s v="2184/12/13 - 2184/12/19"/>
          <s v="2184/12/20 - 2184/12/26"/>
          <s v="2184/12/27 - 2185/01/02"/>
          <s v="2185/01/03 - 2185/01/09"/>
          <s v="2185/01/10 - 2185/01/16"/>
          <s v="2185/01/17 - 2185/01/23"/>
          <s v="2185/01/24 - 2185/01/30"/>
          <s v="2185/01/31 - 2185/02/06"/>
          <s v="2185/02/07 - 2185/02/13"/>
          <s v="2185/02/14 - 2185/02/20"/>
          <s v="2185/02/21 - 2185/02/27"/>
          <s v="2185/02/28 - 2185/03/06"/>
          <s v="2185/03/07 - 2185/03/13"/>
          <s v="2185/03/14 - 2185/03/20"/>
          <s v="2185/03/21 - 2185/03/27"/>
          <s v="2185/03/28 - 2185/04/03"/>
          <s v="2185/04/04 - 2185/04/10"/>
          <s v="2185/04/11 - 2185/04/17"/>
          <s v="2185/04/18 - 2185/04/24"/>
          <s v="2185/04/25 - 2185/05/01"/>
          <s v="2185/05/02 - 2185/05/08"/>
          <s v="2185/05/09 - 2185/05/15"/>
          <s v="2185/05/16 - 2185/05/22"/>
          <s v="2185/05/23 - 2185/05/29"/>
          <s v="2185/05/30 - 2185/06/05"/>
          <s v="2185/06/06 - 2185/06/12"/>
          <s v="2185/06/13 - 2185/06/19"/>
          <s v="2185/06/20 - 2185/06/26"/>
          <s v="2185/06/27 - 2185/07/03"/>
          <s v="2185/07/04 - 2185/07/10"/>
          <s v="2185/07/11 - 2185/07/17"/>
          <s v="2185/07/18 - 2185/07/24"/>
          <s v="2185/07/25 - 2185/07/31"/>
          <s v="2185/08/01 - 2185/08/07"/>
          <s v="2185/08/08 - 2185/08/14"/>
          <s v="2185/08/15 - 2185/08/21"/>
          <s v="2185/08/22 - 2185/08/28"/>
          <s v="2185/08/29 - 2185/09/04"/>
          <s v="2185/09/05 - 2185/09/11"/>
          <s v="2185/09/12 - 2185/09/18"/>
          <s v="2185/09/19 - 2185/09/25"/>
          <s v="2185/09/26 - 2185/10/02"/>
          <s v="2185/10/03 - 2185/10/09"/>
          <s v="2185/10/10 - 2185/10/16"/>
          <s v="2185/10/17 - 2185/10/23"/>
          <s v="2185/10/24 - 2185/10/30"/>
          <s v="2185/10/31 - 2185/11/06"/>
          <s v="2185/11/07 - 2185/11/13"/>
          <s v="2185/11/14 - 2185/11/20"/>
          <s v="2185/11/21 - 2185/11/27"/>
          <s v="2185/11/28 - 2185/12/04"/>
          <s v="2185/12/05 - 2185/12/11"/>
          <s v="2185/12/12 - 2185/12/18"/>
          <s v="2185/12/19 - 2185/12/25"/>
          <s v="2185/12/26 - 2186/01/01"/>
          <s v="2186/01/02 - 2186/01/08"/>
          <s v="2186/01/09 - 2186/01/15"/>
          <s v="2186/01/16 - 2186/01/22"/>
          <s v="2186/01/23 - 2186/01/29"/>
          <s v="2186/01/30 - 2186/02/05"/>
          <s v="2186/02/06 - 2186/02/12"/>
          <s v="2186/02/13 - 2186/02/19"/>
          <s v="2186/02/20 - 2186/02/26"/>
          <s v="2186/02/27 - 2186/03/05"/>
          <s v="2186/03/06 - 2186/03/12"/>
          <s v="2186/03/13 - 2186/03/19"/>
          <s v="2186/03/20 - 2186/03/26"/>
          <s v="2186/03/27 - 2186/04/02"/>
          <s v="2186/04/03 - 2186/04/09"/>
          <s v="2186/04/10 - 2186/04/16"/>
          <s v="2186/04/17 - 2186/04/23"/>
          <s v="2186/04/24 - 2186/04/30"/>
          <s v="2186/05/01 - 2186/05/07"/>
          <s v="2186/05/08 - 2186/05/14"/>
          <s v="2186/05/15 - 2186/05/21"/>
          <s v="2186/05/22 - 2186/05/28"/>
          <s v="2186/05/29 - 2186/06/04"/>
          <s v="2186/06/05 - 2186/06/11"/>
          <s v="2186/06/12 - 2186/06/18"/>
          <s v="2186/06/19 - 2186/06/25"/>
          <s v="2186/06/26 - 2186/07/02"/>
          <s v="2186/07/03 - 2186/07/09"/>
          <s v="2186/07/10 - 2186/07/16"/>
          <s v="2186/07/17 - 2186/07/23"/>
          <s v="2186/07/24 - 2186/07/30"/>
          <s v="2186/07/31 - 2186/08/06"/>
          <s v="2186/08/07 - 2186/08/13"/>
          <s v="2186/08/14 - 2186/08/20"/>
          <s v="2186/08/21 - 2186/08/27"/>
          <s v="2186/08/28 - 2186/09/03"/>
          <s v="2186/09/04 - 2186/09/10"/>
          <s v="2186/09/11 - 2186/09/17"/>
          <s v="2186/09/18 - 2186/09/24"/>
          <s v="2186/09/25 - 2186/10/01"/>
          <s v="2186/10/02 - 2186/10/08"/>
          <s v="2186/10/09 - 2186/10/15"/>
          <s v="2186/10/16 - 2186/10/22"/>
          <s v="2186/10/23 - 2186/10/29"/>
          <s v="2186/10/30 - 2186/11/05"/>
          <s v="2186/11/06 - 2186/11/12"/>
          <s v="2186/11/13 - 2186/11/19"/>
          <s v="2186/11/20 - 2186/11/26"/>
          <s v="2186/11/27 - 2186/12/03"/>
          <s v="2186/12/04 - 2186/12/10"/>
          <s v="2186/12/11 - 2186/12/17"/>
          <s v="2186/12/18 - 2186/12/24"/>
          <s v="2186/12/25 - 2186/12/31"/>
          <s v="2187/01/01 - 2187/01/07"/>
          <s v="2187/01/08 - 2187/01/14"/>
          <s v="2187/01/15 - 2187/01/21"/>
          <s v="2187/01/22 - 2187/01/28"/>
          <s v="2187/01/29 - 2187/02/04"/>
          <s v="2187/02/05 - 2187/02/11"/>
          <s v="2187/02/12 - 2187/02/18"/>
          <s v="2187/02/19 - 2187/02/25"/>
          <s v="2187/02/26 - 2187/03/04"/>
          <s v="2187/03/05 - 2187/03/11"/>
          <s v="2187/03/12 - 2187/03/18"/>
          <s v="2187/03/19 - 2187/03/25"/>
          <s v="2187/03/26 - 2187/04/01"/>
          <s v="2187/04/02 - 2187/04/08"/>
          <s v="2187/04/09 - 2187/04/15"/>
          <s v="2187/04/16 - 2187/04/22"/>
          <s v="2187/04/23 - 2187/04/29"/>
          <s v="2187/04/30 - 2187/05/06"/>
          <s v="2187/05/07 - 2187/05/13"/>
          <s v="2187/05/14 - 2187/05/20"/>
          <s v="2187/05/21 - 2187/05/27"/>
          <s v="2187/05/28 - 2187/06/03"/>
          <s v="2187/06/04 - 2187/06/10"/>
          <s v="2187/06/11 - 2187/06/17"/>
          <s v="2187/06/18 - 2187/06/24"/>
          <s v="2187/06/25 - 2187/07/01"/>
          <s v="2187/07/02 - 2187/07/08"/>
          <s v="2187/07/09 - 2187/07/15"/>
          <s v="2187/07/16 - 2187/07/22"/>
          <s v="2187/07/23 - 2187/07/29"/>
          <s v="2187/07/30 - 2187/08/05"/>
          <s v="2187/08/06 - 2187/08/12"/>
          <s v="2187/08/13 - 2187/08/19"/>
          <s v="2187/08/20 - 2187/08/26"/>
          <s v="2187/08/27 - 2187/09/02"/>
          <s v="2187/09/03 - 2187/09/09"/>
          <s v="2187/09/10 - 2187/09/16"/>
          <s v="2187/09/17 - 2187/09/23"/>
          <s v="2187/09/24 - 2187/09/30"/>
          <s v="2187/10/01 - 2187/10/07"/>
          <s v="2187/10/08 - 2187/10/14"/>
          <s v="2187/10/15 - 2187/10/21"/>
          <s v="2187/10/22 - 2187/10/28"/>
          <s v="2187/10/29 - 2187/11/04"/>
          <s v="2187/11/05 - 2187/11/11"/>
          <s v="2187/11/12 - 2187/11/18"/>
          <s v="2187/11/19 - 2187/11/25"/>
          <s v="2187/11/26 - 2187/12/02"/>
          <s v="2187/12/03 - 2187/12/09"/>
          <s v="2187/12/10 - 2187/12/16"/>
          <s v="2187/12/17 - 2187/12/23"/>
          <s v="2187/12/24 - 2187/12/30"/>
          <s v="2187/12/31 - 2188/01/06"/>
          <s v="2188/01/07 - 2188/01/13"/>
          <s v="2188/01/14 - 2188/01/20"/>
          <s v="2188/01/21 - 2188/01/27"/>
          <s v="2188/01/28 - 2188/02/03"/>
          <s v="2188/02/04 - 2188/02/10"/>
          <s v="2188/02/11 - 2188/02/17"/>
          <s v="2188/02/18 - 2188/02/24"/>
          <s v="2188/02/25 - 2188/03/02"/>
          <s v="2188/03/03 - 2188/03/09"/>
          <s v="2188/03/10 - 2188/03/16"/>
          <s v="2188/03/17 - 2188/03/23"/>
          <s v="2188/03/24 - 2188/03/30"/>
          <s v="2188/03/31 - 2188/04/06"/>
          <s v="2188/04/07 - 2188/04/13"/>
          <s v="2188/04/14 - 2188/04/20"/>
          <s v="2188/04/21 - 2188/04/27"/>
          <s v="2188/04/28 - 2188/05/04"/>
          <s v="2188/05/05 - 2188/05/11"/>
          <s v="2188/05/12 - 2188/05/18"/>
          <s v="2188/05/19 - 2188/05/25"/>
          <s v="2188/05/26 - 2188/06/01"/>
          <s v="2188/06/02 - 2188/06/08"/>
          <s v="2188/06/09 - 2188/06/15"/>
          <s v="2188/06/16 - 2188/06/22"/>
          <s v="2188/06/23 - 2188/06/29"/>
          <s v="2188/06/30 - 2188/07/06"/>
          <s v="2188/07/07 - 2188/07/13"/>
          <s v="2188/07/14 - 2188/07/20"/>
          <s v="2188/07/21 - 2188/07/27"/>
          <s v="2188/07/28 - 2188/08/03"/>
          <s v="2188/08/04 - 2188/08/10"/>
          <s v="2188/08/11 - 2188/08/17"/>
          <s v="2188/08/18 - 2188/08/24"/>
          <s v="2188/08/25 - 2188/08/31"/>
          <s v="2188/09/01 - 2188/09/07"/>
          <s v="2188/09/08 - 2188/09/14"/>
          <s v="2188/09/15 - 2188/09/21"/>
          <s v="2188/09/22 - 2188/09/28"/>
          <s v="2188/09/29 - 2188/10/05"/>
          <s v="2188/10/06 - 2188/10/12"/>
          <s v="2188/10/13 - 2188/10/19"/>
          <s v="2188/10/20 - 2188/10/26"/>
          <s v="2188/10/27 - 2188/11/02"/>
          <s v="2188/11/03 - 2188/11/09"/>
          <s v="2188/11/10 - 2188/11/16"/>
          <s v="2188/11/17 - 2188/11/23"/>
          <s v="2188/11/24 - 2188/11/30"/>
          <s v="2188/12/01 - 2188/12/07"/>
          <s v="2188/12/08 - 2188/12/14"/>
          <s v="2188/12/15 - 2188/12/21"/>
          <s v="2188/12/22 - 2188/12/28"/>
          <s v="2188/12/29 - 2189/01/04"/>
          <s v="2189/01/05 - 2189/01/11"/>
          <s v="2189/01/12 - 2189/01/18"/>
          <s v="2189/01/19 - 2189/01/25"/>
          <s v="2189/01/26 - 2189/02/01"/>
          <s v="2189/02/02 - 2189/02/08"/>
          <s v="2189/02/09 - 2189/02/15"/>
          <s v="2189/02/16 - 2189/02/22"/>
          <s v="2189/02/23 - 2189/03/01"/>
          <s v="2189/03/02 - 2189/03/08"/>
          <s v="2189/03/09 - 2189/03/15"/>
          <s v="2189/03/16 - 2189/03/22"/>
          <s v="2189/03/23 - 2189/03/29"/>
          <s v="2189/03/30 - 2189/04/05"/>
          <s v="2189/04/06 - 2189/04/12"/>
          <s v="2189/04/13 - 2189/04/19"/>
          <s v="2189/04/20 - 2189/04/26"/>
          <s v="2189/04/27 - 2189/05/03"/>
          <s v="2189/05/04 - 2189/05/10"/>
          <s v="2189/05/11 - 2189/05/17"/>
          <s v="2189/05/18 - 2189/05/24"/>
          <s v="2189/05/25 - 2189/05/31"/>
          <s v="2189/06/01 - 2189/06/07"/>
          <s v="2189/06/08 - 2189/06/14"/>
          <s v="2189/06/15 - 2189/06/21"/>
          <s v="2189/06/22 - 2189/06/28"/>
          <s v="2189/06/29 - 2189/07/05"/>
          <s v="2189/07/06 - 2189/07/12"/>
          <s v="2189/07/13 - 2189/07/19"/>
          <s v="2189/07/20 - 2189/07/26"/>
          <s v="2189/07/27 - 2189/08/02"/>
          <s v="2189/08/03 - 2189/08/09"/>
          <s v="2189/08/10 - 2189/08/16"/>
          <s v="2189/08/17 - 2189/08/23"/>
          <s v="2189/08/24 - 2189/08/30"/>
          <s v="2189/08/31 - 2189/09/06"/>
          <s v="2189/09/07 - 2189/09/13"/>
          <s v="2189/09/14 - 2189/09/20"/>
          <s v="2189/09/21 - 2189/09/27"/>
          <s v="2189/09/28 - 2189/10/04"/>
          <s v="2189/10/05 - 2189/10/11"/>
          <s v="2189/10/12 - 2189/10/18"/>
          <s v="2189/10/19 - 2189/10/25"/>
          <s v="2189/10/26 - 2189/11/01"/>
          <s v="2189/11/02 - 2189/11/08"/>
          <s v="2189/11/09 - 2189/11/15"/>
          <s v="2189/11/16 - 2189/11/22"/>
          <s v="2189/11/23 - 2189/11/29"/>
          <s v="2189/11/30 - 2189/12/06"/>
          <s v="2189/12/07 - 2189/12/13"/>
          <s v="2189/12/14 - 2189/12/20"/>
          <s v="2189/12/21 - 2189/12/27"/>
          <s v="2189/12/28 - 2190/01/03"/>
          <s v="2190/01/04 - 2190/01/10"/>
          <s v="2190/01/11 - 2190/01/17"/>
          <s v="2190/01/18 - 2190/01/24"/>
          <s v="2190/01/25 - 2190/01/31"/>
          <s v="2190/02/01 - 2190/02/07"/>
          <s v="2190/02/08 - 2190/02/14"/>
          <s v="2190/02/15 - 2190/02/21"/>
          <s v="2190/02/22 - 2190/02/28"/>
          <s v="2190/03/01 - 2190/03/07"/>
          <s v="2190/03/08 - 2190/03/14"/>
          <s v="2190/03/15 - 2190/03/21"/>
          <s v="2190/03/22 - 2190/03/28"/>
          <s v="2190/03/29 - 2190/04/04"/>
          <s v="2190/04/05 - 2190/04/11"/>
          <s v="2190/04/12 - 2190/04/18"/>
          <s v="2190/04/19 - 2190/04/25"/>
          <s v="2190/04/26 - 2190/05/02"/>
          <s v="2190/05/03 - 2190/05/09"/>
          <s v="2190/05/10 - 2190/05/16"/>
          <s v="2190/05/17 - 2190/05/23"/>
          <s v="2190/05/24 - 2190/05/30"/>
          <s v="2190/05/31 - 2190/06/06"/>
          <s v="2190/06/07 - 2190/06/13"/>
          <s v="2190/06/14 - 2190/06/20"/>
          <s v="2190/06/21 - 2190/06/27"/>
          <s v="2190/06/28 - 2190/07/04"/>
          <s v="2190/07/05 - 2190/07/11"/>
          <s v="2190/07/12 - 2190/07/18"/>
          <s v="2190/07/19 - 2190/07/25"/>
          <s v="2190/07/26 - 2190/08/01"/>
          <s v="2190/08/02 - 2190/08/08"/>
          <s v="2190/08/09 - 2190/08/15"/>
          <s v="2190/08/16 - 2190/08/22"/>
          <s v="2190/08/23 - 2190/08/29"/>
          <s v="2190/08/30 - 2190/09/05"/>
          <s v="2190/09/06 - 2190/09/12"/>
          <s v="2190/09/13 - 2190/09/19"/>
          <s v="2190/09/20 - 2190/09/26"/>
          <s v="2190/09/27 - 2190/10/03"/>
          <s v="2190/10/04 - 2190/10/10"/>
          <s v="2190/10/11 - 2190/10/17"/>
          <s v="2190/10/18 - 2190/10/24"/>
          <s v="2190/10/25 - 2190/10/31"/>
          <s v="2190/11/01 - 2190/11/07"/>
          <s v="2190/11/08 - 2190/11/14"/>
          <s v="2190/11/15 - 2190/11/21"/>
          <s v="2190/11/22 - 2190/11/28"/>
          <s v="2190/11/29 - 2190/12/05"/>
          <s v="2190/12/06 - 2190/12/12"/>
          <s v="2190/12/13 - 2190/12/19"/>
          <s v="2190/12/20 - 2190/12/26"/>
          <s v="2190/12/27 - 2191/01/02"/>
          <s v="2191/01/03 - 2191/01/09"/>
          <s v="2191/01/10 - 2191/01/16"/>
          <s v="2191/01/17 - 2191/01/23"/>
          <s v="2191/01/24 - 2191/01/30"/>
          <s v="2191/01/31 - 2191/02/06"/>
          <s v="2191/02/07 - 2191/02/13"/>
          <s v="2191/02/14 - 2191/02/20"/>
          <s v="2191/02/21 - 2191/02/27"/>
          <s v="2191/02/28 - 2191/03/06"/>
          <s v="2191/03/07 - 2191/03/13"/>
          <s v="2191/03/14 - 2191/03/20"/>
          <s v="2191/03/21 - 2191/03/27"/>
          <s v="2191/03/28 - 2191/04/03"/>
          <s v="2191/04/04 - 2191/04/10"/>
          <s v="2191/04/11 - 2191/04/17"/>
          <s v="2191/04/18 - 2191/04/24"/>
          <s v="2191/04/25 - 2191/05/01"/>
          <s v="2191/05/02 - 2191/05/08"/>
          <s v="2191/05/09 - 2191/05/15"/>
          <s v="2191/05/16 - 2191/05/22"/>
          <s v="2191/05/23 - 2191/05/29"/>
          <s v="2191/05/30 - 2191/06/05"/>
          <s v="2191/06/06 - 2191/06/12"/>
          <s v="2191/06/13 - 2191/06/19"/>
          <s v="2191/06/20 - 2191/06/26"/>
          <s v="2191/06/27 - 2191/07/03"/>
          <s v="2191/07/04 - 2191/07/10"/>
          <s v="2191/07/11 - 2191/07/17"/>
          <s v="2191/07/18 - 2191/07/24"/>
          <s v="2191/07/25 - 2191/07/31"/>
          <s v="2191/08/01 - 2191/08/07"/>
          <s v="2191/08/08 - 2191/08/14"/>
          <s v="2191/08/15 - 2191/08/21"/>
          <s v="2191/08/22 - 2191/08/28"/>
          <s v="2191/08/29 - 2191/09/04"/>
          <s v="2191/09/05 - 2191/09/11"/>
          <s v="2191/09/12 - 2191/09/18"/>
          <s v="2191/09/19 - 2191/09/25"/>
          <s v="2191/09/26 - 2191/10/02"/>
          <s v="2191/10/03 - 2191/10/09"/>
          <s v="2191/10/10 - 2191/10/16"/>
          <s v="2191/10/17 - 2191/10/23"/>
          <s v="2191/10/24 - 2191/10/30"/>
          <s v="2191/10/31 - 2191/11/06"/>
          <s v="2191/11/07 - 2191/11/13"/>
          <s v="2191/11/14 - 2191/11/20"/>
          <s v="2191/11/21 - 2191/11/27"/>
          <s v="2191/11/28 - 2191/12/04"/>
          <s v="2191/12/05 - 2191/12/11"/>
          <s v="2191/12/12 - 2191/12/18"/>
          <s v="2191/12/19 - 2191/12/25"/>
          <s v="2191/12/26 - 2192/01/01"/>
          <s v="2192/01/02 - 2192/01/08"/>
          <s v="2192/01/09 - 2192/01/15"/>
          <s v="2192/01/16 - 2192/01/22"/>
          <s v="2192/01/23 - 2192/01/29"/>
          <s v="2192/01/30 - 2192/02/05"/>
          <s v="2192/02/06 - 2192/02/12"/>
          <s v="2192/02/13 - 2192/02/19"/>
          <s v="2192/02/20 - 2192/02/26"/>
          <s v="2192/02/27 - 2192/03/04"/>
          <s v="2192/03/05 - 2192/03/11"/>
          <s v="2192/03/12 - 2192/03/18"/>
          <s v="2192/03/19 - 2192/03/25"/>
          <s v="2192/03/26 - 2192/04/01"/>
          <s v="2192/04/02 - 2192/04/08"/>
          <s v="2192/04/09 - 2192/04/15"/>
          <s v="2192/04/16 - 2192/04/22"/>
          <s v="2192/04/23 - 2192/04/29"/>
          <s v="2192/04/30 - 2192/05/06"/>
          <s v="2192/05/07 - 2192/05/13"/>
          <s v="2192/05/14 - 2192/05/20"/>
          <s v="2192/05/21 - 2192/05/27"/>
          <s v="2192/05/28 - 2192/06/03"/>
          <s v="2192/06/04 - 2192/06/10"/>
          <s v="2192/06/11 - 2192/06/17"/>
          <s v="2192/06/18 - 2192/06/24"/>
          <s v="2192/06/25 - 2192/07/01"/>
          <s v="2192/07/02 - 2192/07/08"/>
          <s v="2192/07/09 - 2192/07/15"/>
          <s v="2192/07/16 - 2192/07/22"/>
          <s v="2192/07/23 - 2192/07/29"/>
          <s v="2192/07/30 - 2192/08/05"/>
          <s v="2192/08/06 - 2192/08/12"/>
          <s v="2192/08/13 - 2192/08/19"/>
          <s v="2192/08/20 - 2192/08/26"/>
          <s v="2192/08/27 - 2192/09/02"/>
          <s v="2192/09/03 - 2192/09/09"/>
          <s v="2192/09/10 - 2192/09/16"/>
          <s v="2192/09/17 - 2192/09/23"/>
          <s v="2192/09/24 - 2192/09/30"/>
          <s v="2192/10/01 - 2192/10/07"/>
          <s v="2192/10/08 - 2192/10/14"/>
          <s v="2192/10/15 - 2192/10/21"/>
          <s v="2192/10/22 - 2192/10/28"/>
          <s v="2192/10/29 - 2192/11/04"/>
          <s v="2192/11/05 - 2192/11/11"/>
          <s v="2192/11/12 - 2192/11/18"/>
          <s v="2192/11/19 - 2192/11/25"/>
          <s v="2192/11/26 - 2192/12/02"/>
          <s v="2192/12/03 - 2192/12/09"/>
          <s v="2192/12/10 - 2192/12/16"/>
          <s v="2192/12/17 - 2192/12/23"/>
          <s v="2192/12/24 - 2192/12/30"/>
          <s v="2192/12/31 - 2193/01/06"/>
          <s v="2193/01/07 - 2193/01/13"/>
          <s v="2193/01/14 - 2193/01/20"/>
          <s v="2193/01/21 - 2193/01/27"/>
          <s v="2193/01/28 - 2193/02/03"/>
          <s v="2193/02/04 - 2193/02/10"/>
          <s v="2193/02/11 - 2193/02/17"/>
          <s v="2193/02/18 - 2193/02/24"/>
          <s v="2193/02/25 - 2193/03/03"/>
          <s v="2193/03/04 - 2193/03/10"/>
          <s v="2193/03/11 - 2193/03/17"/>
          <s v="2193/03/18 - 2193/03/24"/>
          <s v="2193/03/25 - 2193/03/31"/>
          <s v="2193/04/01 - 2193/04/07"/>
          <s v="2193/04/08 - 2193/04/14"/>
          <s v="2193/04/15 - 2193/04/21"/>
          <s v="2193/04/22 - 2193/04/28"/>
          <s v="2193/04/29 - 2193/05/05"/>
          <s v="2193/05/06 - 2193/05/12"/>
          <s v="2193/05/13 - 2193/05/19"/>
          <s v="2193/05/20 - 2193/05/26"/>
          <s v="2193/05/27 - 2193/06/02"/>
          <s v="2193/06/03 - 2193/06/09"/>
          <s v="2193/06/10 - 2193/06/16"/>
          <s v="2193/06/17 - 2193/06/23"/>
          <s v="2193/06/24 - 2193/06/30"/>
          <s v="2193/07/01 - 2193/07/07"/>
          <s v="2193/07/08 - 2193/07/14"/>
          <s v="2193/07/15 - 2193/07/21"/>
          <s v="2193/07/22 - 2193/07/28"/>
          <s v="2193/07/29 - 2193/08/04"/>
          <s v="2193/08/05 - 2193/08/11"/>
          <s v="2193/08/12 - 2193/08/18"/>
          <s v="2193/08/19 - 2193/08/25"/>
          <s v="2193/08/26 - 2193/09/01"/>
          <s v="2193/09/02 - 2193/09/08"/>
          <s v="2193/09/09 - 2193/09/15"/>
          <s v="2193/09/16 - 2193/09/22"/>
          <s v="2193/09/23 - 2193/09/29"/>
          <s v="2193/09/30 - 2193/10/06"/>
          <s v="2193/10/07 - 2193/10/13"/>
          <s v="2193/10/14 - 2193/10/20"/>
          <s v="2193/10/21 - 2193/10/27"/>
          <s v="2193/10/28 - 2193/11/03"/>
          <s v="2193/11/04 - 2193/11/10"/>
          <s v="2193/11/11 - 2193/11/17"/>
          <s v="2193/11/18 - 2193/11/24"/>
          <s v="2193/11/25 - 2193/12/01"/>
          <s v="2193/12/02 - 2193/12/08"/>
          <s v="2193/12/09 - 2193/12/15"/>
          <s v="2193/12/16 - 2193/12/22"/>
          <s v="2193/12/23 - 2193/12/29"/>
          <s v="2193/12/30 - 2194/01/05"/>
          <s v="2194/01/06 - 2194/01/12"/>
          <s v="2194/01/13 - 2194/01/19"/>
          <s v="2194/01/20 - 2194/01/26"/>
          <s v="2194/01/27 - 2194/02/02"/>
          <s v="2194/02/03 - 2194/02/09"/>
          <s v="2194/02/10 - 2194/02/16"/>
          <s v="2194/02/17 - 2194/02/23"/>
          <s v="2194/02/24 - 2194/03/02"/>
          <s v="2194/03/03 - 2194/03/09"/>
          <s v="2194/03/10 - 2194/03/16"/>
          <s v="2194/03/17 - 2194/03/23"/>
          <s v="2194/03/24 - 2194/03/30"/>
          <s v="2194/03/31 - 2194/04/06"/>
          <s v="2194/04/07 - 2194/04/13"/>
          <s v="2194/04/14 - 2194/04/20"/>
          <s v="2194/04/21 - 2194/04/27"/>
          <s v="2194/04/28 - 2194/05/04"/>
          <s v="2194/05/05 - 2194/05/11"/>
          <s v="2194/05/12 - 2194/05/18"/>
          <s v="2194/05/19 - 2194/05/25"/>
          <s v="2194/05/26 - 2194/06/01"/>
          <s v="2194/06/02 - 2194/06/08"/>
          <s v="2194/06/09 - 2194/06/15"/>
          <s v="2194/06/16 - 2194/06/22"/>
          <s v="2194/06/23 - 2194/06/29"/>
          <s v="2194/06/30 - 2194/07/06"/>
          <s v="2194/07/07 - 2194/07/13"/>
          <s v="2194/07/14 - 2194/07/20"/>
          <s v="2194/07/21 - 2194/07/27"/>
          <s v="2194/07/28 - 2194/08/03"/>
          <s v="2194/08/04 - 2194/08/10"/>
          <s v="2194/08/11 - 2194/08/17"/>
          <s v="2194/08/18 - 2194/08/24"/>
          <s v="2194/08/25 - 2194/08/31"/>
          <s v="2194/09/01 - 2194/09/07"/>
          <s v="2194/09/08 - 2194/09/14"/>
          <s v="2194/09/15 - 2194/09/21"/>
          <s v="2194/09/22 - 2194/09/28"/>
          <s v="2194/09/29 - 2194/10/05"/>
          <s v="2194/10/06 - 2194/10/12"/>
          <s v="2194/10/13 - 2194/10/19"/>
          <s v="2194/10/20 - 2194/10/26"/>
          <s v="2194/10/27 - 2194/11/02"/>
          <s v="2194/11/03 - 2194/11/09"/>
          <s v="2194/11/10 - 2194/11/16"/>
          <s v="2194/11/17 - 2194/11/23"/>
          <s v="2194/11/24 - 2194/11/30"/>
          <s v="2194/12/01 - 2194/12/07"/>
          <s v="2194/12/08 - 2194/12/14"/>
          <s v="2194/12/15 - 2194/12/21"/>
          <s v="2194/12/22 - 2194/12/28"/>
          <s v="2194/12/29 - 2195/01/04"/>
          <s v="2195/01/05 - 2195/01/11"/>
          <s v="2195/01/12 - 2195/01/18"/>
          <s v="2195/01/19 - 2195/01/25"/>
          <s v="2195/01/26 - 2195/02/01"/>
          <s v="2195/02/02 - 2195/02/08"/>
          <s v="2195/02/09 - 2195/02/15"/>
          <s v="2195/02/16 - 2195/02/22"/>
          <s v="2195/02/23 - 2195/03/01"/>
          <s v="2195/03/02 - 2195/03/08"/>
          <s v="2195/03/09 - 2195/03/15"/>
          <s v="2195/03/16 - 2195/03/22"/>
          <s v="2195/03/23 - 2195/03/29"/>
          <s v="2195/03/30 - 2195/04/05"/>
          <s v="2195/04/06 - 2195/04/12"/>
          <s v="2195/04/13 - 2195/04/19"/>
          <s v="2195/04/20 - 2195/04/26"/>
          <s v="2195/04/27 - 2195/05/03"/>
          <s v="2195/05/04 - 2195/05/10"/>
          <s v="2195/05/11 - 2195/05/17"/>
          <s v="2195/05/18 - 2195/05/24"/>
          <s v="2195/05/25 - 2195/05/31"/>
          <s v="2195/06/01 - 2195/06/07"/>
          <s v="2195/06/08 - 2195/06/14"/>
          <s v="2195/06/15 - 2195/06/21"/>
          <s v="2195/06/22 - 2195/06/28"/>
          <s v="2195/06/29 - 2195/07/05"/>
          <s v="2195/07/06 - 2195/07/12"/>
          <s v="2195/07/13 - 2195/07/19"/>
          <s v="2195/07/20 - 2195/07/26"/>
          <s v="2195/07/27 - 2195/08/02"/>
          <s v="2195/08/03 - 2195/08/09"/>
          <s v="2195/08/10 - 2195/08/16"/>
          <s v="2195/08/17 - 2195/08/23"/>
          <s v="2195/08/24 - 2195/08/30"/>
          <s v="2195/08/31 - 2195/09/06"/>
          <s v="2195/09/07 - 2195/09/13"/>
          <s v="2195/09/14 - 2195/09/20"/>
          <s v="2195/09/21 - 2195/09/27"/>
          <s v="2195/09/28 - 2195/10/04"/>
          <s v="2195/10/05 - 2195/10/11"/>
          <s v="2195/10/12 - 2195/10/18"/>
          <s v="2195/10/19 - 2195/10/25"/>
          <s v="2195/10/26 - 2195/11/01"/>
          <s v="2195/11/02 - 2195/11/08"/>
          <s v="2195/11/09 - 2195/11/15"/>
          <s v="2195/11/16 - 2195/11/22"/>
          <s v="2195/11/23 - 2195/11/29"/>
          <s v="2195/11/30 - 2195/12/06"/>
          <s v="2195/12/07 - 2195/12/13"/>
          <s v="2195/12/14 - 2195/12/20"/>
          <s v="2195/12/21 - 2195/12/27"/>
          <s v="2195/12/28 - 2196/01/03"/>
          <s v="2196/01/04 - 2196/01/10"/>
          <s v="2196/01/11 - 2196/01/17"/>
          <s v="2196/01/18 - 2196/01/24"/>
          <s v="2196/01/25 - 2196/01/31"/>
          <s v="2196/02/01 - 2196/02/07"/>
          <s v="2196/02/08 - 2196/02/14"/>
          <s v="2196/02/15 - 2196/02/21"/>
          <s v="2196/02/22 - 2196/02/28"/>
          <s v="2196/02/29 - 2196/03/06"/>
          <s v="2196/03/07 - 2196/03/13"/>
          <s v="2196/03/14 - 2196/03/20"/>
          <s v="2196/03/21 - 2196/03/27"/>
          <s v="2196/03/28 - 2196/04/03"/>
          <s v="2196/04/04 - 2196/04/10"/>
          <s v="2196/04/11 - 2196/04/17"/>
          <s v="2196/04/18 - 2196/04/24"/>
          <s v="2196/04/25 - 2196/05/01"/>
          <s v="2196/05/02 - 2196/05/08"/>
          <s v="2196/05/09 - 2196/05/15"/>
          <s v="2196/05/16 - 2196/05/22"/>
          <s v="2196/05/23 - 2196/05/29"/>
          <s v="2196/05/30 - 2196/06/05"/>
          <s v="2196/06/06 - 2196/06/12"/>
          <s v="2196/06/13 - 2196/06/19"/>
          <s v="2196/06/20 - 2196/06/26"/>
          <s v="2196/06/27 - 2196/07/03"/>
          <s v="2196/07/04 - 2196/07/10"/>
          <s v="2196/07/11 - 2196/07/17"/>
          <s v="2196/07/18 - 2196/07/24"/>
          <s v="2196/07/25 - 2196/07/31"/>
          <s v="2196/08/01 - 2196/08/07"/>
          <s v="2196/08/08 - 2196/08/14"/>
          <s v="2196/08/15 - 2196/08/21"/>
          <s v="2196/08/22 - 2196/08/28"/>
          <s v="2196/08/29 - 2196/09/04"/>
          <s v="2196/09/05 - 2196/09/11"/>
          <s v="2196/09/12 - 2196/09/18"/>
          <s v="2196/09/19 - 2196/09/25"/>
          <s v="2196/09/26 - 2196/10/02"/>
          <s v="2196/10/03 - 2196/10/09"/>
          <s v="2196/10/10 - 2196/10/16"/>
          <s v="2196/10/17 - 2196/10/23"/>
          <s v="2196/10/24 - 2196/10/30"/>
          <s v="2196/10/31 - 2196/11/06"/>
          <s v="2196/11/07 - 2196/11/13"/>
          <s v="2196/11/14 - 2196/11/20"/>
          <s v="2196/11/21 - 2196/11/27"/>
          <s v="2196/11/28 - 2196/12/04"/>
          <s v="2196/12/05 - 2196/12/11"/>
          <s v="2196/12/12 - 2196/12/18"/>
          <s v="2196/12/19 - 2196/12/25"/>
          <s v="2196/12/26 - 2197/01/01"/>
          <s v="2197/01/02 - 2197/01/08"/>
          <s v="2197/01/09 - 2197/01/15"/>
          <s v="2197/01/16 - 2197/01/22"/>
          <s v="2197/01/23 - 2197/01/29"/>
          <s v="2197/01/30 - 2197/02/05"/>
          <s v="2197/02/06 - 2197/02/12"/>
          <s v="2197/02/13 - 2197/02/19"/>
          <s v="2197/02/20 - 2197/02/26"/>
          <s v="2197/02/27 - 2197/03/05"/>
          <s v="2197/03/06 - 2197/03/12"/>
          <s v="2197/03/13 - 2197/03/19"/>
          <s v="2197/03/20 - 2197/03/26"/>
          <s v="2197/03/27 - 2197/04/02"/>
          <s v="2197/04/03 - 2197/04/09"/>
          <s v="2197/04/10 - 2197/04/16"/>
          <s v="2197/04/17 - 2197/04/23"/>
          <s v="2197/04/24 - 2197/04/30"/>
          <s v="2197/05/01 - 2197/05/07"/>
          <s v="2197/05/08 - 2197/05/14"/>
          <s v="2197/05/15 - 2197/05/21"/>
          <s v="2197/05/22 - 2197/05/28"/>
          <s v="2197/05/29 - 2197/06/04"/>
          <s v="2197/06/05 - 2197/06/11"/>
          <s v="2197/06/12 - 2197/06/18"/>
          <s v="2197/06/19 - 2197/06/25"/>
          <s v="2197/06/26 - 2197/07/02"/>
          <s v="2197/07/03 - 2197/07/09"/>
          <s v="2197/07/10 - 2197/07/16"/>
          <s v="2197/07/17 - 2197/07/23"/>
          <s v="2197/07/24 - 2197/07/30"/>
          <s v="2197/07/31 - 2197/08/06"/>
          <s v="2197/08/07 - 2197/08/13"/>
          <s v="2197/08/14 - 2197/08/20"/>
          <s v="2197/08/21 - 2197/08/27"/>
          <s v="2197/08/28 - 2197/09/03"/>
          <s v="2197/09/04 - 2197/09/10"/>
          <s v="2197/09/11 - 2197/09/17"/>
          <s v="2197/09/18 - 2197/09/24"/>
          <s v="2197/09/25 - 2197/10/01"/>
          <s v="2197/10/02 - 2197/10/08"/>
          <s v="2197/10/09 - 2197/10/15"/>
          <s v="2197/10/16 - 2197/10/22"/>
          <s v="2197/10/23 - 2197/10/29"/>
          <s v="2197/10/30 - 2197/11/05"/>
          <s v="2197/11/06 - 2197/11/12"/>
          <s v="2197/11/13 - 2197/11/19"/>
          <s v="2197/11/20 - 2197/11/26"/>
          <s v="2197/11/27 - 2197/12/03"/>
          <s v="2197/12/04 - 2197/12/10"/>
          <s v="2197/12/11 - 2197/12/17"/>
          <s v="2197/12/18 - 2197/12/24"/>
          <s v="2197/12/25 - 2197/12/31"/>
          <s v="2198/01/01 - 2198/01/07"/>
          <s v="2198/01/08 - 2198/01/14"/>
          <s v="2198/01/15 - 2198/01/21"/>
          <s v="2198/01/22 - 2198/01/28"/>
          <s v="2198/01/29 - 2198/02/04"/>
          <s v="2198/02/05 - 2198/02/11"/>
          <s v="2198/02/12 - 2198/02/18"/>
          <s v="2198/02/19 - 2198/02/25"/>
          <s v="2198/02/26 - 2198/03/04"/>
          <s v="2198/03/05 - 2198/03/11"/>
          <s v="2198/03/12 - 2198/03/18"/>
          <s v="2198/03/19 - 2198/03/25"/>
          <s v="2198/03/26 - 2198/04/01"/>
          <s v="2198/04/02 - 2198/04/08"/>
          <s v="2198/04/09 - 2198/04/15"/>
          <s v="2198/04/16 - 2198/04/22"/>
          <s v="2198/04/23 - 2198/04/29"/>
          <s v="2198/04/30 - 2198/05/06"/>
          <s v="2198/05/07 - 2198/05/13"/>
          <s v="2198/05/14 - 2198/05/20"/>
          <s v="2198/05/21 - 2198/05/27"/>
          <s v="2198/05/28 - 2198/06/03"/>
          <s v="2198/06/04 - 2198/06/10"/>
          <s v="2198/06/11 - 2198/06/17"/>
          <s v="2198/06/18 - 2198/06/24"/>
          <s v="2198/06/25 - 2198/07/01"/>
          <s v="2198/07/02 - 2198/07/08"/>
          <s v="2198/07/09 - 2198/07/15"/>
          <s v="2198/07/16 - 2198/07/22"/>
          <s v="2198/07/23 - 2198/07/29"/>
          <s v="2198/07/30 - 2198/08/05"/>
          <s v="2198/08/06 - 2198/08/12"/>
          <s v="2198/08/13 - 2198/08/19"/>
          <s v="2198/08/20 - 2198/08/26"/>
          <s v="2198/08/27 - 2198/09/02"/>
          <s v="2198/09/03 - 2198/09/09"/>
          <s v="2198/09/10 - 2198/09/16"/>
          <s v="2198/09/17 - 2198/09/23"/>
          <s v="2198/09/24 - 2198/09/30"/>
          <s v="2198/10/01 - 2198/10/07"/>
          <s v="2198/10/08 - 2198/10/14"/>
          <s v="2198/10/15 - 2198/10/21"/>
          <s v="2198/10/22 - 2198/10/28"/>
          <s v="2198/10/29 - 2198/11/04"/>
          <s v="2198/11/05 - 2198/11/11"/>
          <s v="2198/11/12 - 2198/11/18"/>
          <s v="2198/11/19 - 2198/11/25"/>
          <s v="2198/11/26 - 2198/12/02"/>
          <s v="2198/12/03 - 2198/12/09"/>
          <s v="2198/12/10 - 2198/12/16"/>
          <s v="2198/12/17 - 2198/12/23"/>
          <s v="2198/12/24 - 2198/12/30"/>
          <s v="2198/12/31 - 2199/01/06"/>
          <s v="2199/01/07 - 2199/01/13"/>
          <s v="2199/01/14 - 2199/01/20"/>
          <s v="2199/01/21 - 2199/01/27"/>
          <s v="2199/01/28 - 2199/02/03"/>
          <s v="2199/02/04 - 2199/02/10"/>
          <s v="2199/02/11 - 2199/02/17"/>
          <s v="2199/02/18 - 2199/02/24"/>
          <s v="2199/02/25 - 2199/03/03"/>
          <s v="2199/03/04 - 2199/03/10"/>
          <s v="2199/03/11 - 2199/03/17"/>
          <s v="2199/03/18 - 2199/03/24"/>
          <s v="2199/03/25 - 2199/03/31"/>
          <s v="2199/04/01 - 2199/04/07"/>
          <s v="2199/04/08 - 2199/04/14"/>
          <s v="2199/04/15 - 2199/04/21"/>
          <s v="2199/04/22 - 2199/04/28"/>
          <s v="2199/04/29 - 2199/05/05"/>
          <s v="2199/05/06 - 2199/05/12"/>
          <s v="2199/05/13 - 2199/05/19"/>
          <s v="2199/05/20 - 2199/05/26"/>
          <s v="2199/05/27 - 2199/06/02"/>
          <s v="2199/06/03 - 2199/06/09"/>
          <s v="2199/06/10 - 2199/06/16"/>
          <s v="2199/06/17 - 2199/06/23"/>
          <s v="2199/06/24 - 2199/06/30"/>
          <s v="2199/07/01 - 2199/07/07"/>
          <s v="2199/07/08 - 2199/07/14"/>
          <s v="2199/07/15 - 2199/07/21"/>
          <s v="2199/07/22 - 2199/07/28"/>
          <s v="2199/07/29 - 2199/08/04"/>
          <s v="2199/08/05 - 2199/08/11"/>
          <s v="2199/08/12 - 2199/08/18"/>
          <s v="2199/08/19 - 2199/08/25"/>
          <s v="2199/08/26 - 2199/09/01"/>
          <s v="2199/09/02 - 2199/09/08"/>
          <s v="2199/09/09 - 2199/09/15"/>
          <s v="2199/09/16 - 2199/09/22"/>
          <s v="2199/09/23 - 2199/09/29"/>
          <s v="2199/09/30 - 2199/10/06"/>
          <s v="2199/10/07 - 2199/10/13"/>
          <s v="2199/10/14 - 2199/10/20"/>
          <s v="2199/10/21 - 2199/10/27"/>
          <s v="2199/10/28 - 2199/11/03"/>
          <s v="2199/11/04 - 2199/11/10"/>
          <s v="2199/11/11 - 2199/11/17"/>
          <s v="2199/11/18 - 2199/11/24"/>
          <s v="2199/11/25 - 2199/12/01"/>
          <s v="2199/12/02 - 2199/12/08"/>
          <s v="2199/12/09 - 2199/12/15"/>
          <s v="2199/12/16 - 2199/12/22"/>
          <s v="2199/12/23 - 2199/12/29"/>
          <s v="2199/12/30 - 2200/01/05"/>
          <s v="2200/01/06 - 2200/01/12"/>
          <s v="2200/01/13 - 2200/01/19"/>
          <s v="2200/01/20 - 2200/01/26"/>
          <s v="2200/01/27 - 2200/02/02"/>
          <s v="2200/02/03 - 2200/02/09"/>
          <s v="2200/02/10 - 2200/02/16"/>
          <s v="2200/02/17 - 2200/02/23"/>
          <s v="2200/02/24 - 2200/03/02"/>
          <s v="2200/03/03 - 2200/03/09"/>
          <s v="2200/03/10 - 2200/03/16"/>
          <s v="2200/03/17 - 2200/03/23"/>
          <s v="2200/03/24 - 2200/03/30"/>
          <s v="2200/03/31 - 2200/04/06"/>
          <s v="2200/04/07 - 2200/04/13"/>
          <s v="2200/04/14 - 2200/04/20"/>
          <s v="2200/04/21 - 2200/04/27"/>
          <s v="2200/04/28 - 2200/05/04"/>
          <s v="2200/05/05 - 2200/05/11"/>
          <s v="2200/05/12 - 2200/05/18"/>
          <s v="2200/05/19 - 2200/05/25"/>
          <s v="2200/05/26 - 2200/06/01"/>
          <s v="2200/06/02 - 2200/06/08"/>
          <s v="2200/06/09 - 2200/06/15"/>
          <s v="2200/06/16 - 2200/06/22"/>
          <s v="2200/06/23 - 2200/06/29"/>
          <s v="2200/06/30 - 2200/07/06"/>
          <s v="2200/07/07 - 2200/07/13"/>
          <s v="2200/07/14 - 2200/07/20"/>
          <s v="2200/07/21 - 2200/07/27"/>
          <s v="2200/07/28 - 2200/08/03"/>
          <s v="2200/08/04 - 2200/08/10"/>
          <s v="2200/08/11 - 2200/08/17"/>
          <s v="2200/08/18 - 2200/08/24"/>
          <s v="2200/08/25 - 2200/08/31"/>
          <s v="2200/09/01 - 2200/09/07"/>
          <s v="2200/09/08 - 2200/09/14"/>
          <s v="2200/09/15 - 2200/09/21"/>
          <s v="2200/09/22 - 2200/09/28"/>
          <s v="2200/09/29 - 2200/10/05"/>
          <s v="2200/10/06 - 2200/10/12"/>
          <s v="2200/10/13 - 2200/10/19"/>
          <s v="2200/10/20 - 2200/10/26"/>
          <s v="2200/10/27 - 2200/11/02"/>
          <s v="2200/11/03 - 2200/11/09"/>
          <s v="2200/11/10 - 2200/11/16"/>
          <s v="2200/11/17 - 2200/11/23"/>
          <s v="2200/11/24 - 2200/11/30"/>
          <s v="2200/12/01 - 2200/12/07"/>
          <s v="2200/12/08 - 2200/12/14"/>
          <s v="2200/12/15 - 2200/12/21"/>
          <s v="2200/12/22 - 2200/12/28"/>
          <s v="2200/12/29 - 2201/01/04"/>
          <s v="2201/01/05 - 2201/01/11"/>
          <s v="2201/01/12 - 2201/01/18"/>
          <s v="2201/01/19 - 2201/01/25"/>
          <s v="2201/01/26 - 2201/02/01"/>
          <s v="2201/02/02 - 2201/02/08"/>
          <s v="2201/02/09 - 2201/02/15"/>
          <s v="2201/02/16 - 2201/02/22"/>
          <s v="2201/02/23 - 2201/03/01"/>
          <s v="2201/03/02 - 2201/03/08"/>
          <s v="2201/03/09 - 2201/03/15"/>
          <s v="2201/03/16 - 2201/03/22"/>
          <s v="2201/03/23 - 2201/03/29"/>
          <s v="2201/03/30 - 2201/04/05"/>
          <s v="2201/04/06 - 2201/04/12"/>
          <s v="2201/04/13 - 2201/04/19"/>
          <s v="2201/04/20 - 2201/04/26"/>
          <s v="2201/04/27 - 2201/05/03"/>
          <s v="2201/05/04 - 2201/05/10"/>
          <s v="2201/05/11 - 2201/05/17"/>
          <s v="2201/05/18 - 2201/05/24"/>
          <s v="2201/05/25 - 2201/05/31"/>
          <s v="2201/06/01 - 2201/06/07"/>
          <s v="2201/06/08 - 2201/06/14"/>
          <s v="2201/06/15 - 2201/06/21"/>
          <s v="2201/06/22 - 2201/06/28"/>
          <s v="2201/06/29 - 2201/07/05"/>
          <s v="2201/07/06 - 2201/07/12"/>
          <s v="2201/07/13 - 2201/07/19"/>
          <s v="2201/07/20 - 2201/07/26"/>
          <s v="2201/07/27 - 2201/08/02"/>
          <s v="2201/08/03 - 2201/08/09"/>
          <s v="2201/08/10 - 2201/08/16"/>
          <s v="2201/08/17 - 2201/08/23"/>
          <s v="2201/08/24 - 2201/08/30"/>
          <s v="2201/08/31 - 2201/09/06"/>
          <s v="2201/09/07 - 2201/09/13"/>
          <s v="2201/09/14 - 2201/09/20"/>
          <s v="2201/09/21 - 2201/09/27"/>
          <s v="2201/09/28 - 2201/10/04"/>
          <s v="2201/10/05 - 2201/10/11"/>
          <s v="2201/10/12 - 2201/10/18"/>
          <s v="2201/10/19 - 2201/10/25"/>
          <s v="2201/10/26 - 2201/11/01"/>
          <s v="2201/11/02 - 2201/11/08"/>
          <s v="2201/11/09 - 2201/11/15"/>
          <s v="2201/11/16 - 2201/11/22"/>
          <s v="2201/11/23 - 2201/11/29"/>
          <s v="2201/11/30 - 2201/12/06"/>
          <s v="2201/12/07 - 2201/12/13"/>
          <s v="2201/12/14 - 2201/12/20"/>
          <s v="2201/12/21 - 2201/12/27"/>
          <s v="2201/12/28 - 2202/01/03"/>
          <s v="2202/01/04 - 2202/01/10"/>
          <s v="2202/01/11 - 2202/01/17"/>
          <s v="2202/01/18 - 2202/01/24"/>
          <s v="2202/01/25 - 2202/01/31"/>
          <s v="2202/02/01 - 2202/02/07"/>
          <s v="2202/02/08 - 2202/02/14"/>
          <s v="2202/02/15 - 2202/02/21"/>
          <s v="2202/02/22 - 2202/02/28"/>
          <s v="2202/03/01 - 2202/03/07"/>
          <s v="2202/03/08 - 2202/03/14"/>
          <s v="2202/03/15 - 2202/03/21"/>
          <s v="2202/03/22 - 2202/03/28"/>
          <s v="2202/03/29 - 2202/04/04"/>
          <s v="2202/04/05 - 2202/04/11"/>
          <s v="2202/04/12 - 2202/04/18"/>
          <s v="2202/04/19 - 2202/04/25"/>
          <s v="2202/04/26 - 2202/05/02"/>
          <s v="2202/05/03 - 2202/05/09"/>
          <s v="2202/05/10 - 2202/05/16"/>
          <s v="2202/05/17 - 2202/05/23"/>
          <s v="2202/05/24 - 2202/05/30"/>
          <s v="2202/05/31 - 2202/06/06"/>
          <s v="2202/06/07 - 2202/06/13"/>
          <s v="2202/06/14 - 2202/06/20"/>
          <s v="2202/06/21 - 2202/06/27"/>
          <s v="2202/06/28 - 2202/07/04"/>
          <s v="2202/07/05 - 2202/07/11"/>
          <s v="2202/07/12 - 2202/07/18"/>
          <s v="2202/07/19 - 2202/07/25"/>
          <s v="2202/07/26 - 2202/08/01"/>
          <s v="2202/08/02 - 2202/08/08"/>
          <s v="2202/08/09 - 2202/08/15"/>
          <s v="2202/08/16 - 2202/08/22"/>
          <s v="2202/08/23 - 2202/08/29"/>
          <s v="2202/08/30 - 2202/09/05"/>
          <s v="2202/09/06 - 2202/09/12"/>
          <s v="2202/09/13 - 2202/09/19"/>
          <s v="2202/09/20 - 2202/09/26"/>
          <s v="2202/09/27 - 2202/10/03"/>
          <s v="2202/10/04 - 2202/10/10"/>
          <s v="2202/10/11 - 2202/10/17"/>
          <s v="2202/10/18 - 2202/10/24"/>
          <s v="2202/10/25 - 2202/10/31"/>
          <s v="2202/11/01 - 2202/11/07"/>
          <s v="2202/11/08 - 2202/11/14"/>
          <s v="2202/11/15 - 2202/11/21"/>
          <s v="2202/11/22 - 2202/11/28"/>
          <s v="2202/11/29 - 2202/12/05"/>
          <s v="2202/12/06 - 2202/12/12"/>
          <s v="2202/12/13 - 2202/12/19"/>
          <s v="2202/12/20 - 2202/12/26"/>
          <s v="2202/12/27 - 2203/01/02"/>
          <s v="2203/01/03 - 2203/01/09"/>
          <s v="2203/01/10 - 2203/01/16"/>
          <s v="2203/01/17 - 2203/01/23"/>
          <s v="2203/01/24 - 2203/01/30"/>
          <s v="2203/01/31 - 2203/02/06"/>
          <s v="2203/02/07 - 2203/02/13"/>
          <s v="2203/02/14 - 2203/02/20"/>
          <s v="2203/02/21 - 2203/02/27"/>
          <s v="2203/02/28 - 2203/03/06"/>
          <s v="2203/03/07 - 2203/03/13"/>
          <s v="2203/03/14 - 2203/03/20"/>
          <s v="2203/03/21 - 2203/03/27"/>
          <s v="2203/03/28 - 2203/04/03"/>
          <s v="2203/04/04 - 2203/04/10"/>
          <s v="2203/04/11 - 2203/04/17"/>
          <s v="2203/04/18 - 2203/04/24"/>
          <s v="2203/04/25 - 2203/05/01"/>
          <s v="2203/05/02 - 2203/05/08"/>
          <s v="2203/05/09 - 2203/05/15"/>
          <s v="2203/05/16 - 2203/05/22"/>
          <s v="2203/05/23 - 2203/05/29"/>
          <s v="2203/05/30 - 2203/06/05"/>
          <s v="2203/06/06 - 2203/06/12"/>
          <s v="2203/06/13 - 2203/06/19"/>
          <s v="2203/06/20 - 2203/06/26"/>
          <s v="2203/06/27 - 2203/07/03"/>
          <s v="2203/07/04 - 2203/07/10"/>
          <s v="2203/07/11 - 2203/07/17"/>
          <s v="2203/07/18 - 2203/07/24"/>
          <s v="2203/07/25 - 2203/07/31"/>
          <s v="2203/08/01 - 2203/08/07"/>
          <s v="2203/08/08 - 2203/08/14"/>
          <s v="2203/08/15 - 2203/08/21"/>
          <s v="2203/08/22 - 2203/08/28"/>
          <s v="2203/08/29 - 2203/09/04"/>
          <s v="2203/09/05 - 2203/09/11"/>
          <s v="2203/09/12 - 2203/09/18"/>
          <s v="2203/09/19 - 2203/09/25"/>
          <s v="2203/09/26 - 2203/10/02"/>
          <s v="2203/10/03 - 2203/10/09"/>
          <s v="2203/10/10 - 2203/10/16"/>
          <s v="2203/10/17 - 2203/10/23"/>
          <s v="2203/10/24 - 2203/10/30"/>
          <s v="2203/10/31 - 2203/11/06"/>
          <s v="2203/11/07 - 2203/11/13"/>
          <s v="2203/11/14 - 2203/11/20"/>
          <s v="2203/11/21 - 2203/11/27"/>
          <s v="2203/11/28 - 2203/12/04"/>
          <s v="2203/12/05 - 2203/12/11"/>
          <s v="2203/12/12 - 2203/12/18"/>
          <s v="2203/12/19 - 2203/12/25"/>
          <s v="2203/12/26 - 2204/01/01"/>
          <s v="2204/01/02 - 2204/01/08"/>
          <s v="2204/01/09 - 2204/01/15"/>
          <s v="2204/01/16 - 2204/01/22"/>
          <s v="2204/01/23 - 2204/01/29"/>
          <s v="2204/01/30 - 2204/02/05"/>
          <s v="2204/02/06 - 2204/02/12"/>
          <s v="2204/02/13 - 2204/02/19"/>
          <s v="2204/02/20 - 2204/02/26"/>
          <s v="2204/02/27 - 2204/03/04"/>
          <s v="2204/03/05 - 2204/03/11"/>
          <s v="2204/03/12 - 2204/03/18"/>
          <s v="2204/03/19 - 2204/03/25"/>
          <s v="2204/03/26 - 2204/04/01"/>
          <s v="2204/04/02 - 2204/04/08"/>
          <s v="2204/04/09 - 2204/04/15"/>
          <s v="2204/04/16 - 2204/04/22"/>
          <s v="2204/04/23 - 2204/04/29"/>
          <s v="2204/04/30 - 2204/05/06"/>
          <s v="2204/05/07 - 2204/05/13"/>
          <s v="2204/05/14 - 2204/05/20"/>
          <s v="2204/05/21 - 2204/05/27"/>
          <s v="2204/05/28 - 2204/06/03"/>
          <s v="2204/06/04 - 2204/06/10"/>
          <s v="2204/06/11 - 2204/06/17"/>
          <s v="2204/06/18 - 2204/06/24"/>
          <s v="2204/06/25 - 2204/07/01"/>
          <s v="2204/07/02 - 2204/07/08"/>
          <s v="2204/07/09 - 2204/07/15"/>
          <s v="2204/07/16 - 2204/07/22"/>
          <s v="2204/07/23 - 2204/07/29"/>
          <s v="2204/07/30 - 2204/08/05"/>
          <s v="2204/08/06 - 2204/08/12"/>
          <s v="2204/08/13 - 2204/08/19"/>
          <s v="2204/08/20 - 2204/08/26"/>
          <s v="2204/08/27 - 2204/09/02"/>
          <s v="2204/09/03 - 2204/09/09"/>
          <s v="2204/09/10 - 2204/09/16"/>
          <s v="2204/09/17 - 2204/09/23"/>
          <s v="2204/09/24 - 2204/09/30"/>
          <s v="2204/10/01 - 2204/10/07"/>
          <s v="2204/10/08 - 2204/10/14"/>
          <s v="2204/10/15 - 2204/10/21"/>
          <s v="2204/10/22 - 2204/10/28"/>
          <s v="2204/10/29 - 2204/11/04"/>
          <s v="2204/11/05 - 2204/11/11"/>
          <s v="2204/11/12 - 2204/11/18"/>
          <s v="2204/11/19 - 2204/11/25"/>
          <s v="2204/11/26 - 2204/12/02"/>
          <s v="2204/12/03 - 2204/12/09"/>
          <s v="2204/12/10 - 2204/12/16"/>
          <s v="2204/12/17 - 2204/12/23"/>
          <s v="2204/12/24 - 2204/12/30"/>
          <s v="2204/12/31 - 2205/01/06"/>
          <s v="2205/01/07 - 2205/01/13"/>
          <s v="2205/01/14 - 2205/01/20"/>
          <s v="2205/01/21 - 2205/01/27"/>
          <s v="2205/01/28 - 2205/02/03"/>
          <s v="2205/02/04 - 2205/02/10"/>
          <s v="2205/02/11 - 2205/02/17"/>
          <s v="2205/02/18 - 2205/02/24"/>
          <s v="2205/02/25 - 2205/03/03"/>
          <s v="2205/03/04 - 2205/03/10"/>
          <s v="2205/03/11 - 2205/03/17"/>
          <s v="2205/03/18 - 2205/03/24"/>
          <s v="2205/03/25 - 2205/03/31"/>
          <s v="2205/04/01 - 2205/04/07"/>
          <s v="2205/04/08 - 2205/04/14"/>
          <s v="2205/04/15 - 2205/04/21"/>
          <s v="2205/04/22 - 2205/04/28"/>
          <s v="2205/04/29 - 2205/05/05"/>
          <s v="2205/05/06 - 2205/05/12"/>
          <s v="2205/05/13 - 2205/05/19"/>
          <s v="2205/05/20 - 2205/05/26"/>
          <s v="2205/05/27 - 2205/06/02"/>
          <s v="2205/06/03 - 2205/06/09"/>
          <s v="2205/06/10 - 2205/06/16"/>
          <s v="2205/06/17 - 2205/06/23"/>
          <s v="2205/06/24 - 2205/06/30"/>
          <s v="2205/07/01 - 2205/07/07"/>
          <s v="2205/07/08 - 2205/07/14"/>
          <s v="2205/07/15 - 2205/07/21"/>
          <s v="2205/07/22 - 2205/07/28"/>
          <s v="2205/07/29 - 2205/08/04"/>
          <s v="2205/08/05 - 2205/08/11"/>
          <s v="2205/08/12 - 2205/08/18"/>
          <s v="2205/08/19 - 2205/08/25"/>
          <s v="2205/08/26 - 2205/09/01"/>
          <s v="2205/09/02 - 2205/09/08"/>
          <s v="2205/09/09 - 2205/09/15"/>
          <s v="2205/09/16 - 2205/09/22"/>
          <s v="2205/09/23 - 2205/09/29"/>
          <s v="2205/09/30 - 2205/10/06"/>
          <s v="2205/10/07 - 2205/10/13"/>
          <s v="2205/10/14 - 2205/10/20"/>
          <s v="2205/10/21 - 2205/10/27"/>
          <s v="2205/10/28 - 2205/11/03"/>
          <s v="2205/11/04 - 2205/11/10"/>
          <s v="2205/11/11 - 2205/11/17"/>
          <s v="2205/11/18 - 2205/11/24"/>
          <s v="2205/11/25 - 2205/12/01"/>
          <s v="2205/12/02 - 2205/12/08"/>
          <s v="2205/12/09 - 2205/12/15"/>
          <s v="2205/12/16 - 2205/12/22"/>
          <s v="2205/12/23 - 2205/12/29"/>
          <s v="2205/12/30 - 2206/01/05"/>
          <s v="2206/01/06 - 2206/01/12"/>
          <s v="2206/01/13 - 2206/01/19"/>
          <s v="2206/01/20 - 2206/01/26"/>
          <s v="2206/01/27 - 2206/02/02"/>
          <s v="2206/02/03 - 2206/02/09"/>
          <s v="2206/02/10 - 2206/02/16"/>
          <s v="2206/02/17 - 2206/02/23"/>
          <s v="2206/02/24 - 2206/03/02"/>
          <s v="2206/03/03 - 2206/03/09"/>
          <s v="2206/03/10 - 2206/03/16"/>
          <s v="2206/03/17 - 2206/03/23"/>
          <s v="2206/03/24 - 2206/03/30"/>
          <s v="2206/03/31 - 2206/04/06"/>
          <s v="2206/04/07 - 2206/04/13"/>
          <s v="2206/04/14 - 2206/04/20"/>
          <s v="2206/04/21 - 2206/04/27"/>
          <s v="2206/04/28 - 2206/05/04"/>
          <s v="2206/05/05 - 2206/05/11"/>
          <s v="2206/05/12 - 2206/05/18"/>
          <s v="2206/05/19 - 2206/05/25"/>
          <s v="2206/05/26 - 2206/06/01"/>
          <s v="2206/06/02 - 2206/06/08"/>
          <s v="2206/06/09 - 2206/06/15"/>
          <s v="2206/06/16 - 2206/06/22"/>
          <s v="2206/06/23 - 2206/06/29"/>
          <s v="2206/06/30 - 2206/07/06"/>
          <s v="2206/07/07 - 2206/07/13"/>
          <s v="2206/07/14 - 2206/07/20"/>
          <s v="2206/07/21 - 2206/07/27"/>
          <s v="2206/07/28 - 2206/08/03"/>
          <s v="2206/08/04 - 2206/08/10"/>
          <s v="2206/08/11 - 2206/08/17"/>
          <s v="2206/08/18 - 2206/08/24"/>
          <s v="2206/08/25 - 2206/08/31"/>
          <s v="2206/09/01 - 2206/09/07"/>
          <s v="2206/09/08 - 2206/09/14"/>
          <s v="2206/09/15 - 2206/09/21"/>
          <s v="2206/09/22 - 2206/09/28"/>
          <s v="2206/09/29 - 2206/10/05"/>
          <s v="2206/10/06 - 2206/10/12"/>
          <s v="2206/10/13 - 2206/10/19"/>
          <s v="2206/10/20 - 2206/10/26"/>
          <s v="2206/10/27 - 2206/11/02"/>
          <s v="2206/11/03 - 2206/11/09"/>
          <s v="2206/11/10 - 2206/11/16"/>
          <s v="2206/11/17 - 2206/11/23"/>
          <s v="2206/11/24 - 2206/11/30"/>
          <s v="2206/12/01 - 2206/12/07"/>
          <s v="2206/12/08 - 2206/12/14"/>
          <s v="2206/12/15 - 2206/12/21"/>
          <s v="2206/12/22 - 2206/12/28"/>
          <s v="2206/12/29 - 2207/01/04"/>
          <s v="2207/01/05 - 2207/01/11"/>
          <s v="2207/01/12 - 2207/01/18"/>
          <s v="2207/01/19 - 2207/01/25"/>
          <s v="2207/01/26 - 2207/02/01"/>
          <s v="2207/02/02 - 2207/02/08"/>
          <s v="2207/02/09 - 2207/02/15"/>
          <s v="2207/02/16 - 2207/02/22"/>
          <s v="2207/02/23 - 2207/03/01"/>
          <s v="2207/03/02 - 2207/03/08"/>
          <s v="2207/03/09 - 2207/03/15"/>
          <s v="2207/03/16 - 2207/03/22"/>
          <s v="2207/03/23 - 2207/03/29"/>
          <s v="2207/03/30 - 2207/04/05"/>
          <s v="2207/04/06 - 2207/04/12"/>
          <s v="2207/04/13 - 2207/04/19"/>
          <s v="2207/04/20 - 2207/04/26"/>
          <s v="2207/04/27 - 2207/05/03"/>
          <s v="2207/05/04 - 2207/05/10"/>
          <s v="2207/05/11 - 2207/05/17"/>
          <s v="2207/05/18 - 2207/05/24"/>
          <s v="2207/05/25 - 2207/05/31"/>
          <s v="2207/06/01 - 2207/06/07"/>
          <s v="2207/06/08 - 2207/06/14"/>
          <s v="2207/06/15 - 2207/06/21"/>
          <s v="2207/06/22 - 2207/06/28"/>
          <s v="2207/06/29 - 2207/07/05"/>
          <s v="2207/07/06 - 2207/07/12"/>
          <s v="2207/07/13 - 2207/07/19"/>
          <s v="2207/07/20 - 2207/07/26"/>
          <s v="2207/07/27 - 2207/08/02"/>
          <s v="2207/08/03 - 2207/08/09"/>
          <s v="2207/08/10 - 2207/08/16"/>
          <s v="2207/08/17 - 2207/08/23"/>
          <s v="2207/08/24 - 2207/08/30"/>
          <s v="2207/08/31 - 2207/09/06"/>
          <s v="2207/09/07 - 2207/09/13"/>
          <s v="2207/09/14 - 2207/09/20"/>
          <s v="2207/09/21 - 2207/09/27"/>
          <s v="2207/09/28 - 2207/10/04"/>
          <s v="2207/10/05 - 2207/10/11"/>
          <s v="2207/10/12 - 2207/10/18"/>
          <s v="2207/10/19 - 2207/10/25"/>
          <s v="2207/10/26 - 2207/11/01"/>
          <s v="2207/11/02 - 2207/11/08"/>
          <s v="2207/11/09 - 2207/11/15"/>
          <s v="2207/11/16 - 2207/11/22"/>
          <s v="2207/11/23 - 2207/11/29"/>
          <s v="2207/11/30 - 2207/12/06"/>
          <s v="2207/12/07 - 2207/12/13"/>
          <s v="2207/12/14 - 2207/12/20"/>
          <s v="2207/12/21 - 2207/12/27"/>
          <s v="2207/12/28 - 2208/01/03"/>
          <s v="2208/01/04 - 2208/01/10"/>
          <s v="2208/01/11 - 2208/01/17"/>
          <s v="2208/01/18 - 2208/01/24"/>
          <s v="2208/01/25 - 2208/01/31"/>
          <s v="2208/02/01 - 2208/02/07"/>
          <s v="2208/02/08 - 2208/02/14"/>
          <s v="2208/02/15 - 2208/02/21"/>
          <s v="2208/02/22 - 2208/02/28"/>
          <s v="2208/02/29 - 2208/03/06"/>
          <s v="2208/03/07 - 2208/03/13"/>
          <s v="2208/03/14 - 2208/03/20"/>
          <s v="2208/03/21 - 2208/03/27"/>
          <s v="2208/03/28 - 2208/04/03"/>
          <s v="2208/04/04 - 2208/04/10"/>
          <s v="2208/04/11 - 2208/04/17"/>
          <s v="2208/04/18 - 2208/04/24"/>
          <s v="2208/04/25 - 2208/05/01"/>
          <s v="2208/05/02 - 2208/05/08"/>
          <s v="2208/05/09 - 2208/05/15"/>
          <s v="2208/05/16 - 2208/05/22"/>
          <s v="2208/05/23 - 2208/05/29"/>
          <s v="2208/05/30 - 2208/06/05"/>
          <s v="2208/06/06 - 2208/06/12"/>
          <s v="2208/06/13 - 2208/06/19"/>
          <s v="2208/06/20 - 2208/06/26"/>
          <s v="2208/06/27 - 2208/07/03"/>
          <s v="2208/07/04 - 2208/07/10"/>
          <s v="2208/07/11 - 2208/07/17"/>
          <s v="2208/07/18 - 2208/07/24"/>
          <s v="2208/07/25 - 2208/07/31"/>
          <s v="2208/08/01 - 2208/08/07"/>
          <s v="2208/08/08 - 2208/08/14"/>
          <s v="2208/08/15 - 2208/08/21"/>
          <s v="2208/08/22 - 2208/08/28"/>
          <s v="2208/08/29 - 2208/09/04"/>
          <s v="2208/09/05 - 2208/09/11"/>
          <s v="2208/09/12 - 2208/09/18"/>
          <s v="2208/09/19 - 2208/09/25"/>
          <s v="2208/09/26 - 2208/10/02"/>
          <s v="2208/10/03 - 2208/10/09"/>
          <s v="2208/10/10 - 2208/10/16"/>
          <s v="2208/10/17 - 2208/10/23"/>
          <s v="2208/10/24 - 2208/10/30"/>
          <s v="2208/10/31 - 2208/11/06"/>
          <s v="2208/11/07 - 2208/11/13"/>
          <s v="2208/11/14 - 2208/11/20"/>
          <s v="2208/11/21 - 2208/11/27"/>
          <s v="2208/11/28 - 2208/12/04"/>
          <s v="2208/12/05 - 2208/12/11"/>
          <s v="2208/12/12 - 2208/12/18"/>
          <s v="2208/12/19 - 2208/12/25"/>
          <s v="2208/12/26 - 2209/01/01"/>
          <s v="2209/01/02 - 2209/01/08"/>
          <s v="2209/01/09 - 2209/01/15"/>
          <s v="2209/01/16 - 2209/01/22"/>
          <s v="2209/01/23 - 2209/01/29"/>
          <s v="2209/01/30 - 2209/02/05"/>
          <s v="2209/02/06 - 2209/02/12"/>
          <s v="2209/02/13 - 2209/02/19"/>
          <s v="2209/02/20 - 2209/02/26"/>
          <s v="2209/02/27 - 2209/03/05"/>
          <s v="2209/03/06 - 2209/03/12"/>
          <s v="2209/03/13 - 2209/03/19"/>
          <s v="2209/03/20 - 2209/03/26"/>
          <s v="2209/03/27 - 2209/04/02"/>
          <s v="2209/04/03 - 2209/04/09"/>
          <s v="2209/04/10 - 2209/04/16"/>
          <s v="2209/04/17 - 2209/04/23"/>
          <s v="2209/04/24 - 2209/04/30"/>
          <s v="2209/05/01 - 2209/05/07"/>
          <s v="2209/05/08 - 2209/05/14"/>
          <s v="2209/05/15 - 2209/05/21"/>
          <s v="2209/05/22 - 2209/05/28"/>
          <s v="2209/05/29 - 2209/06/04"/>
          <s v="2209/06/05 - 2209/06/11"/>
          <s v="2209/06/12 - 2209/06/18"/>
          <s v="2209/06/19 - 2209/06/25"/>
          <s v="2209/06/26 - 2209/07/02"/>
          <s v="2209/07/03 - 2209/07/09"/>
          <s v="2209/07/10 - 2209/07/16"/>
          <s v="2209/07/17 - 2209/07/23"/>
          <s v="2209/07/24 - 2209/07/30"/>
          <s v="2209/07/31 - 2209/08/06"/>
          <s v="2209/08/07 - 2209/08/13"/>
          <s v="2209/08/14 - 2209/08/20"/>
          <s v="2209/08/21 - 2209/08/27"/>
          <s v="2209/08/28 - 2209/09/03"/>
          <s v="2209/09/04 - 2209/09/10"/>
          <s v="2209/09/11 - 2209/09/17"/>
          <s v="2209/09/18 - 2209/09/24"/>
          <s v="2209/09/25 - 2209/10/01"/>
          <s v="2209/10/02 - 2209/10/08"/>
          <s v="2209/10/09 - 2209/10/15"/>
          <s v="2209/10/16 - 2209/10/22"/>
          <s v="2209/10/23 - 2209/10/29"/>
          <s v="2209/10/30 - 2209/11/05"/>
          <s v="2209/11/06 - 2209/11/12"/>
          <s v="2209/11/13 - 2209/11/19"/>
          <s v="2209/11/20 - 2209/11/26"/>
          <s v="2209/11/27 - 2209/12/03"/>
          <s v="2209/12/04 - 2209/12/10"/>
          <s v="2209/12/11 - 2209/12/17"/>
          <s v="2209/12/18 - 2209/12/24"/>
          <s v="2209/12/25 - 2209/12/31"/>
          <s v="2210/01/01 - 2210/01/07"/>
          <s v="2210/01/08 - 2210/01/14"/>
          <s v="2210/01/15 - 2210/01/21"/>
          <s v="2210/01/22 - 2210/01/28"/>
          <s v="2210/01/29 - 2210/02/04"/>
          <s v="2210/02/05 - 2210/02/11"/>
          <s v="2210/02/12 - 2210/02/18"/>
          <s v="2210/02/19 - 2210/02/25"/>
          <s v="2210/02/26 - 2210/03/04"/>
          <s v="2210/03/05 - 2210/03/11"/>
          <s v="2210/03/12 - 2210/03/18"/>
          <s v="2210/03/19 - 2210/03/25"/>
          <s v="2210/03/26 - 2210/04/01"/>
          <s v="2210/04/02 - 2210/04/08"/>
          <s v="2210/04/09 - 2210/04/15"/>
          <s v="2210/04/16 - 2210/04/22"/>
          <s v="2210/04/23 - 2210/04/29"/>
          <s v="2210/04/30 - 2210/05/06"/>
          <s v="2210/05/07 - 2210/05/13"/>
          <s v="2210/05/14 - 2210/05/20"/>
          <s v="2210/05/21 - 2210/05/27"/>
          <s v="2210/05/28 - 2210/06/03"/>
          <s v="2210/06/04 - 2210/06/10"/>
          <s v="2210/06/11 - 2210/06/17"/>
          <s v="2210/06/18 - 2210/06/24"/>
          <s v="2210/06/25 - 2210/07/01"/>
          <s v="2210/07/02 - 2210/07/08"/>
          <s v="2210/07/09 - 2210/07/15"/>
          <s v="2210/07/16 - 2210/07/22"/>
          <s v="2210/07/23 - 2210/07/29"/>
          <s v="2210/07/30 - 2210/08/05"/>
          <s v="2210/08/06 - 2210/08/12"/>
          <s v="2210/08/13 - 2210/08/19"/>
          <s v="2210/08/20 - 2210/08/26"/>
          <s v="2210/08/27 - 2210/09/02"/>
          <s v="2210/09/03 - 2210/09/09"/>
          <s v="2210/09/10 - 2210/09/16"/>
          <s v="2210/09/17 - 2210/09/23"/>
          <s v="2210/09/24 - 2210/09/30"/>
          <s v="2210/10/01 - 2210/10/07"/>
          <s v="2210/10/08 - 2210/10/14"/>
          <s v="2210/10/15 - 2210/10/21"/>
          <s v="2210/10/22 - 2210/10/28"/>
          <s v="2210/10/29 - 2210/11/04"/>
          <s v="2210/11/05 - 2210/11/11"/>
          <s v="2210/11/12 - 2210/11/18"/>
          <s v="2210/11/19 - 2210/11/25"/>
          <s v="2210/11/26 - 2210/12/02"/>
          <s v="2210/12/03 - 2210/12/09"/>
          <s v="2210/12/10 - 2210/12/16"/>
          <s v="2210/12/17 - 2210/12/23"/>
          <s v="2210/12/24 - 2210/12/30"/>
          <s v="2210/12/31 - 2211/01/06"/>
          <s v="2211/01/07 - 2211/01/13"/>
          <s v="2211/01/14 - 2211/01/20"/>
          <s v="2211/01/21 - 2211/01/27"/>
          <s v="2211/01/28 - 2211/02/03"/>
          <s v="2211/02/04 - 2211/02/10"/>
          <s v="2211/02/11 - 2211/02/17"/>
          <s v="2211/02/18 - 2211/02/24"/>
          <s v="2211/02/25 - 2211/03/03"/>
          <s v="2211/03/04 - 2211/03/10"/>
          <s v="2211/03/11 - 2211/03/17"/>
          <s v="2211/03/18 - 2211/03/24"/>
          <s v="2211/03/25 - 2211/03/31"/>
          <s v="2211/04/01 - 2211/04/07"/>
          <s v="2211/04/08 - 2211/04/14"/>
          <s v="2211/04/15 - 2211/04/21"/>
          <s v="2211/04/22 - 2211/04/28"/>
          <s v="2211/04/29 - 2211/05/05"/>
          <s v="2211/05/06 - 2211/05/12"/>
          <s v="2211/05/13 - 2211/05/19"/>
          <s v="2211/05/20 - 2211/05/26"/>
          <s v="2211/05/27 - 2211/06/02"/>
          <s v="2211/06/03 - 2211/06/09"/>
          <s v="2211/06/10 - 2211/06/16"/>
          <s v="2211/06/17 - 2211/06/23"/>
          <s v="2211/06/24 - 2211/06/30"/>
          <s v="2211/07/01 - 2211/07/07"/>
          <s v="2211/07/08 - 2211/07/14"/>
          <s v="2211/07/15 - 2211/07/21"/>
          <s v="2211/07/22 - 2211/07/28"/>
          <s v="2211/07/29 - 2211/08/04"/>
          <s v="2211/08/05 - 2211/08/11"/>
          <s v="2211/08/12 - 2211/08/18"/>
          <s v="2211/08/19 - 2211/08/25"/>
          <s v="2211/08/26 - 2211/09/01"/>
          <s v="2211/09/02 - 2211/09/08"/>
          <s v="2211/09/09 - 2211/09/15"/>
          <s v="2211/09/16 - 2211/09/22"/>
          <s v="2211/09/23 - 2211/09/29"/>
          <s v="2211/09/30 - 2211/10/06"/>
          <s v="2211/10/07 - 2211/10/13"/>
          <s v="2211/10/14 - 2211/10/20"/>
          <s v="2211/10/21 - 2211/10/27"/>
          <s v="2211/10/28 - 2211/11/03"/>
          <s v="2211/11/04 - 2211/11/10"/>
          <s v="2211/11/11 - 2211/11/17"/>
          <s v="2211/11/18 - 2211/11/24"/>
          <s v="2211/11/25 - 2211/12/01"/>
          <s v="2211/12/02 - 2211/12/08"/>
          <s v="2211/12/09 - 2211/12/15"/>
          <s v="2211/12/16 - 2211/12/22"/>
          <s v="2211/12/23 - 2211/12/29"/>
          <s v="2211/12/30 - 2212/01/05"/>
          <s v="2212/01/06 - 2212/01/12"/>
          <s v="2212/01/13 - 2212/01/19"/>
          <s v="2212/01/20 - 2212/01/26"/>
          <s v="2212/01/27 - 2212/02/02"/>
          <s v="2212/02/03 - 2212/02/09"/>
          <s v="2212/02/10 - 2212/02/16"/>
          <s v="2212/02/17 - 2212/02/23"/>
          <s v="2212/02/24 - 2212/03/01"/>
          <s v="2212/03/02 - 2212/03/08"/>
          <s v="2212/03/09 - 2212/03/15"/>
          <s v="2212/03/16 - 2212/03/22"/>
          <s v="2212/03/23 - 2212/03/29"/>
          <s v="2212/03/30 - 2212/04/05"/>
          <s v="2212/04/06 - 2212/04/12"/>
          <s v="2212/04/13 - 2212/04/19"/>
          <s v="2212/04/20 - 2212/04/26"/>
          <s v="2212/04/27 - 2212/05/03"/>
          <s v="2212/05/04 - 2212/05/10"/>
          <s v="2212/05/11 - 2212/05/17"/>
          <s v="2212/05/18 - 2212/05/24"/>
          <s v="2212/05/25 - 2212/05/31"/>
          <s v="2212/06/01 - 2212/06/07"/>
          <s v="2212/06/08 - 2212/06/14"/>
          <s v="2212/06/15 - 2212/06/21"/>
          <s v="2212/06/22 - 2212/06/28"/>
          <s v="2212/06/29 - 2212/07/05"/>
          <s v="2212/07/06 - 2212/07/12"/>
          <s v="2212/07/13 - 2212/07/19"/>
          <s v="2212/07/20 - 2212/07/26"/>
          <s v="2212/07/27 - 2212/08/02"/>
          <s v="2212/08/03 - 2212/08/09"/>
          <s v="2212/08/10 - 2212/08/16"/>
          <s v="2212/08/17 - 2212/08/23"/>
          <s v="2212/08/24 - 2212/08/30"/>
          <s v="2212/08/31 - 2212/09/06"/>
          <s v="2212/09/07 - 2212/09/13"/>
          <s v="2212/09/14 - 2212/09/20"/>
          <s v="2212/09/21 - 2212/09/27"/>
          <s v="2212/09/28 - 2212/10/04"/>
          <s v="2212/10/05 - 2212/10/11"/>
          <s v="2212/10/12 - 2212/10/18"/>
          <s v="2212/10/19 - 2212/10/25"/>
          <s v="2212/10/26 - 2212/11/01"/>
          <s v="2212/11/02 - 2212/11/08"/>
          <s v="2212/11/09 - 2212/11/15"/>
          <s v="2212/11/16 - 2212/11/22"/>
          <s v="2212/11/23 - 2212/11/29"/>
          <s v="2212/11/30 - 2212/12/06"/>
          <s v="2212/12/07 - 2212/12/13"/>
          <s v="2212/12/14 - 2212/12/20"/>
          <s v="2212/12/21 - 2212/12/27"/>
          <s v="2212/12/28 - 2213/01/03"/>
          <s v="2213/01/04 - 2213/01/10"/>
          <s v="2213/01/11 - 2213/01/17"/>
          <s v="2213/01/18 - 2213/01/24"/>
          <s v="2213/01/25 - 2213/01/31"/>
          <s v="2213/02/01 - 2213/02/07"/>
          <s v="2213/02/08 - 2213/02/14"/>
          <s v="2213/02/15 - 2213/02/21"/>
          <s v="2213/02/22 - 2213/02/28"/>
          <s v="2213/03/01 - 2213/03/07"/>
          <s v="2213/03/08 - 2213/03/14"/>
          <s v="2213/03/15 - 2213/03/21"/>
          <s v="2213/03/22 - 2213/03/28"/>
          <s v="2213/03/29 - 2213/04/04"/>
          <s v="2213/04/05 - 2213/04/11"/>
          <s v="2213/04/12 - 2213/04/18"/>
          <s v="2213/04/19 - 2213/04/25"/>
          <s v="2213/04/26 - 2213/05/02"/>
          <s v="2213/05/03 - 2213/05/09"/>
          <s v="2213/05/10 - 2213/05/16"/>
          <s v="2213/05/17 - 2213/05/23"/>
          <s v="2213/05/24 - 2213/05/30"/>
          <s v="2213/05/31 - 2213/06/06"/>
          <s v="2213/06/07 - 2213/06/13"/>
          <s v="2213/06/14 - 2213/06/20"/>
          <s v="2213/06/21 - 2213/06/27"/>
          <s v="2213/06/28 - 2213/07/04"/>
          <s v="2213/07/05 - 2213/07/11"/>
          <s v="2213/07/12 - 2213/07/18"/>
          <s v="2213/07/19 - 2213/07/25"/>
          <s v="2213/07/26 - 2213/08/01"/>
          <s v="2213/08/02 - 2213/08/08"/>
          <s v="2213/08/09 - 2213/08/15"/>
          <s v="2213/08/16 - 2213/08/22"/>
          <s v="2213/08/23 - 2213/08/29"/>
          <s v="2213/08/30 - 2213/09/05"/>
          <s v="2213/09/06 - 2213/09/12"/>
          <s v="2213/09/13 - 2213/09/19"/>
          <s v="2213/09/20 - 2213/09/26"/>
          <s v="2213/09/27 - 2213/10/03"/>
          <s v="2213/10/04 - 2213/10/10"/>
          <s v="2213/10/11 - 2213/10/17"/>
          <s v="2213/10/18 - 2213/10/24"/>
          <s v="2213/10/25 - 2213/10/31"/>
          <s v="2213/11/01 - 2213/11/07"/>
          <s v="2213/11/08 - 2213/11/14"/>
          <s v="2213/11/15 - 2213/11/21"/>
          <s v="2213/11/22 - 2213/11/28"/>
          <s v="2213/11/29 - 2213/12/05"/>
          <s v="2213/12/06 - 2213/12/12"/>
          <s v="2213/12/13 - 2213/12/19"/>
          <s v="2213/12/20 - 2213/12/26"/>
          <s v="2213/12/27 - 2214/01/02"/>
          <s v="2214/01/03 - 2214/01/09"/>
          <s v="2214/01/10 - 2214/01/16"/>
          <s v="2214/01/17 - 2214/01/23"/>
          <s v="2214/01/24 - 2214/01/30"/>
          <s v="2214/01/31 - 2214/02/06"/>
          <s v="2214/02/07 - 2214/02/13"/>
          <s v="2214/02/14 - 2214/02/20"/>
          <s v="2214/02/21 - 2214/02/27"/>
          <s v="2214/02/28 - 2214/03/06"/>
          <s v="2214/03/07 - 2214/03/13"/>
          <s v="2214/03/14 - 2214/03/20"/>
          <s v="2214/03/21 - 2214/03/27"/>
          <s v="2214/03/28 - 2214/04/03"/>
          <s v="2214/04/04 - 2214/04/10"/>
          <s v="2214/04/11 - 2214/04/17"/>
          <s v="2214/04/18 - 2214/04/24"/>
          <s v="2214/04/25 - 2214/05/01"/>
          <s v="2214/05/02 - 2214/05/08"/>
          <s v="2214/05/09 - 2214/05/15"/>
          <s v="2214/05/16 - 2214/05/22"/>
          <s v="2214/05/23 - 2214/05/29"/>
          <s v="2214/05/30 - 2214/06/05"/>
          <s v="2214/06/06 - 2214/06/12"/>
          <s v="2214/06/13 - 2214/06/19"/>
          <s v="2214/06/20 - 2214/06/26"/>
          <s v="2214/06/27 - 2214/07/03"/>
          <s v="2214/07/04 - 2214/07/10"/>
          <s v="2214/07/11 - 2214/07/17"/>
          <s v="2214/07/18 - 2214/07/24"/>
          <s v="2214/07/25 - 2214/07/31"/>
          <s v="2214/08/01 - 2214/08/07"/>
          <s v="2214/08/08 - 2214/08/14"/>
          <s v="2214/08/15 - 2214/08/21"/>
          <s v="2214/08/22 - 2214/08/28"/>
          <s v="2214/08/29 - 2214/09/04"/>
          <s v="2214/09/05 - 2214/09/11"/>
          <s v="2214/09/12 - 2214/09/18"/>
          <s v="2214/09/19 - 2214/09/25"/>
          <s v="2214/09/26 - 2214/10/02"/>
          <s v="2214/10/03 - 2214/10/09"/>
          <s v="2214/10/10 - 2214/10/16"/>
          <s v="2214/10/17 - 2214/10/23"/>
          <s v="2214/10/24 - 2214/10/30"/>
          <s v="2214/10/31 - 2214/11/06"/>
          <s v="2214/11/07 - 2214/11/13"/>
          <s v="2214/11/14 - 2214/11/20"/>
          <s v="2214/11/21 - 2214/11/27"/>
          <s v="2214/11/28 - 2214/12/04"/>
          <s v="2214/12/05 - 2214/12/11"/>
          <s v="2214/12/12 - 2214/12/18"/>
          <s v="2214/12/19 - 2214/12/25"/>
          <s v="2214/12/26 - 2215/01/01"/>
          <s v="2215/01/02 - 2215/01/08"/>
          <s v="2215/01/09 - 2215/01/15"/>
          <s v="2215/01/16 - 2215/01/22"/>
          <s v="2215/01/23 - 2215/01/29"/>
          <s v="2215/01/30 - 2215/02/05"/>
          <s v="2215/02/06 - 2215/02/12"/>
          <s v="2215/02/13 - 2215/02/19"/>
          <s v="2215/02/20 - 2215/02/26"/>
          <s v="2215/02/27 - 2215/03/05"/>
          <s v="2215/03/06 - 2215/03/12"/>
          <s v="2215/03/13 - 2215/03/19"/>
          <s v="2215/03/20 - 2215/03/26"/>
          <s v="2215/03/27 - 2215/04/02"/>
          <s v="2215/04/03 - 2215/04/09"/>
          <s v="2215/04/10 - 2215/04/16"/>
          <s v="2215/04/17 - 2215/04/23"/>
          <s v="2215/04/24 - 2215/04/30"/>
          <s v="2215/05/01 - 2215/05/07"/>
          <s v="2215/05/08 - 2215/05/14"/>
          <s v="2215/05/15 - 2215/05/21"/>
          <s v="2215/05/22 - 2215/05/28"/>
          <s v="2215/05/29 - 2215/06/04"/>
          <s v="2215/06/05 - 2215/06/11"/>
          <s v="2215/06/12 - 2215/06/18"/>
          <s v="2215/06/19 - 2215/06/25"/>
          <s v="2215/06/26 - 2215/07/02"/>
          <s v="2215/07/03 - 2215/07/09"/>
          <s v="2215/07/10 - 2215/07/16"/>
          <s v="2215/07/17 - 2215/07/23"/>
          <s v="2215/07/24 - 2215/07/30"/>
          <s v="2215/07/31 - 2215/08/06"/>
          <s v="2215/08/07 - 2215/08/13"/>
          <s v="2215/08/14 - 2215/08/20"/>
          <s v="2215/08/21 - 2215/08/27"/>
          <s v="2215/08/28 - 2215/09/03"/>
          <s v="2215/09/04 - 2215/09/10"/>
          <s v="2215/09/11 - 2215/09/17"/>
          <s v="2215/09/18 - 2215/09/24"/>
          <s v="2215/09/25 - 2215/10/01"/>
          <s v="2215/10/02 - 2215/10/08"/>
          <s v="2215/10/09 - 2215/10/15"/>
          <s v="2215/10/16 - 2215/10/22"/>
          <s v="2215/10/23 - 2215/10/29"/>
          <s v="2215/10/30 - 2215/11/05"/>
          <s v="2215/11/06 - 2215/11/12"/>
          <s v="2215/11/13 - 2215/11/19"/>
          <s v="2215/11/20 - 2215/11/26"/>
          <s v="2215/11/27 - 2215/12/03"/>
          <s v="2215/12/04 - 2215/12/10"/>
          <s v="2215/12/11 - 2215/12/17"/>
          <s v="2215/12/18 - 2215/12/24"/>
          <s v="2215/12/25 - 2215/12/31"/>
          <s v="2216/01/01 - 2216/01/07"/>
          <s v="2216/01/08 - 2216/01/14"/>
          <s v="2216/01/15 - 2216/01/21"/>
          <s v="2216/01/22 - 2216/01/28"/>
          <s v="2216/01/29 - 2216/02/04"/>
          <s v="2216/02/05 - 2216/02/11"/>
          <s v="2216/02/12 - 2216/02/18"/>
          <s v="2216/02/19 - 2216/02/25"/>
          <s v="2216/02/26 - 2216/03/03"/>
          <s v="2216/03/04 - 2216/03/10"/>
          <s v="2216/03/11 - 2216/03/17"/>
          <s v="2216/03/18 - 2216/03/24"/>
          <s v="2216/03/25 - 2216/03/31"/>
          <s v="2216/04/01 - 2216/04/07"/>
          <s v="2216/04/08 - 2216/04/14"/>
          <s v="2216/04/15 - 2216/04/21"/>
          <s v="2216/04/22 - 2216/04/28"/>
          <s v="2216/04/29 - 2216/05/05"/>
          <s v="2216/05/06 - 2216/05/12"/>
          <s v="2216/05/13 - 2216/05/19"/>
          <s v="2216/05/20 - 2216/05/26"/>
          <s v="2216/05/27 - 2216/06/02"/>
          <s v="2216/06/03 - 2216/06/09"/>
          <s v="2216/06/10 - 2216/06/16"/>
          <s v="2216/06/17 - 2216/06/23"/>
          <s v="2216/06/24 - 2216/06/30"/>
          <s v="2216/07/01 - 2216/07/07"/>
          <s v="2216/07/08 - 2216/07/14"/>
          <s v="2216/07/15 - 2216/07/21"/>
          <s v="2216/07/22 - 2216/07/28"/>
          <s v="2216/07/29 - 2216/08/04"/>
          <s v="2216/08/05 - 2216/08/11"/>
          <s v="2216/08/12 - 2216/08/18"/>
          <s v="2216/08/19 - 2216/08/25"/>
          <s v="2216/08/26 - 2216/09/01"/>
          <s v="2216/09/02 - 2216/09/08"/>
          <s v="2216/09/09 - 2216/09/15"/>
          <s v="2216/09/16 - 2216/09/22"/>
          <s v="2216/09/23 - 2216/09/29"/>
          <s v="2216/09/30 - 2216/10/06"/>
          <s v="2216/10/07 - 2216/10/13"/>
          <s v="2216/10/14 - 2216/10/20"/>
          <s v="2216/10/21 - 2216/10/27"/>
          <s v="2216/10/28 - 2216/11/03"/>
          <s v="2216/11/04 - 2216/11/10"/>
          <s v="2216/11/11 - 2216/11/17"/>
          <s v="2216/11/18 - 2216/11/24"/>
          <s v="2216/11/25 - 2216/12/01"/>
          <s v="2216/12/02 - 2216/12/08"/>
          <s v="2216/12/09 - 2216/12/15"/>
          <s v="2216/12/16 - 2216/12/22"/>
          <s v="2216/12/23 - 2216/12/29"/>
          <s v="2216/12/30 - 2217/01/05"/>
          <s v="2217/01/06 - 2217/01/12"/>
          <s v="2217/01/13 - 2217/01/19"/>
          <s v="2217/01/20 - 2217/01/26"/>
          <s v="2217/01/27 - 2217/02/02"/>
          <s v="2217/02/03 - 2217/02/09"/>
          <s v="2217/02/10 - 2217/02/16"/>
          <s v="2217/02/17 - 2217/02/23"/>
          <s v="2217/02/24 - 2217/03/02"/>
          <s v="2217/03/03 - 2217/03/09"/>
          <s v="2217/03/10 - 2217/03/16"/>
          <s v="2217/03/17 - 2217/03/23"/>
          <s v="2217/03/24 - 2217/03/30"/>
          <s v="2217/03/31 - 2217/04/06"/>
          <s v="2217/04/07 - 2217/04/13"/>
          <s v="2217/04/14 - 2217/04/20"/>
          <s v="2217/04/21 - 2217/04/27"/>
          <s v="2217/04/28 - 2217/05/04"/>
          <s v="2217/05/05 - 2217/05/11"/>
          <s v="2217/05/12 - 2217/05/18"/>
          <s v="2217/05/19 - 2217/05/25"/>
          <s v="2217/05/26 - 2217/06/01"/>
          <s v="2217/06/02 - 2217/06/08"/>
          <s v="2217/06/09 - 2217/06/15"/>
          <s v="2217/06/16 - 2217/06/22"/>
          <s v="2217/06/23 - 2217/06/29"/>
          <s v="2217/06/30 - 2217/07/06"/>
          <s v="2217/07/07 - 2217/07/13"/>
          <s v="2217/07/14 - 2217/07/20"/>
          <s v="2217/07/21 - 2217/07/27"/>
          <s v="2217/07/28 - 2217/08/03"/>
          <s v="2217/08/04 - 2217/08/10"/>
          <s v="2217/08/11 - 2217/08/17"/>
          <s v="2217/08/18 - 2217/08/24"/>
          <s v="2217/08/25 - 2217/08/31"/>
          <s v="2217/09/01 - 2217/09/07"/>
          <s v="2217/09/08 - 2217/09/14"/>
          <s v="2217/09/15 - 2217/09/21"/>
          <s v="2217/09/22 - 2217/09/28"/>
          <s v="2217/09/29 - 2217/10/05"/>
          <s v="2217/10/06 - 2217/10/12"/>
          <s v="2217/10/13 - 2217/10/19"/>
          <s v="2217/10/20 - 2217/10/26"/>
          <s v="2217/10/27 - 2217/11/02"/>
          <s v="2217/11/03 - 2217/11/09"/>
          <s v="2217/11/10 - 2217/11/16"/>
          <s v="2217/11/17 - 2217/11/23"/>
          <s v="2217/11/24 - 2217/11/30"/>
          <s v="2217/12/01 - 2217/12/07"/>
          <s v="2217/12/08 - 2217/12/14"/>
          <s v="2217/12/15 - 2217/12/21"/>
          <s v="2217/12/22 - 2217/12/28"/>
          <s v="2217/12/29 - 2218/01/04"/>
          <s v="2218/01/05 - 2218/01/11"/>
          <s v="2218/01/12 - 2218/01/18"/>
          <s v="2218/01/19 - 2218/01/25"/>
          <s v="2218/01/26 - 2218/02/01"/>
          <s v="2218/02/02 - 2218/02/08"/>
          <s v="2218/02/09 - 2218/02/15"/>
          <s v="2218/02/16 - 2218/02/22"/>
          <s v="2218/02/23 - 2218/03/01"/>
          <s v="2218/03/02 - 2218/03/08"/>
          <s v="2218/03/09 - 2218/03/15"/>
          <s v="2218/03/16 - 2218/03/22"/>
          <s v="2218/03/23 - 2218/03/29"/>
          <s v="2218/03/30 - 2218/04/05"/>
          <s v="2218/04/06 - 2218/04/12"/>
          <s v="2218/04/13 - 2218/04/19"/>
          <s v="2218/04/20 - 2218/04/26"/>
          <s v="2218/04/27 - 2218/05/03"/>
          <s v="2218/05/04 - 2218/05/10"/>
          <s v="2218/05/11 - 2218/05/17"/>
          <s v="2218/05/18 - 2218/05/24"/>
          <s v="2218/05/25 - 2218/05/31"/>
          <s v="2218/06/01 - 2218/06/07"/>
          <s v="2218/06/08 - 2218/06/14"/>
          <s v="2218/06/15 - 2218/06/21"/>
          <s v="2218/06/22 - 2218/06/28"/>
          <s v="2218/06/29 - 2218/07/05"/>
          <s v="2218/07/06 - 2218/07/12"/>
          <s v="2218/07/13 - 2218/07/19"/>
          <s v="2218/07/20 - 2218/07/26"/>
          <s v="2218/07/27 - 2218/08/02"/>
          <s v="2218/08/03 - 2218/08/09"/>
          <s v="2218/08/10 - 2218/08/16"/>
          <s v="2218/08/17 - 2218/08/23"/>
          <s v="2218/08/24 - 2218/08/30"/>
          <s v="2218/08/31 - 2218/09/06"/>
          <s v="2218/09/07 - 2218/09/13"/>
          <s v="2218/09/14 - 2218/09/20"/>
          <s v="2218/09/21 - 2218/09/27"/>
          <s v="2218/09/28 - 2218/10/04"/>
          <s v="2218/10/05 - 2218/10/11"/>
          <s v="2218/10/12 - 2218/10/18"/>
          <s v="2218/10/19 - 2218/10/25"/>
          <s v="2218/10/26 - 2218/11/01"/>
          <s v="2218/11/02 - 2218/11/08"/>
          <s v="2218/11/09 - 2218/11/15"/>
          <s v="2218/11/16 - 2218/11/22"/>
          <s v="2218/11/23 - 2218/11/29"/>
          <s v="2218/11/30 - 2218/12/06"/>
          <s v="2218/12/07 - 2218/12/13"/>
          <s v="2218/12/14 - 2218/12/20"/>
          <s v="2218/12/21 - 2218/12/27"/>
          <s v="2218/12/28 - 2219/01/03"/>
          <s v="2219/01/04 - 2219/01/10"/>
          <s v="2219/01/11 - 2219/01/17"/>
          <s v="2219/01/18 - 2219/01/24"/>
          <s v="2219/01/25 - 2219/01/31"/>
          <s v="2219/02/01 - 2219/02/07"/>
          <s v="2219/02/08 - 2219/02/14"/>
          <s v="2219/02/15 - 2219/02/21"/>
          <s v="2219/02/22 - 2219/02/28"/>
          <s v="2219/03/01 - 2219/03/07"/>
          <s v="2219/03/08 - 2219/03/14"/>
          <s v="2219/03/15 - 2219/03/21"/>
          <s v="2219/03/22 - 2219/03/28"/>
          <s v="2219/03/29 - 2219/04/04"/>
          <s v="2219/04/05 - 2219/04/11"/>
          <s v="2219/04/12 - 2219/04/18"/>
          <s v="2219/04/19 - 2219/04/25"/>
          <s v="2219/04/26 - 2219/05/02"/>
          <s v="2219/05/03 - 2219/05/09"/>
          <s v="2219/05/10 - 2219/05/16"/>
          <s v="2219/05/17 - 2219/05/23"/>
          <s v="2219/05/24 - 2219/05/30"/>
          <s v="2219/05/31 - 2219/06/06"/>
          <s v="2219/06/07 - 2219/06/13"/>
          <s v="2219/06/14 - 2219/06/20"/>
          <s v="2219/06/21 - 2219/06/27"/>
          <s v="2219/06/28 - 2219/07/04"/>
          <s v="2219/07/05 - 2219/07/11"/>
          <s v="2219/07/12 - 2219/07/18"/>
          <s v="2219/07/19 - 2219/07/25"/>
          <s v="2219/07/26 - 2219/08/01"/>
          <s v="2219/08/02 - 2219/08/08"/>
          <s v="2219/08/09 - 2219/08/15"/>
          <s v="2219/08/16 - 2219/08/22"/>
          <s v="2219/08/23 - 2219/08/29"/>
          <s v="2219/08/30 - 2219/09/05"/>
          <s v="2219/09/06 - 2219/09/12"/>
          <s v="2219/09/13 - 2219/09/19"/>
          <s v="2219/09/20 - 2219/09/26"/>
          <s v="2219/09/27 - 2219/10/03"/>
          <s v="2219/10/04 - 2219/10/10"/>
          <s v="2219/10/11 - 2219/10/17"/>
          <s v="2219/10/18 - 2219/10/24"/>
          <s v="2219/10/25 - 2219/10/31"/>
          <s v="2219/11/01 - 2219/11/07"/>
          <s v="2219/11/08 - 2219/11/14"/>
          <s v="2219/11/15 - 2219/11/21"/>
          <s v="2219/11/22 - 2219/11/28"/>
          <s v="2219/11/29 - 2219/12/05"/>
          <s v="2219/12/06 - 2219/12/12"/>
          <s v="2219/12/13 - 2219/12/19"/>
          <s v="2219/12/20 - 2219/12/26"/>
          <s v="2219/12/27 - 2220/01/02"/>
          <s v="2220/01/03 - 2220/01/09"/>
          <s v="2220/01/10 - 2220/01/16"/>
          <s v="2220/01/17 - 2220/01/23"/>
          <s v="2220/01/24 - 2220/01/30"/>
          <s v="2220/01/31 - 2220/02/06"/>
          <s v="2220/02/07 - 2220/02/13"/>
          <s v="2220/02/14 - 2220/02/20"/>
          <s v="2220/02/21 - 2220/02/27"/>
          <s v="2220/02/28 - 2220/03/05"/>
          <s v="2220/03/06 - 2220/03/12"/>
          <s v="2220/03/13 - 2220/03/19"/>
          <s v="2220/03/20 - 2220/03/26"/>
          <s v="2220/03/27 - 2220/04/02"/>
          <s v="2220/04/03 - 2220/04/09"/>
          <s v="2220/04/10 - 2220/04/16"/>
          <s v="2220/04/17 - 2220/04/23"/>
          <s v="2220/04/24 - 2220/04/30"/>
          <s v="2220/05/01 - 2220/05/07"/>
          <s v="2220/05/08 - 2220/05/14"/>
          <s v="2220/05/15 - 2220/05/21"/>
          <s v="2220/05/22 - 2220/05/28"/>
          <s v="2220/05/29 - 2220/06/04"/>
          <s v="2220/06/05 - 2220/06/11"/>
          <s v="2220/06/12 - 2220/06/18"/>
          <s v="2220/06/19 - 2220/06/25"/>
          <s v="2220/06/26 - 2220/07/02"/>
          <s v="2220/07/03 - 2220/07/09"/>
          <s v="2220/07/10 - 2220/07/16"/>
          <s v="2220/07/17 - 2220/07/23"/>
          <s v="2220/07/24 - 2220/07/30"/>
          <s v="2220/07/31 - 2220/08/06"/>
          <s v="2220/08/07 - 2220/08/13"/>
          <s v="2220/08/14 - 2220/08/20"/>
          <s v="2220/08/21 - 2220/08/27"/>
          <s v="2220/08/28 - 2220/09/03"/>
          <s v="2220/09/04 - 2220/09/10"/>
          <s v="2220/09/11 - 2220/09/17"/>
          <s v="2220/09/18 - 2220/09/24"/>
          <s v="2220/09/25 - 2220/10/01"/>
          <s v="2220/10/02 - 2220/10/08"/>
          <s v="2220/10/09 - 2220/10/15"/>
          <s v="2220/10/16 - 2220/10/22"/>
          <s v="2220/10/23 - 2220/10/29"/>
          <s v="2220/10/30 - 2220/11/05"/>
          <s v="2220/11/06 - 2220/11/12"/>
          <s v="2220/11/13 - 2220/11/19"/>
          <s v="2220/11/20 - 2220/11/26"/>
          <s v="2220/11/27 - 2220/12/03"/>
          <s v="2220/12/04 - 2220/12/10"/>
          <s v="2220/12/11 - 2220/12/17"/>
          <s v="2220/12/18 - 2220/12/24"/>
          <s v="2220/12/25 - 2220/12/31"/>
          <s v="2221/01/01 - 2221/01/07"/>
          <s v="2221/01/08 - 2221/01/14"/>
          <s v="2221/01/15 - 2221/01/21"/>
          <s v="2221/01/22 - 2221/01/28"/>
          <s v="2221/01/29 - 2221/02/04"/>
          <s v="2221/02/05 - 2221/02/11"/>
          <s v="2221/02/12 - 2221/02/18"/>
          <s v="2221/02/19 - 2221/02/25"/>
          <s v="2221/02/26 - 2221/03/04"/>
          <s v="2221/03/05 - 2221/03/11"/>
          <s v="2221/03/12 - 2221/03/18"/>
          <s v="2221/03/19 - 2221/03/25"/>
          <s v="2221/03/26 - 2221/04/01"/>
          <s v="2221/04/02 - 2221/04/08"/>
          <s v="2221/04/09 - 2221/04/15"/>
          <s v="2221/04/16 - 2221/04/22"/>
          <s v="2221/04/23 - 2221/04/29"/>
          <s v="2221/04/30 - 2221/05/06"/>
          <s v="2221/05/07 - 2221/05/13"/>
          <s v="2221/05/14 - 2221/05/20"/>
          <s v="2221/05/21 - 2221/05/27"/>
          <s v="2221/05/28 - 2221/06/03"/>
          <s v="2221/06/04 - 2221/06/10"/>
          <s v="2221/06/11 - 2221/06/17"/>
          <s v="2221/06/18 - 2221/06/24"/>
          <s v="2221/06/25 - 2221/07/01"/>
          <s v="2221/07/02 - 2221/07/08"/>
          <s v="2221/07/09 - 2221/07/15"/>
          <s v="2221/07/16 - 2221/07/22"/>
          <s v="2221/07/23 - 2221/07/29"/>
          <s v="2221/07/30 - 2221/08/05"/>
          <s v="2221/08/06 - 2221/08/12"/>
          <s v="2221/08/13 - 2221/08/19"/>
          <s v="2221/08/20 - 2221/08/26"/>
          <s v="2221/08/27 - 2221/09/02"/>
          <s v="2221/09/03 - 2221/09/09"/>
          <s v="2221/09/10 - 2221/09/16"/>
          <s v="2221/09/17 - 2221/09/23"/>
          <s v="2221/09/24 - 2221/09/30"/>
          <s v="2221/10/01 - 2221/10/07"/>
          <s v="2221/10/08 - 2221/10/14"/>
          <s v="2221/10/15 - 2221/10/21"/>
          <s v="2221/10/22 - 2221/10/28"/>
          <s v="2221/10/29 - 2221/11/04"/>
          <s v="2221/11/05 - 2221/11/11"/>
          <s v="2221/11/12 - 2221/11/18"/>
          <s v="2221/11/19 - 2221/11/25"/>
          <s v="2221/11/26 - 2221/12/02"/>
          <s v="2221/12/03 - 2221/12/09"/>
          <s v="2221/12/10 - 2221/12/16"/>
          <s v="2221/12/17 - 2221/12/23"/>
          <s v="2221/12/24 - 2221/12/30"/>
          <s v="2221/12/31 - 2222/01/06"/>
          <s v="2222/01/07 - 2222/01/13"/>
          <s v="2222/01/14 - 2222/01/20"/>
          <s v="2222/01/21 - 2222/01/27"/>
          <s v="2222/01/28 - 2222/02/03"/>
          <s v="2222/02/04 - 2222/02/10"/>
          <s v="2222/02/11 - 2222/02/17"/>
          <s v="2222/02/18 - 2222/02/24"/>
          <s v="2222/02/25 - 2222/03/03"/>
          <s v="2222/03/04 - 2222/03/10"/>
          <s v="2222/03/11 - 2222/03/17"/>
          <s v="2222/03/18 - 2222/03/24"/>
          <s v="2222/03/25 - 2222/03/31"/>
          <s v="2222/04/01 - 2222/04/07"/>
          <s v="2222/04/08 - 2222/04/14"/>
          <s v="2222/04/15 - 2222/04/21"/>
          <s v="2222/04/22 - 2222/04/28"/>
          <s v="2222/04/29 - 2222/05/05"/>
          <s v="2222/05/06 - 2222/05/12"/>
          <s v="2222/05/13 - 2222/05/19"/>
          <s v="2222/05/20 - 2222/05/26"/>
          <s v="2222/05/27 - 2222/06/02"/>
          <s v="2222/06/03 - 2222/06/09"/>
          <s v="2222/06/10 - 2222/06/16"/>
          <s v="2222/06/17 - 2222/06/23"/>
          <s v="2222/06/24 - 2222/06/30"/>
          <s v="2222/07/01 - 2222/07/07"/>
          <s v="2222/07/08 - 2222/07/14"/>
          <s v="2222/07/15 - 2222/07/21"/>
          <s v="2222/07/22 - 2222/07/28"/>
          <s v="2222/07/29 - 2222/08/04"/>
          <s v="2222/08/05 - 2222/08/11"/>
          <s v="2222/08/12 - 2222/08/18"/>
          <s v="2222/08/19 - 2222/08/25"/>
          <s v="2222/08/26 - 2222/09/01"/>
          <s v="2222/09/02 - 2222/09/08"/>
          <s v="2222/09/09 - 2222/09/15"/>
          <s v="2222/09/16 - 2222/09/22"/>
          <s v="2222/09/23 - 2222/09/29"/>
          <s v="2222/09/30 - 2222/10/06"/>
          <s v="2222/10/07 - 2222/10/13"/>
          <s v="2222/10/14 - 2222/10/20"/>
          <s v="2222/10/21 - 2222/10/27"/>
          <s v="2222/10/28 - 2222/11/03"/>
          <s v="2222/11/04 - 2222/11/10"/>
          <s v="2222/11/11 - 2222/11/17"/>
          <s v="2222/11/18 - 2222/11/24"/>
          <s v="2222/11/25 - 2222/12/01"/>
          <s v="2222/12/02 - 2222/12/08"/>
          <s v="2222/12/09 - 2222/12/15"/>
          <s v="2222/12/16 - 2222/12/22"/>
          <s v="2222/12/23 - 2222/12/29"/>
          <s v="2222/12/30 - 2223/01/05"/>
          <s v="2223/01/06 - 2223/01/12"/>
          <s v="2223/01/13 - 2223/01/19"/>
          <s v="2223/01/20 - 2223/01/26"/>
          <s v="2223/01/27 - 2223/02/02"/>
          <s v="2223/02/03 - 2223/02/09"/>
          <s v="2223/02/10 - 2223/02/16"/>
          <s v="2223/02/17 - 2223/02/23"/>
          <s v="2223/02/24 - 2223/03/02"/>
          <s v="2223/03/03 - 2223/03/09"/>
          <s v="2223/03/10 - 2223/03/16"/>
          <s v="2223/03/17 - 2223/03/23"/>
          <s v="2223/03/24 - 2223/03/30"/>
          <s v="2223/03/31 - 2223/04/06"/>
          <s v="2223/04/07 - 2223/04/13"/>
          <s v="2223/04/14 - 2223/04/20"/>
          <s v="2223/04/21 - 2223/04/27"/>
          <s v="2223/04/28 - 2223/05/04"/>
          <s v="2223/05/05 - 2223/05/11"/>
          <s v="2223/05/12 - 2223/05/18"/>
          <s v="2223/05/19 - 2223/05/25"/>
          <s v="2223/05/26 - 2223/06/01"/>
          <s v="2223/06/02 - 2223/06/08"/>
          <s v="2223/06/09 - 2223/06/15"/>
          <s v="2223/06/16 - 2223/06/22"/>
          <s v="2223/06/23 - 2223/06/29"/>
          <s v="2223/06/30 - 2223/07/06"/>
          <s v="2223/07/07 - 2223/07/13"/>
          <s v="2223/07/14 - 2223/07/20"/>
          <s v="2223/07/21 - 2223/07/27"/>
          <s v="2223/07/28 - 2223/08/03"/>
          <s v="2223/08/04 - 2223/08/10"/>
          <s v="2223/08/11 - 2223/08/17"/>
          <s v="2223/08/18 - 2223/08/24"/>
          <s v="2223/08/25 - 2223/08/31"/>
          <s v="2223/09/01 - 2223/09/07"/>
          <s v="2223/09/08 - 2223/09/14"/>
          <s v="2223/09/15 - 2223/09/21"/>
          <s v="2223/09/22 - 2223/09/28"/>
          <s v="2223/09/29 - 2223/10/05"/>
          <s v="2223/10/06 - 2223/10/12"/>
          <s v="2223/10/13 - 2223/10/19"/>
          <s v="2223/10/20 - 2223/10/26"/>
          <s v="2223/10/27 - 2223/11/02"/>
          <s v="2223/11/03 - 2223/11/09"/>
          <s v="2223/11/10 - 2223/11/16"/>
          <s v="2223/11/17 - 2223/11/23"/>
          <s v="2223/11/24 - 2223/11/30"/>
          <s v="2223/12/01 - 2223/12/07"/>
          <s v="2223/12/08 - 2223/12/14"/>
          <s v="2223/12/15 - 2223/12/21"/>
          <s v="2223/12/22 - 2223/12/28"/>
          <s v="2223/12/29 - 2224/01/04"/>
          <s v="2224/01/05 - 2224/01/11"/>
          <s v="2224/01/12 - 2224/01/18"/>
          <s v="2224/01/19 - 2224/01/25"/>
          <s v="2224/01/26 - 2224/02/01"/>
          <s v="2224/02/02 - 2224/02/08"/>
          <s v="2224/02/09 - 2224/02/15"/>
          <s v="2224/02/16 - 2224/02/22"/>
          <s v="2224/02/23 - 2224/02/29"/>
          <s v="2224/03/01 - 2224/03/07"/>
          <s v="2224/03/08 - 2224/03/14"/>
          <s v="2224/03/15 - 2224/03/21"/>
          <s v="2224/03/22 - 2224/03/28"/>
          <s v="2224/03/29 - 2224/04/04"/>
          <s v="2224/04/05 - 2224/04/11"/>
          <s v="2224/04/12 - 2224/04/18"/>
          <s v="2224/04/19 - 2224/04/25"/>
          <s v="2224/04/26 - 2224/05/02"/>
          <s v="2224/05/03 - 2224/05/09"/>
          <s v="2224/05/10 - 2224/05/16"/>
          <s v="2224/05/17 - 2224/05/23"/>
          <s v="2224/05/24 - 2224/05/30"/>
          <s v="2224/05/31 - 2224/06/06"/>
          <s v="2224/06/07 - 2224/06/13"/>
          <s v="2224/06/14 - 2224/06/20"/>
          <s v="2224/06/21 - 2224/06/27"/>
          <s v="2224/06/28 - 2224/07/04"/>
          <s v="2224/07/05 - 2224/07/11"/>
          <s v="2224/07/12 - 2224/07/18"/>
          <s v="2224/07/19 - 2224/07/25"/>
          <s v="2224/07/26 - 2224/08/01"/>
          <s v="2224/08/02 - 2224/08/08"/>
          <s v="2224/08/09 - 2224/08/15"/>
          <s v="2224/08/16 - 2224/08/22"/>
          <s v="2224/08/23 - 2224/08/29"/>
          <s v="2224/08/30 - 2224/09/05"/>
          <s v="2224/09/06 - 2224/09/12"/>
          <s v="2224/09/13 - 2224/09/19"/>
          <s v="2224/09/20 - 2224/09/26"/>
          <s v="2224/09/27 - 2224/10/03"/>
          <s v="2224/10/04 - 2224/10/10"/>
          <s v="2224/10/11 - 2224/10/17"/>
          <s v="2224/10/18 - 2224/10/24"/>
          <s v="2224/10/25 - 2224/10/31"/>
          <s v="2224/11/01 - 2224/11/07"/>
          <s v="2224/11/08 - 2224/11/14"/>
          <s v="2224/11/15 - 2224/11/21"/>
          <s v="2224/11/22 - 2224/11/28"/>
          <s v="2224/11/29 - 2224/12/05"/>
          <s v="2224/12/06 - 2224/12/12"/>
          <s v="2224/12/13 - 2224/12/19"/>
          <s v="2224/12/20 - 2224/12/26"/>
          <s v="2224/12/27 - 2225/01/02"/>
          <s v="2225/01/03 - 2225/01/09"/>
          <s v="2225/01/10 - 2225/01/16"/>
          <s v="2225/01/17 - 2225/01/23"/>
          <s v="2225/01/24 - 2225/01/30"/>
          <s v="2225/01/31 - 2225/02/06"/>
          <s v="2225/02/07 - 2225/02/13"/>
          <s v="2225/02/14 - 2225/02/20"/>
          <s v="2225/02/21 - 2225/02/27"/>
          <s v="2225/02/28 - 2225/03/06"/>
          <s v="2225/03/07 - 2225/03/13"/>
          <s v="2225/03/14 - 2225/03/20"/>
          <s v="2225/03/21 - 2225/03/27"/>
          <s v="2225/03/28 - 2225/04/03"/>
          <s v="2225/04/04 - 2225/04/10"/>
          <s v="2225/04/11 - 2225/04/17"/>
          <s v="2225/04/18 - 2225/04/24"/>
          <s v="2225/04/25 - 2225/05/01"/>
          <s v="2225/05/02 - 2225/05/08"/>
          <s v="2225/05/09 - 2225/05/15"/>
          <s v="2225/05/16 - 2225/05/22"/>
          <s v="2225/05/23 - 2225/05/29"/>
          <s v="2225/05/30 - 2225/06/05"/>
          <s v="2225/06/06 - 2225/06/12"/>
          <s v="2225/06/13 - 2225/06/19"/>
          <s v="2225/06/20 - 2225/06/26"/>
          <s v="2225/06/27 - 2225/07/03"/>
          <s v="2225/07/04 - 2225/07/10"/>
          <s v="2225/07/11 - 2225/07/17"/>
          <s v="2225/07/18 - 2225/07/24"/>
          <s v="2225/07/25 - 2225/07/31"/>
          <s v="2225/08/01 - 2225/08/07"/>
          <s v="2225/08/08 - 2225/08/14"/>
          <s v="2225/08/15 - 2225/08/21"/>
          <s v="2225/08/22 - 2225/08/28"/>
          <s v="2225/08/29 - 2225/09/04"/>
          <s v="2225/09/05 - 2225/09/11"/>
          <s v="2225/09/12 - 2225/09/18"/>
          <s v="2225/09/19 - 2225/09/25"/>
          <s v="2225/09/26 - 2225/10/02"/>
          <s v="2225/10/03 - 2225/10/09"/>
          <s v="2225/10/10 - 2225/10/16"/>
          <s v="2225/10/17 - 2225/10/23"/>
          <s v="2225/10/24 - 2225/10/30"/>
          <s v="2225/10/31 - 2225/11/06"/>
          <s v="2225/11/07 - 2225/11/13"/>
          <s v="2225/11/14 - 2225/11/20"/>
          <s v="2225/11/21 - 2225/11/27"/>
          <s v="2225/11/28 - 2225/12/04"/>
          <s v="2225/12/05 - 2225/12/11"/>
          <s v="2225/12/12 - 2225/12/18"/>
          <s v="2225/12/19 - 2225/12/25"/>
          <s v="2225/12/26 - 2226/01/01"/>
          <s v="2226/01/02 - 2226/01/08"/>
          <s v="2226/01/09 - 2226/01/15"/>
          <s v="2226/01/16 - 2226/01/22"/>
          <s v="2226/01/23 - 2226/01/29"/>
          <s v="2226/01/30 - 2226/02/05"/>
          <s v="2226/02/06 - 2226/02/12"/>
          <s v="2226/02/13 - 2226/02/19"/>
          <s v="2226/02/20 - 2226/02/26"/>
          <s v="2226/02/27 - 2226/03/05"/>
          <s v="2226/03/06 - 2226/03/12"/>
          <s v="2226/03/13 - 2226/03/19"/>
          <s v="2226/03/20 - 2226/03/26"/>
          <s v="2226/03/27 - 2226/04/02"/>
          <s v="2226/04/03 - 2226/04/09"/>
          <s v="2226/04/10 - 2226/04/16"/>
          <s v="2226/04/17 - 2226/04/23"/>
          <s v="2226/04/24 - 2226/04/30"/>
          <s v="2226/05/01 - 2226/05/07"/>
          <s v="2226/05/08 - 2226/05/14"/>
          <s v="2226/05/15 - 2226/05/21"/>
          <s v="2226/05/22 - 2226/05/28"/>
          <s v="2226/05/29 - 2226/06/04"/>
          <s v="2226/06/05 - 2226/06/11"/>
          <s v="2226/06/12 - 2226/06/18"/>
          <s v="2226/06/19 - 2226/06/25"/>
          <s v="2226/06/26 - 2226/07/02"/>
          <s v="2226/07/03 - 2226/07/09"/>
          <s v="2226/07/10 - 2226/07/16"/>
          <s v="2226/07/17 - 2226/07/23"/>
          <s v="2226/07/24 - 2226/07/30"/>
          <s v="2226/07/31 - 2226/08/06"/>
          <s v="2226/08/07 - 2226/08/13"/>
          <s v="2226/08/14 - 2226/08/20"/>
          <s v="2226/08/21 - 2226/08/27"/>
          <s v="2226/08/28 - 2226/09/03"/>
          <s v="2226/09/04 - 2226/09/10"/>
          <s v="2226/09/11 - 2226/09/17"/>
          <s v="2226/09/18 - 2226/09/24"/>
          <s v="2226/09/25 - 2226/10/01"/>
          <s v="2226/10/02 - 2226/10/08"/>
          <s v="2226/10/09 - 2226/10/15"/>
          <s v="2226/10/16 - 2226/10/22"/>
          <s v="2226/10/23 - 2226/10/29"/>
          <s v="2226/10/30 - 2226/11/05"/>
          <s v="2226/11/06 - 2226/11/12"/>
          <s v="2226/11/13 - 2226/11/19"/>
          <s v="2226/11/20 - 2226/11/26"/>
          <s v="2226/11/27 - 2226/12/03"/>
          <s v="2226/12/04 - 2226/12/10"/>
          <s v="2226/12/11 - 2226/12/17"/>
          <s v="2226/12/18 - 2226/12/24"/>
          <s v="2226/12/25 - 2226/12/31"/>
          <s v="2227/01/01 - 2227/01/07"/>
          <s v="2227/01/08 - 2227/01/14"/>
          <s v="2227/01/15 - 2227/01/21"/>
          <s v="2227/01/22 - 2227/01/28"/>
          <s v="2227/01/29 - 2227/02/04"/>
          <s v="2227/02/05 - 2227/02/11"/>
          <s v="2227/02/12 - 2227/02/18"/>
          <s v="2227/02/19 - 2227/02/25"/>
          <s v="2227/02/26 - 2227/03/04"/>
          <s v="2227/03/05 - 2227/03/11"/>
          <s v="2227/03/12 - 2227/03/18"/>
          <s v="2227/03/19 - 2227/03/25"/>
          <s v="2227/03/26 - 2227/04/01"/>
          <s v="2227/04/02 - 2227/04/08"/>
          <s v="2227/04/09 - 2227/04/15"/>
          <s v="2227/04/16 - 2227/04/22"/>
          <s v="2227/04/23 - 2227/04/29"/>
          <s v="2227/04/30 - 2227/05/06"/>
          <s v="2227/05/07 - 2227/05/13"/>
          <s v="2227/05/14 - 2227/05/20"/>
          <s v="2227/05/21 - 2227/05/27"/>
          <s v="2227/05/28 - 2227/06/03"/>
          <s v="2227/06/04 - 2227/06/10"/>
          <s v="2227/06/11 - 2227/06/17"/>
          <s v="2227/06/18 - 2227/06/24"/>
          <s v="2227/06/25 - 2227/07/01"/>
          <s v="2227/07/02 - 2227/07/08"/>
          <s v="2227/07/09 - 2227/07/15"/>
          <s v="2227/07/16 - 2227/07/22"/>
          <s v="2227/07/23 - 2227/07/29"/>
          <s v="2227/07/30 - 2227/08/05"/>
          <s v="2227/08/06 - 2227/08/12"/>
          <s v="2227/08/13 - 2227/08/19"/>
          <s v="2227/08/20 - 2227/08/26"/>
          <s v="2227/08/27 - 2227/09/02"/>
          <s v="2227/09/03 - 2227/09/09"/>
          <s v="2227/09/10 - 2227/09/16"/>
          <s v="2227/09/17 - 2227/09/23"/>
          <s v="2227/09/24 - 2227/09/30"/>
          <s v="2227/10/01 - 2227/10/07"/>
          <s v="2227/10/08 - 2227/10/14"/>
          <s v="2227/10/15 - 2227/10/21"/>
          <s v="2227/10/22 - 2227/10/28"/>
          <s v="2227/10/29 - 2227/11/04"/>
          <s v="2227/11/05 - 2227/11/11"/>
          <s v="2227/11/12 - 2227/11/18"/>
          <s v="2227/11/19 - 2227/11/25"/>
          <s v="2227/11/26 - 2227/12/02"/>
          <s v="2227/12/03 - 2227/12/09"/>
          <s v="2227/12/10 - 2227/12/16"/>
          <s v="2227/12/17 - 2227/12/23"/>
          <s v="2227/12/24 - 2227/12/30"/>
          <s v="2227/12/31 - 2228/01/06"/>
          <s v="2228/01/07 - 2228/01/13"/>
          <s v="2228/01/14 - 2228/01/20"/>
          <s v="2228/01/21 - 2228/01/27"/>
          <s v="2228/01/28 - 2228/02/03"/>
          <s v="2228/02/04 - 2228/02/10"/>
          <s v="2228/02/11 - 2228/02/17"/>
          <s v="2228/02/18 - 2228/02/24"/>
          <s v="2228/02/25 - 2228/03/02"/>
          <s v="2228/03/03 - 2228/03/09"/>
          <s v="2228/03/10 - 2228/03/16"/>
          <s v="2228/03/17 - 2228/03/23"/>
          <s v="2228/03/24 - 2228/03/30"/>
          <s v="2228/03/31 - 2228/04/06"/>
          <s v="2228/04/07 - 2228/04/13"/>
          <s v="2228/04/14 - 2228/04/20"/>
          <s v="2228/04/21 - 2228/04/27"/>
          <s v="2228/04/28 - 2228/05/04"/>
          <s v="2228/05/05 - 2228/05/11"/>
          <s v="2228/05/12 - 2228/05/18"/>
          <s v="2228/05/19 - 2228/05/25"/>
          <s v="2228/05/26 - 2228/06/01"/>
          <s v="2228/06/02 - 2228/06/08"/>
          <s v="2228/06/09 - 2228/06/15"/>
          <s v="2228/06/16 - 2228/06/22"/>
          <s v="2228/06/23 - 2228/06/29"/>
          <s v="2228/06/30 - 2228/07/06"/>
          <s v="2228/07/07 - 2228/07/13"/>
          <s v="2228/07/14 - 2228/07/20"/>
          <s v="2228/07/21 - 2228/07/27"/>
          <s v="2228/07/28 - 2228/08/03"/>
          <s v="2228/08/04 - 2228/08/10"/>
          <s v="2228/08/11 - 2228/08/17"/>
          <s v="2228/08/18 - 2228/08/24"/>
          <s v="2228/08/25 - 2228/08/31"/>
          <s v="2228/09/01 - 2228/09/07"/>
          <s v="2228/09/08 - 2228/09/14"/>
          <s v="2228/09/15 - 2228/09/21"/>
          <s v="2228/09/22 - 2228/09/28"/>
          <s v="2228/09/29 - 2228/10/05"/>
          <s v="2228/10/06 - 2228/10/12"/>
          <s v="2228/10/13 - 2228/10/19"/>
          <s v="2228/10/20 - 2228/10/26"/>
          <s v="2228/10/27 - 2228/11/02"/>
          <s v="2228/11/03 - 2228/11/09"/>
          <s v="2228/11/10 - 2228/11/16"/>
          <s v="2228/11/17 - 2228/11/23"/>
          <s v="2228/11/24 - 2228/11/30"/>
          <s v="2228/12/01 - 2228/12/07"/>
          <s v="2228/12/08 - 2228/12/14"/>
          <s v="2228/12/15 - 2228/12/21"/>
          <s v="2228/12/22 - 2228/12/28"/>
          <s v="2228/12/29 - 2229/01/04"/>
          <s v="2229/01/05 - 2229/01/11"/>
          <s v="2229/01/12 - 2229/01/18"/>
          <s v="2229/01/19 - 2229/01/25"/>
          <s v="2229/01/26 - 2229/02/01"/>
          <s v="2229/02/02 - 2229/02/08"/>
          <s v="2229/02/09 - 2229/02/15"/>
          <s v="2229/02/16 - 2229/02/22"/>
          <s v="2229/02/23 - 2229/03/01"/>
          <s v="2229/03/02 - 2229/03/08"/>
          <s v="2229/03/09 - 2229/03/15"/>
          <s v="2229/03/16 - 2229/03/22"/>
          <s v="2229/03/23 - 2229/03/29"/>
          <s v="2229/03/30 - 2229/04/05"/>
          <s v="2229/04/06 - 2229/04/12"/>
          <s v="2229/04/13 - 2229/04/19"/>
          <s v="2229/04/20 - 2229/04/26"/>
          <s v="2229/04/27 - 2229/05/03"/>
          <s v="2229/05/04 - 2229/05/10"/>
          <s v="2229/05/11 - 2229/05/17"/>
          <s v="2229/05/18 - 2229/05/24"/>
          <s v="2229/05/25 - 2229/05/31"/>
          <s v="2229/06/01 - 2229/06/07"/>
          <s v="2229/06/08 - 2229/06/14"/>
          <s v="2229/06/15 - 2229/06/21"/>
          <s v="2229/06/22 - 2229/06/28"/>
          <s v="2229/06/29 - 2229/07/05"/>
          <s v="2229/07/06 - 2229/07/12"/>
          <s v="2229/07/13 - 2229/07/19"/>
          <s v="2229/07/20 - 2229/07/26"/>
          <s v="2229/07/27 - 2229/08/02"/>
          <s v="2229/08/03 - 2229/08/09"/>
          <s v="2229/08/10 - 2229/08/16"/>
          <s v="2229/08/17 - 2229/08/23"/>
          <s v="2229/08/24 - 2229/08/30"/>
          <s v="2229/08/31 - 2229/09/06"/>
          <s v="2229/09/07 - 2229/09/13"/>
          <s v="2229/09/14 - 2229/09/20"/>
          <s v="2229/09/21 - 2229/09/27"/>
          <s v="2229/09/28 - 2229/10/04"/>
          <s v="2229/10/05 - 2229/10/11"/>
          <s v="2229/10/12 - 2229/10/18"/>
          <s v="2229/10/19 - 2229/10/25"/>
          <s v="2229/10/26 - 2229/11/01"/>
          <s v="2229/11/02 - 2229/11/08"/>
          <s v="2229/11/09 - 2229/11/15"/>
          <s v="2229/11/16 - 2229/11/22"/>
          <s v="2229/11/23 - 2229/11/29"/>
          <s v="2229/11/30 - 2229/12/06"/>
          <s v="2229/12/07 - 2229/12/13"/>
          <s v="2229/12/14 - 2229/12/20"/>
          <s v="2229/12/21 - 2229/12/27"/>
          <s v="2229/12/28 - 2230/01/03"/>
          <s v="2230/01/04 - 2230/01/10"/>
          <s v="2230/01/11 - 2230/01/17"/>
          <s v="2230/01/18 - 2230/01/24"/>
          <s v="2230/01/25 - 2230/01/31"/>
          <s v="2230/02/01 - 2230/02/07"/>
          <s v="2230/02/08 - 2230/02/14"/>
          <s v="2230/02/15 - 2230/02/21"/>
          <s v="2230/02/22 - 2230/02/28"/>
          <s v="2230/03/01 - 2230/03/07"/>
          <s v="2230/03/08 - 2230/03/14"/>
          <s v="2230/03/15 - 2230/03/21"/>
          <s v="2230/03/22 - 2230/03/28"/>
          <s v="2230/03/29 - 2230/04/04"/>
          <s v="2230/04/05 - 2230/04/11"/>
          <s v="2230/04/12 - 2230/04/18"/>
          <s v="2230/04/19 - 2230/04/25"/>
          <s v="2230/04/26 - 2230/05/02"/>
          <s v="2230/05/03 - 2230/05/09"/>
          <s v="2230/05/10 - 2230/05/16"/>
          <s v="2230/05/17 - 2230/05/23"/>
          <s v="2230/05/24 - 2230/05/30"/>
          <s v="2230/05/31 - 2230/06/06"/>
          <s v="2230/06/07 - 2230/06/13"/>
          <s v="2230/06/14 - 2230/06/20"/>
          <s v="2230/06/21 - 2230/06/27"/>
          <s v="2230/06/28 - 2230/07/04"/>
          <s v="2230/07/05 - 2230/07/11"/>
          <s v="2230/07/12 - 2230/07/18"/>
          <s v="2230/07/19 - 2230/07/25"/>
          <s v="2230/07/26 - 2230/08/01"/>
          <s v="2230/08/02 - 2230/08/08"/>
          <s v="2230/08/09 - 2230/08/15"/>
          <s v="2230/08/16 - 2230/08/22"/>
          <s v="2230/08/23 - 2230/08/29"/>
          <s v="2230/08/30 - 2230/09/05"/>
          <s v="2230/09/06 - 2230/09/12"/>
          <s v="2230/09/13 - 2230/09/19"/>
          <s v="2230/09/20 - 2230/09/26"/>
          <s v="2230/09/27 - 2230/10/03"/>
          <s v="2230/10/04 - 2230/10/10"/>
          <s v="2230/10/11 - 2230/10/17"/>
          <s v="2230/10/18 - 2230/10/24"/>
          <s v="2230/10/25 - 2230/10/31"/>
          <s v="2230/11/01 - 2230/11/07"/>
          <s v="2230/11/08 - 2230/11/14"/>
          <s v="2230/11/15 - 2230/11/21"/>
          <s v="2230/11/22 - 2230/11/28"/>
          <s v="2230/11/29 - 2230/12/05"/>
          <s v="2230/12/06 - 2230/12/12"/>
          <s v="2230/12/13 - 2230/12/19"/>
          <s v="2230/12/20 - 2230/12/26"/>
          <s v="2230/12/27 - 2231/01/02"/>
          <s v="2231/01/03 - 2231/01/09"/>
          <s v="2231/01/10 - 2231/01/16"/>
          <s v="2231/01/17 - 2231/01/23"/>
          <s v="2231/01/24 - 2231/01/30"/>
          <s v="2231/01/31 - 2231/02/06"/>
          <s v="2231/02/07 - 2231/02/13"/>
          <s v="2231/02/14 - 2231/02/20"/>
          <s v="2231/02/21 - 2231/02/27"/>
          <s v="2231/02/28 - 2231/03/06"/>
          <s v="2231/03/07 - 2231/03/13"/>
          <s v="2231/03/14 - 2231/03/20"/>
          <s v="2231/03/21 - 2231/03/27"/>
          <s v="2231/03/28 - 2231/04/03"/>
          <s v="2231/04/04 - 2231/04/10"/>
          <s v="2231/04/11 - 2231/04/17"/>
          <s v="2231/04/18 - 2231/04/24"/>
          <s v="2231/04/25 - 2231/05/01"/>
          <s v="2231/05/02 - 2231/05/08"/>
          <s v="2231/05/09 - 2231/05/15"/>
          <s v="2231/05/16 - 2231/05/22"/>
          <s v="2231/05/23 - 2231/05/29"/>
          <s v="2231/05/30 - 2231/06/05"/>
          <s v="2231/06/06 - 2231/06/12"/>
          <s v="2231/06/13 - 2231/06/19"/>
          <s v="2231/06/20 - 2231/06/26"/>
          <s v="2231/06/27 - 2231/07/03"/>
          <s v="2231/07/04 - 2231/07/10"/>
          <s v="2231/07/11 - 2231/07/17"/>
          <s v="2231/07/18 - 2231/07/24"/>
          <s v="2231/07/25 - 2231/07/31"/>
          <s v="2231/08/01 - 2231/08/07"/>
          <s v="2231/08/08 - 2231/08/14"/>
          <s v="2231/08/15 - 2231/08/21"/>
          <s v="2231/08/22 - 2231/08/28"/>
          <s v="2231/08/29 - 2231/09/04"/>
          <s v="2231/09/05 - 2231/09/11"/>
          <s v="2231/09/12 - 2231/09/18"/>
          <s v="2231/09/19 - 2231/09/25"/>
          <s v="2231/09/26 - 2231/10/02"/>
          <s v="2231/10/03 - 2231/10/09"/>
          <s v="2231/10/10 - 2231/10/16"/>
          <s v="2231/10/17 - 2231/10/23"/>
          <s v="2231/10/24 - 2231/10/30"/>
          <s v="2231/10/31 - 2231/11/06"/>
          <s v="2231/11/07 - 2231/11/13"/>
          <s v="2231/11/14 - 2231/11/20"/>
          <s v="2231/11/21 - 2231/11/27"/>
          <s v="2231/11/28 - 2231/12/04"/>
          <s v="2231/12/05 - 2231/12/11"/>
          <s v="2231/12/12 - 2231/12/18"/>
          <s v="2231/12/19 - 2231/12/25"/>
          <s v="2231/12/26 - 2232/01/01"/>
          <s v="2232/01/02 - 2232/01/08"/>
          <s v="2232/01/09 - 2232/01/15"/>
          <s v="2232/01/16 - 2232/01/22"/>
          <s v="2232/01/23 - 2232/01/29"/>
          <s v="2232/01/30 - 2232/02/05"/>
          <s v="2232/02/06 - 2232/02/12"/>
          <s v="2232/02/13 - 2232/02/19"/>
          <s v="2232/02/20 - 2232/02/26"/>
          <s v="2232/02/27 - 2232/03/04"/>
          <s v="2232/03/05 - 2232/03/11"/>
          <s v="2232/03/12 - 2232/03/18"/>
          <s v="2232/03/19 - 2232/03/25"/>
          <s v="2232/03/26 - 2232/04/01"/>
          <s v="2232/04/02 - 2232/04/08"/>
          <s v="2232/04/09 - 2232/04/15"/>
          <s v="2232/04/16 - 2232/04/22"/>
          <s v="2232/04/23 - 2232/04/29"/>
          <s v="2232/04/30 - 2232/05/06"/>
          <s v="2232/05/07 - 2232/05/13"/>
          <s v="2232/05/14 - 2232/05/20"/>
          <s v="2232/05/21 - 2232/05/27"/>
          <s v="2232/05/28 - 2232/06/03"/>
          <s v="2232/06/04 - 2232/06/10"/>
          <s v="2232/06/11 - 2232/06/17"/>
          <s v="2232/06/18 - 2232/06/24"/>
          <s v="2232/06/25 - 2232/07/01"/>
          <s v="2232/07/02 - 2232/07/08"/>
          <s v="2232/07/09 - 2232/07/15"/>
          <s v="2232/07/16 - 2232/07/22"/>
          <s v="2232/07/23 - 2232/07/29"/>
          <s v="2232/07/30 - 2232/08/05"/>
          <s v="2232/08/06 - 2232/08/12"/>
          <s v="2232/08/13 - 2232/08/19"/>
          <s v="2232/08/20 - 2232/08/26"/>
          <s v="2232/08/27 - 2232/09/02"/>
          <s v="2232/09/03 - 2232/09/09"/>
          <s v="2232/09/10 - 2232/09/16"/>
          <s v="2232/09/17 - 2232/09/23"/>
          <s v="2232/09/24 - 2232/09/30"/>
          <s v="2232/10/01 - 2232/10/07"/>
          <s v="2232/10/08 - 2232/10/14"/>
          <s v="2232/10/15 - 2232/10/21"/>
          <s v="2232/10/22 - 2232/10/28"/>
          <s v="2232/10/29 - 2232/11/04"/>
          <s v="2232/11/05 - 2232/11/11"/>
          <s v="2232/11/12 - 2232/11/18"/>
          <s v="2232/11/19 - 2232/11/25"/>
          <s v="2232/11/26 - 2232/12/02"/>
          <s v="2232/12/03 - 2232/12/09"/>
          <s v="2232/12/10 - 2232/12/16"/>
          <s v="2232/12/17 - 2232/12/23"/>
          <s v="2232/12/24 - 2232/12/30"/>
          <s v="2232/12/31 - 2233/01/06"/>
          <s v="2233/01/07 - 2233/01/13"/>
          <s v="2233/01/14 - 2233/01/20"/>
          <s v="2233/01/21 - 2233/01/27"/>
          <s v="2233/01/28 - 2233/02/03"/>
          <s v="2233/02/04 - 2233/02/10"/>
          <s v="2233/02/11 - 2233/02/17"/>
          <s v="2233/02/18 - 2233/02/24"/>
          <s v="2233/02/25 - 2233/03/03"/>
          <s v="2233/03/04 - 2233/03/10"/>
          <s v="2233/03/11 - 2233/03/17"/>
          <s v="2233/03/18 - 2233/03/24"/>
          <s v="2233/03/25 - 2233/03/31"/>
          <s v="2233/04/01 - 2233/04/07"/>
          <s v="2233/04/08 - 2233/04/14"/>
          <s v="2233/04/15 - 2233/04/21"/>
          <s v="2233/04/22 - 2233/04/28"/>
          <s v="2233/04/29 - 2233/05/05"/>
          <s v="2233/05/06 - 2233/05/12"/>
          <s v="2233/05/13 - 2233/05/19"/>
          <s v="2233/05/20 - 2233/05/26"/>
          <s v="2233/05/27 - 2233/06/02"/>
          <s v="2233/06/03 - 2233/06/09"/>
          <s v="2233/06/10 - 2233/06/16"/>
          <s v="2233/06/17 - 2233/06/23"/>
          <s v="2233/06/24 - 2233/06/30"/>
          <s v="2233/07/01 - 2233/07/07"/>
          <s v="2233/07/08 - 2233/07/14"/>
          <s v="2233/07/15 - 2233/07/21"/>
          <s v="2233/07/22 - 2233/07/28"/>
          <s v="2233/07/29 - 2233/08/04"/>
          <s v="2233/08/05 - 2233/08/11"/>
          <s v="2233/08/12 - 2233/08/18"/>
          <s v="2233/08/19 - 2233/08/25"/>
          <s v="2233/08/26 - 2233/09/01"/>
          <s v="2233/09/02 - 2233/09/08"/>
          <s v="2233/09/09 - 2233/09/15"/>
          <s v="2233/09/16 - 2233/09/22"/>
          <s v="2233/09/23 - 2233/09/29"/>
          <s v="2233/09/30 - 2233/10/06"/>
          <s v="2233/10/07 - 2233/10/13"/>
          <s v="2233/10/14 - 2233/10/20"/>
          <s v="2233/10/21 - 2233/10/27"/>
          <s v="2233/10/28 - 2233/11/03"/>
          <s v="2233/11/04 - 2233/11/10"/>
          <s v="2233/11/11 - 2233/11/17"/>
          <s v="2233/11/18 - 2233/11/24"/>
          <s v="2233/11/25 - 2233/12/01"/>
          <s v="2233/12/02 - 2233/12/08"/>
          <s v="2233/12/09 - 2233/12/15"/>
          <s v="2233/12/16 - 2233/12/22"/>
          <s v="2233/12/23 - 2233/12/29"/>
          <s v="2233/12/30 - 2234/01/05"/>
          <s v="2234/01/06 - 2234/01/12"/>
          <s v="2234/01/13 - 2234/01/19"/>
          <s v="2234/01/20 - 2234/01/26"/>
          <s v="2234/01/27 - 2234/02/02"/>
          <s v="2234/02/03 - 2234/02/09"/>
          <s v="2234/02/10 - 2234/02/16"/>
          <s v="2234/02/17 - 2234/02/23"/>
          <s v="2234/02/24 - 2234/03/02"/>
          <s v="2234/03/03 - 2234/03/09"/>
          <s v="2234/03/10 - 2234/03/16"/>
          <s v="2234/03/17 - 2234/03/23"/>
          <s v="2234/03/24 - 2234/03/30"/>
          <s v="2234/03/31 - 2234/04/06"/>
          <s v="2234/04/07 - 2234/04/13"/>
          <s v="2234/04/14 - 2234/04/20"/>
          <s v="2234/04/21 - 2234/04/27"/>
          <s v="2234/04/28 - 2234/05/04"/>
          <s v="2234/05/05 - 2234/05/11"/>
          <s v="2234/05/12 - 2234/05/18"/>
          <s v="2234/05/19 - 2234/05/25"/>
          <s v="2234/05/26 - 2234/06/01"/>
          <s v="2234/06/02 - 2234/06/08"/>
          <s v="2234/06/09 - 2234/06/15"/>
          <s v="2234/06/16 - 2234/06/22"/>
          <s v="2234/06/23 - 2234/06/29"/>
          <s v="2234/06/30 - 2234/07/06"/>
          <s v="2234/07/07 - 2234/07/13"/>
          <s v="2234/07/14 - 2234/07/20"/>
          <s v="2234/07/21 - 2234/07/27"/>
          <s v="2234/07/28 - 2234/08/03"/>
          <s v="2234/08/04 - 2234/08/10"/>
          <s v="2234/08/11 - 2234/08/17"/>
          <s v="2234/08/18 - 2234/08/24"/>
          <s v="2234/08/25 - 2234/08/31"/>
          <s v="2234/09/01 - 2234/09/07"/>
          <s v="2234/09/08 - 2234/09/14"/>
          <s v="2234/09/15 - 2234/09/21"/>
          <s v="2234/09/22 - 2234/09/28"/>
          <s v="2234/09/29 - 2234/10/05"/>
          <s v="2234/10/06 - 2234/10/12"/>
          <s v="2234/10/13 - 2234/10/19"/>
          <s v="2234/10/20 - 2234/10/26"/>
          <s v="2234/10/27 - 2234/11/02"/>
          <s v="2234/11/03 - 2234/11/09"/>
          <s v="2234/11/10 - 2234/11/16"/>
          <s v="2234/11/17 - 2234/11/23"/>
          <s v="2234/11/24 - 2234/11/30"/>
          <s v="2234/12/01 - 2234/12/07"/>
          <s v="2234/12/08 - 2234/12/14"/>
          <s v="2234/12/15 - 2234/12/21"/>
          <s v="2234/12/22 - 2234/12/28"/>
          <s v="2234/12/29 - 2235/01/04"/>
          <s v="2235/01/05 - 2235/01/11"/>
          <s v="2235/01/12 - 2235/01/18"/>
          <s v="2235/01/19 - 2235/01/25"/>
          <s v="2235/01/26 - 2235/02/01"/>
          <s v="2235/02/02 - 2235/02/08"/>
          <s v="2235/02/09 - 2235/02/15"/>
          <s v="2235/02/16 - 2235/02/22"/>
          <s v="2235/02/23 - 2235/03/01"/>
          <s v="2235/03/02 - 2235/03/08"/>
          <s v="2235/03/09 - 2235/03/15"/>
          <s v="2235/03/16 - 2235/03/22"/>
          <s v="2235/03/23 - 2235/03/29"/>
          <s v="2235/03/30 - 2235/04/05"/>
          <s v="2235/04/06 - 2235/04/12"/>
          <s v="2235/04/13 - 2235/04/19"/>
          <s v="2235/04/20 - 2235/04/26"/>
          <s v="2235/04/27 - 2235/05/03"/>
          <s v="2235/05/04 - 2235/05/10"/>
          <s v="2235/05/11 - 2235/05/17"/>
          <s v="2235/05/18 - 2235/05/24"/>
          <s v="2235/05/25 - 2235/05/31"/>
          <s v="2235/06/01 - 2235/06/07"/>
          <s v="2235/06/08 - 2235/06/14"/>
          <s v="2235/06/15 - 2235/06/21"/>
          <s v="2235/06/22 - 2235/06/28"/>
          <s v="2235/06/29 - 2235/07/05"/>
          <s v="2235/07/06 - 2235/07/12"/>
          <s v="2235/07/13 - 2235/07/19"/>
          <s v="2235/07/20 - 2235/07/26"/>
          <s v="2235/07/27 - 2235/08/02"/>
          <s v="2235/08/03 - 2235/08/09"/>
          <s v="2235/08/10 - 2235/08/16"/>
          <s v="2235/08/17 - 2235/08/23"/>
          <s v="2235/08/24 - 2235/08/30"/>
          <s v="2235/08/31 - 2235/09/06"/>
          <s v="2235/09/07 - 2235/09/13"/>
          <s v="2235/09/14 - 2235/09/20"/>
          <s v="2235/09/21 - 2235/09/27"/>
          <s v="2235/09/28 - 2235/10/04"/>
          <s v="2235/10/05 - 2235/10/11"/>
          <s v="2235/10/12 - 2235/10/18"/>
          <s v="2235/10/19 - 2235/10/25"/>
          <s v="2235/10/26 - 2235/11/01"/>
          <s v="2235/11/02 - 2235/11/08"/>
          <s v="2235/11/09 - 2235/11/15"/>
          <s v="2235/11/16 - 2235/11/22"/>
          <s v="2235/11/23 - 2235/11/29"/>
          <s v="2235/11/30 - 2235/12/06"/>
          <s v="2235/12/07 - 2235/12/13"/>
          <s v="2235/12/14 - 2235/12/20"/>
          <s v="2235/12/21 - 2235/12/27"/>
          <s v="2235/12/28 - 2236/01/03"/>
          <s v="2236/01/04 - 2236/01/10"/>
          <s v="2236/01/11 - 2236/01/17"/>
          <s v="2236/01/18 - 2236/01/24"/>
          <s v="2236/01/25 - 2236/01/31"/>
          <s v="2236/02/01 - 2236/02/07"/>
          <s v="2236/02/08 - 2236/02/14"/>
          <s v="2236/02/15 - 2236/02/21"/>
          <s v="2236/02/22 - 2236/02/28"/>
          <s v="2236/02/29 - 2236/03/06"/>
          <s v="2236/03/07 - 2236/03/13"/>
          <s v="2236/03/14 - 2236/03/20"/>
          <s v="2236/03/21 - 2236/03/27"/>
          <s v="2236/03/28 - 2236/04/03"/>
          <s v="2236/04/04 - 2236/04/10"/>
          <s v="2236/04/11 - 2236/04/17"/>
          <s v="2236/04/18 - 2236/04/24"/>
          <s v="2236/04/25 - 2236/05/01"/>
          <s v="2236/05/02 - 2236/05/08"/>
          <s v="2236/05/09 - 2236/05/15"/>
          <s v="2236/05/16 - 2236/05/22"/>
          <s v="2236/05/23 - 2236/05/29"/>
          <s v="2236/05/30 - 2236/06/05"/>
          <s v="2236/06/06 - 2236/06/12"/>
          <s v="2236/06/13 - 2236/06/19"/>
          <s v="2236/06/20 - 2236/06/26"/>
          <s v="2236/06/27 - 2236/07/03"/>
          <s v="2236/07/04 - 2236/07/10"/>
          <s v="2236/07/11 - 2236/07/17"/>
          <s v="2236/07/18 - 2236/07/24"/>
          <s v="2236/07/25 - 2236/07/31"/>
          <s v="2236/08/01 - 2236/08/07"/>
          <s v="2236/08/08 - 2236/08/14"/>
          <s v="2236/08/15 - 2236/08/21"/>
          <s v="2236/08/22 - 2236/08/28"/>
          <s v="2236/08/29 - 2236/09/04"/>
          <s v="2236/09/05 - 2236/09/11"/>
          <s v="2236/09/12 - 2236/09/18"/>
          <s v="2236/09/19 - 2236/09/25"/>
          <s v="2236/09/26 - 2236/10/02"/>
          <s v="2236/10/03 - 2236/10/09"/>
          <s v="2236/10/10 - 2236/10/16"/>
          <s v="2236/10/17 - 2236/10/23"/>
          <s v="2236/10/24 - 2236/10/30"/>
          <s v="2236/10/31 - 2236/11/06"/>
          <s v="2236/11/07 - 2236/11/13"/>
          <s v="2236/11/14 - 2236/11/20"/>
          <s v="2236/11/21 - 2236/11/27"/>
          <s v="2236/11/28 - 2236/12/04"/>
          <s v="2236/12/05 - 2236/12/11"/>
          <s v="2236/12/12 - 2236/12/18"/>
          <s v="2236/12/19 - 2236/12/25"/>
          <s v="2236/12/26 - 2237/01/01"/>
          <s v="2237/01/02 - 2237/01/08"/>
          <s v="2237/01/09 - 2237/01/15"/>
          <s v="2237/01/16 - 2237/01/22"/>
          <s v="2237/01/23 - 2237/01/29"/>
          <s v="2237/01/30 - 2237/02/05"/>
          <s v="2237/02/06 - 2237/02/12"/>
          <s v="2237/02/13 - 2237/02/19"/>
          <s v="2237/02/20 - 2237/02/26"/>
          <s v="2237/02/27 - 2237/03/05"/>
          <s v="2237/03/06 - 2237/03/12"/>
          <s v="2237/03/13 - 2237/03/19"/>
          <s v="2237/03/20 - 2237/03/26"/>
          <s v="2237/03/27 - 2237/04/02"/>
          <s v="2237/04/03 - 2237/04/09"/>
          <s v="2237/04/10 - 2237/04/16"/>
          <s v="2237/04/17 - 2237/04/23"/>
          <s v="2237/04/24 - 2237/04/30"/>
          <s v="2237/05/01 - 2237/05/07"/>
          <s v="2237/05/08 - 2237/05/14"/>
          <s v="2237/05/15 - 2237/05/21"/>
          <s v="2237/05/22 - 2237/05/28"/>
          <s v="2237/05/29 - 2237/06/04"/>
          <s v="2237/06/05 - 2237/06/11"/>
          <s v="2237/06/12 - 2237/06/18"/>
          <s v="2237/06/19 - 2237/06/25"/>
          <s v="2237/06/26 - 2237/07/02"/>
          <s v="2237/07/03 - 2237/07/09"/>
          <s v="2237/07/10 - 2237/07/16"/>
          <s v="2237/07/17 - 2237/07/23"/>
          <s v="2237/07/24 - 2237/07/30"/>
          <s v="2237/07/31 - 2237/08/06"/>
          <s v="2237/08/07 - 2237/08/13"/>
          <s v="2237/08/14 - 2237/08/20"/>
          <s v="2237/08/21 - 2237/08/27"/>
          <s v="2237/08/28 - 2237/09/03"/>
          <s v="2237/09/04 - 2237/09/10"/>
          <s v="2237/09/11 - 2237/09/17"/>
          <s v="2237/09/18 - 2237/09/24"/>
          <s v="2237/09/25 - 2237/10/01"/>
          <s v="2237/10/02 - 2237/10/08"/>
          <s v="2237/10/09 - 2237/10/15"/>
          <s v="2237/10/16 - 2237/10/22"/>
          <s v="2237/10/23 - 2237/10/29"/>
          <s v="2237/10/30 - 2237/11/05"/>
          <s v="2237/11/06 - 2237/11/12"/>
          <s v="2237/11/13 - 2237/11/19"/>
          <s v="2237/11/20 - 2237/11/26"/>
          <s v="2237/11/27 - 2237/12/03"/>
          <s v="2237/12/04 - 2237/12/10"/>
          <s v="2237/12/11 - 2237/12/17"/>
          <s v="2237/12/18 - 2237/12/24"/>
          <s v="2237/12/25 - 2237/12/31"/>
          <s v="2238/01/01 - 2238/01/07"/>
          <s v="2238/01/08 - 2238/01/14"/>
          <s v="2238/01/15 - 2238/01/21"/>
          <s v="2238/01/22 - 2238/01/28"/>
          <s v="2238/01/29 - 2238/02/04"/>
          <s v="2238/02/05 - 2238/02/11"/>
          <s v="2238/02/12 - 2238/02/18"/>
          <s v="2238/02/19 - 2238/02/25"/>
          <s v="2238/02/26 - 2238/03/04"/>
          <s v="2238/03/05 - 2238/03/11"/>
          <s v="2238/03/12 - 2238/03/18"/>
          <s v="2238/03/19 - 2238/03/25"/>
          <s v="2238/03/26 - 2238/04/01"/>
          <s v="2238/04/02 - 2238/04/08"/>
          <s v="2238/04/09 - 2238/04/15"/>
          <s v="2238/04/16 - 2238/04/22"/>
          <s v="2238/04/23 - 2238/04/29"/>
          <s v="2238/04/30 - 2238/05/06"/>
          <s v="2238/05/07 - 2238/05/13"/>
          <s v="2238/05/14 - 2238/05/20"/>
          <s v="2238/05/21 - 2238/05/27"/>
          <s v="2238/05/28 - 2238/06/03"/>
          <s v="2238/06/04 - 2238/06/10"/>
          <s v="2238/06/11 - 2238/06/17"/>
          <s v="2238/06/18 - 2238/06/24"/>
          <s v="2238/06/25 - 2238/07/01"/>
          <s v="2238/07/02 - 2238/07/08"/>
          <s v="2238/07/09 - 2238/07/15"/>
          <s v="2238/07/16 - 2238/07/22"/>
          <s v="2238/07/23 - 2238/07/29"/>
          <s v="2238/07/30 - 2238/08/05"/>
          <s v="2238/08/06 - 2238/08/12"/>
          <s v="2238/08/13 - 2238/08/19"/>
          <s v="2238/08/20 - 2238/08/26"/>
          <s v="2238/08/27 - 2238/09/02"/>
          <s v="2238/09/03 - 2238/09/09"/>
          <s v="2238/09/10 - 2238/09/16"/>
          <s v="2238/09/17 - 2238/09/23"/>
          <s v="2238/09/24 - 2238/09/30"/>
          <s v="2238/10/01 - 2238/10/07"/>
          <s v="2238/10/08 - 2238/10/14"/>
          <s v="2238/10/15 - 2238/10/21"/>
          <s v="2238/10/22 - 2238/10/28"/>
          <s v="2238/10/29 - 2238/11/04"/>
          <s v="2238/11/05 - 2238/11/11"/>
          <s v="2238/11/12 - 2238/11/18"/>
          <s v="2238/11/19 - 2238/11/25"/>
          <s v="2238/11/26 - 2238/12/02"/>
          <s v="2238/12/03 - 2238/12/09"/>
          <s v="2238/12/10 - 2238/12/16"/>
          <s v="2238/12/17 - 2238/12/23"/>
          <s v="2238/12/24 - 2238/12/30"/>
          <s v="2238/12/31 - 2239/01/06"/>
          <s v="2239/01/07 - 2239/01/13"/>
          <s v="2239/01/14 - 2239/01/20"/>
          <s v="2239/01/21 - 2239/01/27"/>
          <s v="2239/01/28 - 2239/02/03"/>
          <s v="2239/02/04 - 2239/02/10"/>
          <s v="2239/02/11 - 2239/02/17"/>
          <s v="2239/02/18 - 2239/02/24"/>
          <s v="2239/02/25 - 2239/03/03"/>
          <s v="2239/03/04 - 2239/03/10"/>
          <s v="2239/03/11 - 2239/03/17"/>
          <s v="2239/03/18 - 2239/03/24"/>
          <s v="2239/03/25 - 2239/03/31"/>
          <s v="2239/04/01 - 2239/04/07"/>
          <s v="2239/04/08 - 2239/04/14"/>
          <s v="2239/04/15 - 2239/04/21"/>
          <s v="2239/04/22 - 2239/04/28"/>
          <s v="2239/04/29 - 2239/05/05"/>
          <s v="2239/05/06 - 2239/05/12"/>
          <s v="2239/05/13 - 2239/05/19"/>
          <s v="2239/05/20 - 2239/05/26"/>
          <s v="2239/05/27 - 2239/06/02"/>
          <s v="2239/06/03 - 2239/06/09"/>
          <s v="2239/06/10 - 2239/06/16"/>
          <s v="2239/06/17 - 2239/06/23"/>
          <s v="2239/06/24 - 2239/06/30"/>
          <s v="2239/07/01 - 2239/07/07"/>
          <s v="2239/07/08 - 2239/07/14"/>
          <s v="2239/07/15 - 2239/07/21"/>
          <s v="2239/07/22 - 2239/07/28"/>
          <s v="2239/07/29 - 2239/08/04"/>
          <s v="2239/08/05 - 2239/08/11"/>
          <s v="2239/08/12 - 2239/08/18"/>
          <s v="2239/08/19 - 2239/08/25"/>
          <s v="2239/08/26 - 2239/09/01"/>
          <s v="2239/09/02 - 2239/09/08"/>
          <s v="2239/09/09 - 2239/09/15"/>
          <s v="2239/09/16 - 2239/09/22"/>
          <s v="2239/09/23 - 2239/09/29"/>
          <s v="2239/09/30 - 2239/10/06"/>
          <s v="2239/10/07 - 2239/10/13"/>
          <s v="2239/10/14 - 2239/10/20"/>
          <s v="2239/10/21 - 2239/10/27"/>
          <s v="2239/10/28 - 2239/11/03"/>
          <s v="2239/11/04 - 2239/11/10"/>
          <s v="2239/11/11 - 2239/11/17"/>
          <s v="2239/11/18 - 2239/11/24"/>
          <s v="2239/11/25 - 2239/12/01"/>
          <s v="2239/12/02 - 2239/12/08"/>
          <s v="2239/12/09 - 2239/12/15"/>
          <s v="2239/12/16 - 2239/12/22"/>
          <s v="2239/12/23 - 2239/12/29"/>
          <s v="2239/12/30 - 2240/01/05"/>
          <s v="2240/01/06 - 2240/01/12"/>
          <s v="2240/01/13 - 2240/01/19"/>
          <s v="2240/01/20 - 2240/01/26"/>
          <s v="2240/01/27 - 2240/02/02"/>
          <s v="2240/02/03 - 2240/02/09"/>
          <s v="2240/02/10 - 2240/02/16"/>
          <s v="2240/02/17 - 2240/02/23"/>
          <s v="2240/02/24 - 2240/03/01"/>
          <s v="2240/03/02 - 2240/03/08"/>
          <s v="2240/03/09 - 2240/03/15"/>
          <s v="2240/03/16 - 2240/03/22"/>
          <s v="2240/03/23 - 2240/03/29"/>
          <s v="2240/03/30 - 2240/04/05"/>
          <s v="2240/04/06 - 2240/04/12"/>
          <s v="2240/04/13 - 2240/04/19"/>
          <s v="2240/04/20 - 2240/04/26"/>
          <s v="2240/04/27 - 2240/05/03"/>
          <s v="2240/05/04 - 2240/05/10"/>
          <s v="2240/05/11 - 2240/05/17"/>
          <s v="2240/05/18 - 2240/05/24"/>
          <s v="2240/05/25 - 2240/05/31"/>
          <s v="2240/06/01 - 2240/06/07"/>
          <s v="2240/06/08 - 2240/06/14"/>
          <s v="2240/06/15 - 2240/06/21"/>
          <s v="2240/06/22 - 2240/06/28"/>
          <s v="2240/06/29 - 2240/07/05"/>
          <s v="2240/07/06 - 2240/07/12"/>
          <s v="2240/07/13 - 2240/07/19"/>
          <s v="2240/07/20 - 2240/07/26"/>
          <s v="2240/07/27 - 2240/08/02"/>
          <s v="2240/08/03 - 2240/08/09"/>
          <s v="2240/08/10 - 2240/08/16"/>
          <s v="2240/08/17 - 2240/08/23"/>
          <s v="2240/08/24 - 2240/08/30"/>
          <s v="2240/08/31 - 2240/09/06"/>
          <s v="2240/09/07 - 2240/09/13"/>
          <s v="2240/09/14 - 2240/09/20"/>
          <s v="2240/09/21 - 2240/09/27"/>
          <s v="2240/09/28 - 2240/10/04"/>
          <s v="2240/10/05 - 2240/10/11"/>
          <s v="2240/10/12 - 2240/10/18"/>
          <s v="2240/10/19 - 2240/10/25"/>
          <s v="2240/10/26 - 2240/11/01"/>
          <s v="2240/11/02 - 2240/11/08"/>
          <s v="2240/11/09 - 2240/11/15"/>
          <s v="2240/11/16 - 2240/11/22"/>
          <s v="2240/11/23 - 2240/11/29"/>
          <s v="2240/11/30 - 2240/12/06"/>
          <s v="2240/12/07 - 2240/12/13"/>
          <s v="2240/12/14 - 2240/12/20"/>
          <s v="2240/12/21 - 2240/12/27"/>
          <s v="2240/12/28 - 2241/01/03"/>
          <s v="2241/01/04 - 2241/01/10"/>
          <s v="2241/01/11 - 2241/01/17"/>
          <s v="2241/01/18 - 2241/01/24"/>
          <s v="2241/01/25 - 2241/01/31"/>
          <s v="2241/02/01 - 2241/02/07"/>
          <s v="2241/02/08 - 2241/02/14"/>
          <s v="2241/02/15 - 2241/02/21"/>
          <s v="2241/02/22 - 2241/02/28"/>
          <s v="2241/03/01 - 2241/03/07"/>
          <s v="2241/03/08 - 2241/03/14"/>
          <s v="2241/03/15 - 2241/03/21"/>
          <s v="2241/03/22 - 2241/03/28"/>
          <s v="2241/03/29 - 2241/04/04"/>
          <s v="2241/04/05 - 2241/04/11"/>
          <s v="2241/04/12 - 2241/04/18"/>
          <s v="2241/04/19 - 2241/04/25"/>
          <s v="2241/04/26 - 2241/05/02"/>
          <s v="2241/05/03 - 2241/05/09"/>
          <s v="2241/05/10 - 2241/05/16"/>
          <s v="2241/05/17 - 2241/05/23"/>
          <s v="2241/05/24 - 2241/05/30"/>
          <s v="2241/05/31 - 2241/06/06"/>
          <s v="2241/06/07 - 2241/06/13"/>
          <s v="2241/06/14 - 2241/06/20"/>
          <s v="2241/06/21 - 2241/06/27"/>
          <s v="2241/06/28 - 2241/07/04"/>
          <s v="2241/07/05 - 2241/07/11"/>
          <s v="2241/07/12 - 2241/07/18"/>
          <s v="2241/07/19 - 2241/07/25"/>
          <s v="2241/07/26 - 2241/08/01"/>
          <s v="2241/08/02 - 2241/08/08"/>
          <s v="2241/08/09 - 2241/08/15"/>
          <s v="2241/08/16 - 2241/08/22"/>
          <s v="2241/08/23 - 2241/08/29"/>
          <s v="2241/08/30 - 2241/09/05"/>
          <s v="2241/09/06 - 2241/09/12"/>
          <s v="2241/09/13 - 2241/09/19"/>
          <s v="2241/09/20 - 2241/09/26"/>
          <s v="2241/09/27 - 2241/10/03"/>
          <s v="2241/10/04 - 2241/10/10"/>
          <s v="2241/10/11 - 2241/10/17"/>
          <s v="2241/10/18 - 2241/10/24"/>
          <s v="2241/10/25 - 2241/10/31"/>
          <s v="2241/11/01 - 2241/11/07"/>
          <s v="2241/11/08 - 2241/11/14"/>
          <s v="2241/11/15 - 2241/11/21"/>
          <s v="2241/11/22 - 2241/11/28"/>
          <s v="2241/11/29 - 2241/12/05"/>
          <s v="2241/12/06 - 2241/12/12"/>
          <s v="2241/12/13 - 2241/12/19"/>
          <s v="2241/12/20 - 2241/12/26"/>
          <s v="2241/12/27 - 2242/01/02"/>
          <s v="2242/01/03 - 2242/01/09"/>
          <s v="2242/01/10 - 2242/01/16"/>
          <s v="2242/01/17 - 2242/01/23"/>
          <s v="2242/01/24 - 2242/01/30"/>
          <s v="2242/01/31 - 2242/02/06"/>
          <s v="2242/02/07 - 2242/02/13"/>
          <s v="2242/02/14 - 2242/02/20"/>
          <s v="2242/02/21 - 2242/02/27"/>
          <s v="2242/02/28 - 2242/03/06"/>
          <s v="2242/03/07 - 2242/03/13"/>
          <s v="2242/03/14 - 2242/03/20"/>
          <s v="2242/03/21 - 2242/03/27"/>
          <s v="2242/03/28 - 2242/04/03"/>
          <s v="2242/04/04 - 2242/04/10"/>
          <s v="2242/04/11 - 2242/04/17"/>
          <s v="2242/04/18 - 2242/04/24"/>
          <s v="2242/04/25 - 2242/05/01"/>
          <s v="2242/05/02 - 2242/05/08"/>
          <s v="2242/05/09 - 2242/05/15"/>
          <s v="2242/05/16 - 2242/05/22"/>
          <s v="2242/05/23 - 2242/05/29"/>
          <s v="2242/05/30 - 2242/06/05"/>
          <s v="2242/06/06 - 2242/06/12"/>
          <s v="2242/06/13 - 2242/06/19"/>
          <s v="2242/06/20 - 2242/06/26"/>
          <s v="2242/06/27 - 2242/07/03"/>
          <s v="2242/07/04 - 2242/07/10"/>
          <s v="2242/07/11 - 2242/07/17"/>
          <s v="2242/07/18 - 2242/07/24"/>
          <s v="2242/07/25 - 2242/07/31"/>
          <s v="2242/08/01 - 2242/08/07"/>
          <s v="2242/08/08 - 2242/08/14"/>
          <s v="2242/08/15 - 2242/08/21"/>
          <s v="2242/08/22 - 2242/08/28"/>
          <s v="2242/08/29 - 2242/09/04"/>
          <s v="2242/09/05 - 2242/09/11"/>
          <s v="2242/09/12 - 2242/09/18"/>
          <s v="2242/09/19 - 2242/09/25"/>
          <s v="2242/09/26 - 2242/10/02"/>
          <s v="2242/10/03 - 2242/10/09"/>
          <s v="2242/10/10 - 2242/10/16"/>
          <s v="2242/10/17 - 2242/10/23"/>
          <s v="2242/10/24 - 2242/10/30"/>
          <s v="2242/10/31 - 2242/11/06"/>
          <s v="2242/11/07 - 2242/11/13"/>
          <s v="2242/11/14 - 2242/11/20"/>
          <s v="2242/11/21 - 2242/11/27"/>
          <s v="2242/11/28 - 2242/12/04"/>
          <s v="2242/12/05 - 2242/12/11"/>
          <s v="2242/12/12 - 2242/12/18"/>
          <s v="2242/12/19 - 2242/12/25"/>
          <s v="2242/12/26 - 2243/01/01"/>
          <s v="2243/01/02 - 2243/01/08"/>
          <s v="2243/01/09 - 2243/01/15"/>
          <s v="2243/01/16 - 2243/01/22"/>
          <s v="2243/01/23 - 2243/01/29"/>
          <s v="2243/01/30 - 2243/02/05"/>
          <s v="2243/02/06 - 2243/02/12"/>
          <s v="2243/02/13 - 2243/02/19"/>
          <s v="2243/02/20 - 2243/02/26"/>
          <s v="2243/02/27 - 2243/03/05"/>
          <s v="2243/03/06 - 2243/03/12"/>
          <s v="2243/03/13 - 2243/03/19"/>
          <s v="2243/03/20 - 2243/03/26"/>
          <s v="2243/03/27 - 2243/04/02"/>
          <s v="2243/04/03 - 2243/04/09"/>
          <s v="2243/04/10 - 2243/04/16"/>
          <s v="2243/04/17 - 2243/04/23"/>
          <s v="2243/04/24 - 2243/04/30"/>
          <s v="2243/05/01 - 2243/05/07"/>
          <s v="2243/05/08 - 2243/05/14"/>
          <s v="2243/05/15 - 2243/05/21"/>
          <s v="2243/05/22 - 2243/05/28"/>
          <s v="2243/05/29 - 2243/06/04"/>
          <s v="2243/06/05 - 2243/06/11"/>
          <s v="2243/06/12 - 2243/06/18"/>
          <s v="2243/06/19 - 2243/06/25"/>
          <s v="2243/06/26 - 2243/07/02"/>
          <s v="2243/07/03 - 2243/07/09"/>
          <s v="2243/07/10 - 2243/07/16"/>
          <s v="2243/07/17 - 2243/07/23"/>
          <s v="2243/07/24 - 2243/07/30"/>
          <s v="2243/07/31 - 2243/08/06"/>
          <s v="2243/08/07 - 2243/08/13"/>
          <s v="2243/08/14 - 2243/08/20"/>
          <s v="2243/08/21 - 2243/08/27"/>
          <s v="2243/08/28 - 2243/09/03"/>
          <s v="2243/09/04 - 2243/09/10"/>
          <s v="2243/09/11 - 2243/09/17"/>
          <s v="2243/09/18 - 2243/09/24"/>
          <s v="2243/09/25 - 2243/10/01"/>
          <s v="2243/10/02 - 2243/10/08"/>
          <s v="2243/10/09 - 2243/10/15"/>
          <s v="2243/10/16 - 2243/10/22"/>
          <s v="2243/10/23 - 2243/10/29"/>
          <s v="2243/10/30 - 2243/11/05"/>
          <s v="2243/11/06 - 2243/11/12"/>
          <s v="2243/11/13 - 2243/11/19"/>
          <s v="2243/11/20 - 2243/11/26"/>
          <s v="2243/11/27 - 2243/12/03"/>
          <s v="2243/12/04 - 2243/12/10"/>
          <s v="2243/12/11 - 2243/12/17"/>
          <s v="2243/12/18 - 2243/12/24"/>
          <s v="2243/12/25 - 2243/12/31"/>
          <s v="2244/01/01 - 2244/01/07"/>
          <s v="2244/01/08 - 2244/01/14"/>
          <s v="2244/01/15 - 2244/01/21"/>
          <s v="2244/01/22 - 2244/01/28"/>
          <s v="2244/01/29 - 2244/02/04"/>
          <s v="2244/02/05 - 2244/02/11"/>
          <s v="2244/02/12 - 2244/02/18"/>
          <s v="2244/02/19 - 2244/02/25"/>
          <s v="2244/02/26 - 2244/03/03"/>
          <s v="2244/03/04 - 2244/03/10"/>
          <s v="2244/03/11 - 2244/03/17"/>
          <s v="2244/03/18 - 2244/03/24"/>
          <s v="2244/03/25 - 2244/03/31"/>
          <s v="2244/04/01 - 2244/04/07"/>
          <s v="2244/04/08 - 2244/04/14"/>
          <s v="2244/04/15 - 2244/04/21"/>
          <s v="2244/04/22 - 2244/04/28"/>
          <s v="2244/04/29 - 2244/05/05"/>
          <s v="2244/05/06 - 2244/05/12"/>
          <s v="2244/05/13 - 2244/05/19"/>
          <s v="2244/05/20 - 2244/05/26"/>
          <s v="2244/05/27 - 2244/06/02"/>
          <s v="2244/06/03 - 2244/06/09"/>
          <s v="2244/06/10 - 2244/06/16"/>
          <s v="2244/06/17 - 2244/06/23"/>
          <s v="2244/06/24 - 2244/06/30"/>
          <s v="2244/07/01 - 2244/07/07"/>
          <s v="2244/07/08 - 2244/07/14"/>
          <s v="2244/07/15 - 2244/07/21"/>
          <s v="2244/07/22 - 2244/07/28"/>
          <s v="2244/07/29 - 2244/08/04"/>
          <s v="2244/08/05 - 2244/08/11"/>
          <s v="2244/08/12 - 2244/08/18"/>
          <s v="2244/08/19 - 2244/08/25"/>
          <s v="2244/08/26 - 2244/09/01"/>
          <s v="2244/09/02 - 2244/09/08"/>
          <s v="2244/09/09 - 2244/09/15"/>
          <s v="2244/09/16 - 2244/09/22"/>
          <s v="2244/09/23 - 2244/09/29"/>
          <s v="2244/09/30 - 2244/10/06"/>
          <s v="2244/10/07 - 2244/10/13"/>
          <s v="2244/10/14 - 2244/10/20"/>
          <s v="2244/10/21 - 2244/10/27"/>
          <s v="2244/10/28 - 2244/11/03"/>
          <s v="2244/11/04 - 2244/11/10"/>
          <s v="2244/11/11 - 2244/11/17"/>
          <s v="2244/11/18 - 2244/11/24"/>
          <s v="2244/11/25 - 2244/12/01"/>
          <s v="2244/12/02 - 2244/12/08"/>
          <s v="2244/12/09 - 2244/12/15"/>
          <s v="2244/12/16 - 2244/12/22"/>
          <s v="2244/12/23 - 2244/12/29"/>
          <s v="2244/12/30 - 2245/01/05"/>
          <s v="2245/01/06 - 2245/01/12"/>
          <s v="2245/01/13 - 2245/01/19"/>
          <s v="2245/01/20 - 2245/01/26"/>
          <s v="2245/01/27 - 2245/02/02"/>
          <s v="2245/02/03 - 2245/02/09"/>
          <s v="2245/02/10 - 2245/02/16"/>
          <s v="2245/02/17 - 2245/02/23"/>
          <s v="2245/02/24 - 2245/03/02"/>
          <s v="2245/03/03 - 2245/03/09"/>
          <s v="2245/03/10 - 2245/03/16"/>
          <s v="2245/03/17 - 2245/03/23"/>
          <s v="2245/03/24 - 2245/03/30"/>
          <s v="2245/03/31 - 2245/04/06"/>
          <s v="2245/04/07 - 2245/04/13"/>
          <s v="2245/04/14 - 2245/04/20"/>
          <s v="2245/04/21 - 2245/04/27"/>
          <s v="2245/04/28 - 2245/05/04"/>
          <s v="2245/05/05 - 2245/05/11"/>
          <s v="2245/05/12 - 2245/05/18"/>
          <s v="2245/05/19 - 2245/05/25"/>
          <s v="2245/05/26 - 2245/06/01"/>
          <s v="2245/06/02 - 2245/06/08"/>
          <s v="2245/06/09 - 2245/06/15"/>
          <s v="2245/06/16 - 2245/06/22"/>
          <s v="2245/06/23 - 2245/06/29"/>
          <s v="2245/06/30 - 2245/07/06"/>
          <s v="2245/07/07 - 2245/07/13"/>
          <s v="2245/07/14 - 2245/07/20"/>
          <s v="2245/07/21 - 2245/07/27"/>
          <s v="2245/07/28 - 2245/08/03"/>
          <s v="2245/08/04 - 2245/08/10"/>
          <s v="2245/08/11 - 2245/08/17"/>
          <s v="2245/08/18 - 2245/08/24"/>
          <s v="2245/08/25 - 2245/08/31"/>
          <s v="2245/09/01 - 2245/09/07"/>
          <s v="2245/09/08 - 2245/09/14"/>
          <s v="2245/09/15 - 2245/09/21"/>
          <s v="2245/09/22 - 2245/09/28"/>
          <s v="2245/09/29 - 2245/10/05"/>
          <s v="2245/10/06 - 2245/10/12"/>
          <s v="2245/10/13 - 2245/10/19"/>
          <s v="2245/10/20 - 2245/10/26"/>
          <s v="2245/10/27 - 2245/11/02"/>
          <s v="2245/11/03 - 2245/11/09"/>
          <s v="2245/11/10 - 2245/11/16"/>
          <s v="2245/11/17 - 2245/11/23"/>
          <s v="2245/11/24 - 2245/11/30"/>
          <s v="2245/12/01 - 2245/12/07"/>
          <s v="2245/12/08 - 2245/12/14"/>
          <s v="2245/12/15 - 2245/12/21"/>
          <s v="2245/12/22 - 2245/12/28"/>
          <s v="2245/12/29 - 2246/01/04"/>
          <s v="2246/01/05 - 2246/01/11"/>
          <s v="2246/01/12 - 2246/01/18"/>
          <s v="2246/01/19 - 2246/01/25"/>
          <s v="2246/01/26 - 2246/02/01"/>
          <s v="2246/02/02 - 2246/02/08"/>
          <s v="2246/02/09 - 2246/02/15"/>
          <s v="2246/02/16 - 2246/02/22"/>
          <s v="2246/02/23 - 2246/03/01"/>
          <s v="2246/03/02 - 2246/03/08"/>
          <s v="2246/03/09 - 2246/03/15"/>
          <s v="2246/03/16 - 2246/03/22"/>
          <s v="2246/03/23 - 2246/03/29"/>
          <s v="2246/03/30 - 2246/04/05"/>
          <s v="2246/04/06 - 2246/04/12"/>
          <s v="2246/04/13 - 2246/04/19"/>
          <s v="2246/04/20 - 2246/04/26"/>
          <s v="2246/04/27 - 2246/05/03"/>
          <s v="2246/05/04 - 2246/05/10"/>
          <s v="2246/05/11 - 2246/05/17"/>
          <s v="2246/05/18 - 2246/05/24"/>
          <s v="2246/05/25 - 2246/05/31"/>
          <s v="2246/06/01 - 2246/06/07"/>
          <s v="2246/06/08 - 2246/06/14"/>
          <s v="2246/06/15 - 2246/06/21"/>
          <s v="2246/06/22 - 2246/06/28"/>
          <s v="2246/06/29 - 2246/07/05"/>
          <s v="2246/07/06 - 2246/07/12"/>
          <s v="2246/07/13 - 2246/07/19"/>
          <s v="2246/07/20 - 2246/07/26"/>
          <s v="2246/07/27 - 2246/08/02"/>
          <s v="2246/08/03 - 2246/08/09"/>
          <s v="2246/08/10 - 2246/08/16"/>
          <s v="2246/08/17 - 2246/08/23"/>
          <s v="2246/08/24 - 2246/08/30"/>
          <s v="2246/08/31 - 2246/09/06"/>
          <s v="2246/09/07 - 2246/09/13"/>
          <s v="2246/09/14 - 2246/09/20"/>
          <s v="2246/09/21 - 2246/09/27"/>
          <s v="2246/09/28 - 2246/10/04"/>
          <s v="2246/10/05 - 2246/10/11"/>
          <s v="2246/10/12 - 2246/10/18"/>
          <s v="2246/10/19 - 2246/10/25"/>
          <s v="2246/10/26 - 2246/11/01"/>
          <s v="2246/11/02 - 2246/11/08"/>
          <s v="2246/11/09 - 2246/11/15"/>
          <s v="2246/11/16 - 2246/11/22"/>
          <s v="2246/11/23 - 2246/11/29"/>
          <s v="2246/11/30 - 2246/12/06"/>
          <s v="2246/12/07 - 2246/12/13"/>
          <s v="2246/12/14 - 2246/12/20"/>
          <s v="2246/12/21 - 2246/12/27"/>
          <s v="2246/12/28 - 2247/01/03"/>
          <s v="2247/01/04 - 2247/01/10"/>
          <s v="2247/01/11 - 2247/01/17"/>
          <s v="2247/01/18 - 2247/01/24"/>
          <s v="2247/01/25 - 2247/01/31"/>
          <s v="2247/02/01 - 2247/02/07"/>
          <s v="2247/02/08 - 2247/02/14"/>
          <s v="2247/02/15 - 2247/02/21"/>
          <s v="2247/02/22 - 2247/02/28"/>
          <s v="2247/03/01 - 2247/03/07"/>
          <s v="2247/03/08 - 2247/03/14"/>
          <s v="2247/03/15 - 2247/03/21"/>
          <s v="2247/03/22 - 2247/03/28"/>
          <s v="2247/03/29 - 2247/04/04"/>
          <s v="2247/04/05 - 2247/04/11"/>
          <s v="2247/04/12 - 2247/04/18"/>
          <s v="2247/04/19 - 2247/04/25"/>
          <s v="2247/04/26 - 2247/05/02"/>
          <s v="2247/05/03 - 2247/05/09"/>
          <s v="2247/05/10 - 2247/05/16"/>
          <s v="2247/05/17 - 2247/05/23"/>
          <s v="2247/05/24 - 2247/05/30"/>
          <s v="2247/05/31 - 2247/06/06"/>
          <s v="2247/06/07 - 2247/06/13"/>
          <s v="2247/06/14 - 2247/06/20"/>
          <s v="2247/06/21 - 2247/06/27"/>
          <s v="2247/06/28 - 2247/07/04"/>
          <s v="2247/07/05 - 2247/07/11"/>
          <s v="2247/07/12 - 2247/07/18"/>
          <s v="2247/07/19 - 2247/07/25"/>
          <s v="2247/07/26 - 2247/08/01"/>
          <s v="2247/08/02 - 2247/08/08"/>
          <s v="2247/08/09 - 2247/08/15"/>
          <s v="2247/08/16 - 2247/08/22"/>
          <s v="2247/08/23 - 2247/08/29"/>
          <s v="2247/08/30 - 2247/09/05"/>
          <s v="2247/09/06 - 2247/09/12"/>
          <s v="2247/09/13 - 2247/09/19"/>
          <s v="2247/09/20 - 2247/09/26"/>
          <s v="2247/09/27 - 2247/10/03"/>
          <s v="2247/10/04 - 2247/10/10"/>
          <s v="2247/10/11 - 2247/10/17"/>
          <s v="2247/10/18 - 2247/10/24"/>
          <s v="2247/10/25 - 2247/10/31"/>
          <s v="2247/11/01 - 2247/11/07"/>
          <s v="2247/11/08 - 2247/11/14"/>
          <s v="2247/11/15 - 2247/11/21"/>
          <s v="2247/11/22 - 2247/11/28"/>
          <s v="2247/11/29 - 2247/12/05"/>
          <s v="2247/12/06 - 2247/12/12"/>
          <s v="2247/12/13 - 2247/12/19"/>
          <s v="2247/12/20 - 2247/12/26"/>
          <s v="2247/12/27 - 2248/01/02"/>
          <s v="2248/01/03 - 2248/01/09"/>
          <s v="2248/01/10 - 2248/01/16"/>
          <s v="2248/01/17 - 2248/01/23"/>
          <s v="2248/01/24 - 2248/01/30"/>
          <s v="2248/01/31 - 2248/02/06"/>
          <s v="2248/02/07 - 2248/02/13"/>
          <s v="2248/02/14 - 2248/02/20"/>
          <s v="2248/02/21 - 2248/02/27"/>
          <s v="2248/02/28 - 2248/03/05"/>
          <s v="2248/03/06 - 2248/03/12"/>
          <s v="2248/03/13 - 2248/03/19"/>
          <s v="2248/03/20 - 2248/03/26"/>
          <s v="2248/03/27 - 2248/04/02"/>
          <s v="2248/04/03 - 2248/04/09"/>
          <s v="2248/04/10 - 2248/04/16"/>
          <s v="2248/04/17 - 2248/04/23"/>
          <s v="2248/04/24 - 2248/04/30"/>
          <s v="2248/05/01 - 2248/05/07"/>
          <s v="2248/05/08 - 2248/05/14"/>
          <s v="2248/05/15 - 2248/05/21"/>
          <s v="2248/05/22 - 2248/05/28"/>
          <s v="2248/05/29 - 2248/06/04"/>
          <s v="2248/06/05 - 2248/06/11"/>
          <s v="2248/06/12 - 2248/06/18"/>
          <s v="2248/06/19 - 2248/06/25"/>
          <s v="2248/06/26 - 2248/07/02"/>
          <s v="2248/07/03 - 2248/07/09"/>
          <s v="2248/07/10 - 2248/07/16"/>
          <s v="2248/07/17 - 2248/07/23"/>
          <s v="2248/07/24 - 2248/07/30"/>
          <s v="2248/07/31 - 2248/08/06"/>
          <s v="2248/08/07 - 2248/08/13"/>
          <s v="2248/08/14 - 2248/08/20"/>
          <s v="2248/08/21 - 2248/08/27"/>
          <s v="2248/08/28 - 2248/09/03"/>
          <s v="2248/09/04 - 2248/09/10"/>
          <s v="2248/09/11 - 2248/09/17"/>
          <s v="2248/09/18 - 2248/09/24"/>
          <s v="2248/09/25 - 2248/10/01"/>
          <s v="2248/10/02 - 2248/10/08"/>
          <s v="2248/10/09 - 2248/10/15"/>
          <s v="2248/10/16 - 2248/10/22"/>
          <s v="2248/10/23 - 2248/10/29"/>
          <s v="2248/10/30 - 2248/11/05"/>
          <s v="2248/11/06 - 2248/11/12"/>
          <s v="2248/11/13 - 2248/11/19"/>
          <s v="2248/11/20 - 2248/11/26"/>
          <s v="2248/11/27 - 2248/12/03"/>
          <s v="2248/12/04 - 2248/12/10"/>
          <s v="2248/12/11 - 2248/12/17"/>
          <s v="2248/12/18 - 2248/12/24"/>
          <s v="2248/12/25 - 2248/12/31"/>
          <s v="2249/01/01 - 2249/01/07"/>
          <s v="2249/01/08 - 2249/01/14"/>
          <s v="2249/01/15 - 2249/01/21"/>
          <s v="2249/01/22 - 2249/01/28"/>
          <s v="2249/01/29 - 2249/02/04"/>
          <s v="2249/02/05 - 2249/02/11"/>
          <s v="2249/02/12 - 2249/02/18"/>
          <s v="2249/02/19 - 2249/02/25"/>
          <s v="2249/02/26 - 2249/03/04"/>
          <s v="2249/03/05 - 2249/03/11"/>
          <s v="2249/03/12 - 2249/03/18"/>
          <s v="2249/03/19 - 2249/03/25"/>
          <s v="2249/03/26 - 2249/04/01"/>
          <s v="2249/04/02 - 2249/04/08"/>
          <s v="2249/04/09 - 2249/04/15"/>
          <s v="2249/04/16 - 2249/04/22"/>
          <s v="2249/04/23 - 2249/04/29"/>
          <s v="2249/04/30 - 2249/05/06"/>
          <s v="2249/05/07 - 2249/05/13"/>
          <s v="2249/05/14 - 2249/05/20"/>
          <s v="2249/05/21 - 2249/05/27"/>
          <s v="2249/05/28 - 2249/06/03"/>
          <s v="2249/06/04 - 2249/06/10"/>
          <s v="2249/06/11 - 2249/06/17"/>
          <s v="2249/06/18 - 2249/06/24"/>
          <s v="2249/06/25 - 2249/07/01"/>
          <s v="2249/07/02 - 2249/07/08"/>
          <s v="2249/07/09 - 2249/07/15"/>
          <s v="2249/07/16 - 2249/07/22"/>
          <s v="2249/07/23 - 2249/07/29"/>
          <s v="2249/07/30 - 2249/08/05"/>
          <s v="2249/08/06 - 2249/08/12"/>
          <s v="2249/08/13 - 2249/08/19"/>
          <s v="2249/08/20 - 2249/08/26"/>
          <s v="2249/08/27 - 2249/09/02"/>
          <s v="2249/09/03 - 2249/09/09"/>
          <s v="2249/09/10 - 2249/09/16"/>
          <s v="2249/09/17 - 2249/09/23"/>
          <s v="2249/09/24 - 2249/09/30"/>
          <s v="2249/10/01 - 2249/10/07"/>
          <s v="2249/10/08 - 2249/10/14"/>
          <s v="2249/10/15 - 2249/10/21"/>
          <s v="2249/10/22 - 2249/10/28"/>
          <s v="2249/10/29 - 2249/11/04"/>
          <s v="2249/11/05 - 2249/11/11"/>
          <s v="2249/11/12 - 2249/11/18"/>
          <s v="2249/11/19 - 2249/11/25"/>
          <s v="2249/11/26 - 2249/12/02"/>
          <s v="2249/12/03 - 2249/12/09"/>
          <s v="2249/12/10 - 2249/12/16"/>
          <s v="2249/12/17 - 2249/12/23"/>
          <s v="2249/12/24 - 2249/12/30"/>
          <s v="2249/12/31 - 2250/01/06"/>
          <s v="2250/01/07 - 2250/01/13"/>
          <s v="2250/01/14 - 2250/01/20"/>
          <s v="2250/01/21 - 2250/01/27"/>
          <s v="2250/01/28 - 2250/02/03"/>
          <s v="2250/02/04 - 2250/02/10"/>
          <s v="2250/02/11 - 2250/02/17"/>
          <s v="2250/02/18 - 2250/02/24"/>
          <s v="2250/02/25 - 2250/03/03"/>
          <s v="2250/03/04 - 2250/03/10"/>
          <s v="2250/03/11 - 2250/03/17"/>
          <s v="2250/03/18 - 2250/03/24"/>
          <s v="2250/03/25 - 2250/03/31"/>
          <s v="2250/04/01 - 2250/04/07"/>
          <s v="2250/04/08 - 2250/04/14"/>
          <s v="2250/04/15 - 2250/04/21"/>
          <s v="2250/04/22 - 2250/04/28"/>
          <s v="2250/04/29 - 2250/05/05"/>
          <s v="2250/05/06 - 2250/05/12"/>
          <s v="2250/05/13 - 2250/05/19"/>
          <s v="2250/05/20 - 2250/05/26"/>
          <s v="2250/05/27 - 2250/06/02"/>
          <s v="2250/06/03 - 2250/06/09"/>
          <s v="2250/06/10 - 2250/06/16"/>
          <s v="2250/06/17 - 2250/06/23"/>
          <s v="2250/06/24 - 2250/06/30"/>
          <s v="2250/07/01 - 2250/07/07"/>
          <s v="2250/07/08 - 2250/07/14"/>
          <s v="2250/07/15 - 2250/07/21"/>
          <s v="2250/07/22 - 2250/07/28"/>
          <s v="2250/07/29 - 2250/08/04"/>
          <s v="2250/08/05 - 2250/08/11"/>
          <s v="2250/08/12 - 2250/08/18"/>
          <s v="2250/08/19 - 2250/08/25"/>
          <s v="2250/08/26 - 2250/09/01"/>
          <s v="2250/09/02 - 2250/09/08"/>
          <s v="2250/09/09 - 2250/09/15"/>
          <s v="2250/09/16 - 2250/09/22"/>
          <s v="2250/09/23 - 2250/09/29"/>
          <s v="2250/09/30 - 2250/10/06"/>
          <s v="2250/10/07 - 2250/10/13"/>
          <s v="2250/10/14 - 2250/10/20"/>
          <s v="2250/10/21 - 2250/10/27"/>
          <s v="2250/10/28 - 2250/11/03"/>
          <s v="2250/11/04 - 2250/11/10"/>
          <s v="2250/11/11 - 2250/11/17"/>
          <s v="2250/11/18 - 2250/11/24"/>
          <s v="2250/11/25 - 2250/12/01"/>
          <s v="2250/12/02 - 2250/12/08"/>
          <s v="2250/12/09 - 2250/12/15"/>
          <s v="2250/12/16 - 2250/12/22"/>
          <s v="2250/12/23 - 2250/12/29"/>
          <s v="2250/12/30 - 2251/01/05"/>
          <s v="2251/01/06 - 2251/01/12"/>
          <s v="2251/01/13 - 2251/01/19"/>
          <s v="2251/01/20 - 2251/01/26"/>
          <s v="2251/01/27 - 2251/02/02"/>
          <s v="2251/02/03 - 2251/02/09"/>
          <s v="2251/02/10 - 2251/02/16"/>
          <s v="2251/02/17 - 2251/02/23"/>
          <s v="2251/02/24 - 2251/03/02"/>
          <s v="2251/03/03 - 2251/03/09"/>
          <s v="2251/03/10 - 2251/03/16"/>
          <s v="2251/03/17 - 2251/03/23"/>
          <s v="2251/03/24 - 2251/03/30"/>
          <s v="2251/03/31 - 2251/04/06"/>
          <s v="2251/04/07 - 2251/04/13"/>
          <s v="2251/04/14 - 2251/04/20"/>
          <s v="2251/04/21 - 2251/04/27"/>
          <s v="2251/04/28 - 2251/05/04"/>
          <s v="2251/05/05 - 2251/05/11"/>
          <s v="2251/05/12 - 2251/05/18"/>
          <s v="2251/05/19 - 2251/05/25"/>
          <s v="2251/05/26 - 2251/06/01"/>
          <s v="2251/06/02 - 2251/06/08"/>
          <s v="2251/06/09 - 2251/06/15"/>
          <s v="2251/06/16 - 2251/06/22"/>
          <s v="2251/06/23 - 2251/06/29"/>
          <s v="2251/06/30 - 2251/07/06"/>
          <s v="2251/07/07 - 2251/07/13"/>
          <s v="2251/07/14 - 2251/07/20"/>
          <s v="2251/07/21 - 2251/07/27"/>
          <s v="2251/07/28 - 2251/08/03"/>
          <s v="2251/08/04 - 2251/08/10"/>
          <s v="2251/08/11 - 2251/08/17"/>
          <s v="2251/08/18 - 2251/08/24"/>
          <s v="2251/08/25 - 2251/08/31"/>
          <s v="2251/09/01 - 2251/09/07"/>
          <s v="2251/09/08 - 2251/09/14"/>
          <s v="2251/09/15 - 2251/09/21"/>
          <s v="2251/09/22 - 2251/09/28"/>
          <s v="2251/09/29 - 2251/10/05"/>
          <s v="2251/10/06 - 2251/10/12"/>
          <s v="2251/10/13 - 2251/10/19"/>
          <s v="2251/10/20 - 2251/10/26"/>
          <s v="2251/10/27 - 2251/11/02"/>
          <s v="2251/11/03 - 2251/11/09"/>
          <s v="2251/11/10 - 2251/11/16"/>
          <s v="2251/11/17 - 2251/11/23"/>
          <s v="2251/11/24 - 2251/11/30"/>
          <s v="2251/12/01 - 2251/12/07"/>
          <s v="2251/12/08 - 2251/12/14"/>
          <s v="2251/12/15 - 2251/12/21"/>
          <s v="2251/12/22 - 2251/12/28"/>
          <s v="2251/12/29 - 2252/01/04"/>
          <s v="2252/01/05 - 2252/01/11"/>
          <s v="2252/01/12 - 2252/01/18"/>
          <s v="2252/01/19 - 2252/01/25"/>
          <s v="2252/01/26 - 2252/02/01"/>
          <s v="2252/02/02 - 2252/02/08"/>
          <s v="2252/02/09 - 2252/02/15"/>
          <s v="2252/02/16 - 2252/02/22"/>
          <s v="2252/02/23 - 2252/02/29"/>
          <s v="2252/03/01 - 2252/03/07"/>
          <s v="2252/03/08 - 2252/03/14"/>
          <s v="2252/03/15 - 2252/03/21"/>
          <s v="2252/03/22 - 2252/03/28"/>
          <s v="2252/03/29 - 2252/04/04"/>
          <s v="2252/04/05 - 2252/04/11"/>
          <s v="2252/04/12 - 2252/04/18"/>
          <s v="2252/04/19 - 2252/04/25"/>
          <s v="2252/04/26 - 2252/05/02"/>
          <s v="2252/05/03 - 2252/05/09"/>
          <s v="2252/05/10 - 2252/05/16"/>
          <s v="2252/05/17 - 2252/05/23"/>
          <s v="2252/05/24 - 2252/05/30"/>
          <s v="2252/05/31 - 2252/06/06"/>
          <s v="2252/06/07 - 2252/06/13"/>
          <s v="2252/06/14 - 2252/06/20"/>
          <s v="2252/06/21 - 2252/06/27"/>
          <s v="2252/06/28 - 2252/07/04"/>
          <s v="2252/07/05 - 2252/07/11"/>
          <s v="2252/07/12 - 2252/07/18"/>
          <s v="2252/07/19 - 2252/07/25"/>
          <s v="2252/07/26 - 2252/08/01"/>
          <s v="2252/08/02 - 2252/08/08"/>
          <s v="2252/08/09 - 2252/08/15"/>
          <s v="2252/08/16 - 2252/08/22"/>
          <s v="2252/08/23 - 2252/08/29"/>
          <s v="2252/08/30 - 2252/09/05"/>
          <s v="2252/09/06 - 2252/09/12"/>
          <s v="2252/09/13 - 2252/09/19"/>
          <s v="2252/09/20 - 2252/09/26"/>
          <s v="2252/09/27 - 2252/10/03"/>
          <s v="2252/10/04 - 2252/10/10"/>
          <s v="2252/10/11 - 2252/10/17"/>
          <s v="2252/10/18 - 2252/10/24"/>
          <s v="2252/10/25 - 2252/10/31"/>
          <s v="2252/11/01 - 2252/11/07"/>
          <s v="2252/11/08 - 2252/11/14"/>
          <s v="2252/11/15 - 2252/11/21"/>
          <s v="2252/11/22 - 2252/11/28"/>
          <s v="2252/11/29 - 2252/12/05"/>
          <s v="2252/12/06 - 2252/12/12"/>
          <s v="2252/12/13 - 2252/12/19"/>
          <s v="2252/12/20 - 2252/12/26"/>
          <s v="2252/12/27 - 2253/01/02"/>
          <s v="2253/01/03 - 2253/01/09"/>
          <s v="2253/01/10 - 2253/01/16"/>
          <s v="2253/01/17 - 2253/01/23"/>
          <s v="2253/01/24 - 2253/01/30"/>
          <s v="2253/01/31 - 2253/02/06"/>
          <s v="2253/02/07 - 2253/02/13"/>
          <s v="2253/02/14 - 2253/02/20"/>
          <s v="2253/02/21 - 2253/02/27"/>
          <s v="2253/02/28 - 2253/03/06"/>
          <s v="2253/03/07 - 2253/03/13"/>
          <s v="2253/03/14 - 2253/03/20"/>
          <s v="2253/03/21 - 2253/03/27"/>
          <s v="2253/03/28 - 2253/04/03"/>
          <s v="2253/04/04 - 2253/04/10"/>
          <s v="2253/04/11 - 2253/04/17"/>
          <s v="2253/04/18 - 2253/04/24"/>
          <s v="2253/04/25 - 2253/05/01"/>
          <s v="2253/05/02 - 2253/05/08"/>
          <s v="2253/05/09 - 2253/05/15"/>
          <s v="2253/05/16 - 2253/05/22"/>
          <s v="2253/05/23 - 2253/05/29"/>
          <s v="2253/05/30 - 2253/06/05"/>
          <s v="2253/06/06 - 2253/06/12"/>
          <s v="2253/06/13 - 2253/06/19"/>
          <s v="2253/06/20 - 2253/06/26"/>
          <s v="2253/06/27 - 2253/07/03"/>
          <s v="2253/07/04 - 2253/07/10"/>
          <s v="2253/07/11 - 2253/07/17"/>
          <s v="2253/07/18 - 2253/07/24"/>
          <s v="2253/07/25 - 2253/07/31"/>
          <s v="2253/08/01 - 2253/08/07"/>
          <s v="2253/08/08 - 2253/08/14"/>
          <s v="2253/08/15 - 2253/08/21"/>
          <s v="2253/08/22 - 2253/08/28"/>
          <s v="2253/08/29 - 2253/09/04"/>
          <s v="2253/09/05 - 2253/09/11"/>
          <s v="2253/09/12 - 2253/09/18"/>
          <s v="2253/09/19 - 2253/09/25"/>
          <s v="2253/09/26 - 2253/10/02"/>
          <s v="2253/10/03 - 2253/10/09"/>
          <s v="2253/10/10 - 2253/10/16"/>
          <s v="2253/10/17 - 2253/10/23"/>
          <s v="2253/10/24 - 2253/10/30"/>
          <s v="2253/10/31 - 2253/11/06"/>
          <s v="2253/11/07 - 2253/11/13"/>
          <s v="2253/11/14 - 2253/11/20"/>
          <s v="2253/11/21 - 2253/11/27"/>
          <s v="2253/11/28 - 2253/12/04"/>
          <s v="2253/12/05 - 2253/12/11"/>
          <s v="2253/12/12 - 2253/12/18"/>
          <s v="2253/12/19 - 2253/12/25"/>
          <s v="2253/12/26 - 2254/01/01"/>
          <s v="2254/01/02 - 2254/01/08"/>
          <s v="2254/01/09 - 2254/01/15"/>
          <s v="2254/01/16 - 2254/01/22"/>
          <s v="2254/01/23 - 2254/01/29"/>
          <s v="2254/01/30 - 2254/02/05"/>
          <s v="2254/02/06 - 2254/02/12"/>
          <s v="2254/02/13 - 2254/02/19"/>
          <s v="2254/02/20 - 2254/02/26"/>
          <s v="2254/02/27 - 2254/03/05"/>
          <s v="2254/03/06 - 2254/03/12"/>
          <s v="2254/03/13 - 2254/03/19"/>
          <s v="2254/03/20 - 2254/03/26"/>
          <s v="2254/03/27 - 2254/04/02"/>
          <s v="2254/04/03 - 2254/04/09"/>
          <s v="2254/04/10 - 2254/04/16"/>
          <s v="2254/04/17 - 2254/04/23"/>
          <s v="2254/04/24 - 2254/04/30"/>
          <s v="2254/05/01 - 2254/05/07"/>
          <s v="2254/05/08 - 2254/05/14"/>
          <s v="2254/05/15 - 2254/05/21"/>
          <s v="2254/05/22 - 2254/05/28"/>
          <s v="2254/05/29 - 2254/06/04"/>
          <s v="2254/06/05 - 2254/06/11"/>
          <s v="2254/06/12 - 2254/06/18"/>
          <s v="2254/06/19 - 2254/06/25"/>
          <s v="2254/06/26 - 2254/07/02"/>
          <s v="2254/07/03 - 2254/07/09"/>
          <s v="2254/07/10 - 2254/07/16"/>
          <s v="2254/07/17 - 2254/07/23"/>
          <s v="2254/07/24 - 2254/07/30"/>
          <s v="2254/07/31 - 2254/08/06"/>
          <s v="2254/08/07 - 2254/08/13"/>
          <s v="2254/08/14 - 2254/08/20"/>
          <s v="2254/08/21 - 2254/08/27"/>
          <s v="2254/08/28 - 2254/09/03"/>
          <s v="2254/09/04 - 2254/09/10"/>
          <s v="2254/09/11 - 2254/09/17"/>
          <s v="2254/09/18 - 2254/09/24"/>
          <s v="2254/09/25 - 2254/10/01"/>
          <s v="2254/10/02 - 2254/10/08"/>
          <s v="2254/10/09 - 2254/10/15"/>
          <s v="2254/10/16 - 2254/10/22"/>
          <s v="2254/10/23 - 2254/10/29"/>
          <s v="2254/10/30 - 2254/11/05"/>
          <s v="2254/11/06 - 2254/11/12"/>
          <s v="2254/11/13 - 2254/11/19"/>
          <s v="2254/11/20 - 2254/11/26"/>
          <s v="2254/11/27 - 2254/12/03"/>
          <s v="2254/12/04 - 2254/12/10"/>
          <s v="2254/12/11 - 2254/12/17"/>
          <s v="2254/12/18 - 2254/12/24"/>
          <s v="2254/12/25 - 2254/12/31"/>
          <s v="2255/01/01 - 2255/01/07"/>
          <s v="2255/01/08 - 2255/01/14"/>
          <s v="2255/01/15 - 2255/01/21"/>
          <s v="2255/01/22 - 2255/01/28"/>
          <s v="2255/01/29 - 2255/02/04"/>
          <s v="2255/02/05 - 2255/02/11"/>
          <s v="2255/02/12 - 2255/02/18"/>
          <s v="2255/02/19 - 2255/02/25"/>
          <s v="2255/02/26 - 2255/03/04"/>
          <s v="2255/03/05 - 2255/03/11"/>
          <s v="2255/03/12 - 2255/03/18"/>
          <s v="2255/03/19 - 2255/03/25"/>
          <s v="2255/03/26 - 2255/04/01"/>
          <s v="2255/04/02 - 2255/04/08"/>
          <s v="2255/04/09 - 2255/04/15"/>
          <s v="2255/04/16 - 2255/04/22"/>
          <s v="2255/04/23 - 2255/04/29"/>
          <s v="2255/04/30 - 2255/05/06"/>
          <s v="2255/05/07 - 2255/05/13"/>
          <s v="2255/05/14 - 2255/05/20"/>
          <s v="2255/05/21 - 2255/05/27"/>
          <s v="2255/05/28 - 2255/06/03"/>
          <s v="2255/06/04 - 2255/06/10"/>
          <s v="2255/06/11 - 2255/06/17"/>
          <s v="2255/06/18 - 2255/06/24"/>
          <s v="2255/06/25 - 2255/07/01"/>
          <s v="2255/07/02 - 2255/07/08"/>
          <s v="2255/07/09 - 2255/07/15"/>
          <s v="2255/07/16 - 2255/07/22"/>
          <s v="2255/07/23 - 2255/07/29"/>
          <s v="2255/07/30 - 2255/08/05"/>
          <s v="2255/08/06 - 2255/08/12"/>
          <s v="2255/08/13 - 2255/08/19"/>
          <s v="2255/08/20 - 2255/08/26"/>
          <s v="2255/08/27 - 2255/09/02"/>
          <s v="2255/09/03 - 2255/09/09"/>
          <s v="2255/09/10 - 2255/09/16"/>
          <s v="2255/09/17 - 2255/09/23"/>
          <s v="2255/09/24 - 2255/09/30"/>
          <s v="2255/10/01 - 2255/10/07"/>
          <s v="2255/10/08 - 2255/10/14"/>
          <s v="2255/10/15 - 2255/10/21"/>
          <s v="2255/10/22 - 2255/10/28"/>
          <s v="2255/10/29 - 2255/11/04"/>
          <s v="2255/11/05 - 2255/11/11"/>
          <s v="2255/11/12 - 2255/11/18"/>
          <s v="2255/11/19 - 2255/11/25"/>
          <s v="2255/11/26 - 2255/12/02"/>
          <s v="2255/12/03 - 2255/12/09"/>
          <s v="2255/12/10 - 2255/12/16"/>
          <s v="2255/12/17 - 2255/12/23"/>
          <s v="2255/12/24 - 2255/12/30"/>
          <s v="2255/12/31 - 2256/01/06"/>
          <s v="2256/01/07 - 2256/01/13"/>
          <s v="2256/01/14 - 2256/01/20"/>
          <s v="2256/01/21 - 2256/01/27"/>
          <s v="2256/01/28 - 2256/02/03"/>
          <s v="2256/02/04 - 2256/02/10"/>
          <s v="2256/02/11 - 2256/02/17"/>
          <s v="2256/02/18 - 2256/02/24"/>
          <s v="2256/02/25 - 2256/03/02"/>
          <s v="2256/03/03 - 2256/03/09"/>
          <s v="2256/03/10 - 2256/03/16"/>
          <s v="2256/03/17 - 2256/03/23"/>
          <s v="2256/03/24 - 2256/03/30"/>
          <s v="2256/03/31 - 2256/04/06"/>
          <s v="2256/04/07 - 2256/04/13"/>
          <s v="2256/04/14 - 2256/04/20"/>
          <s v="2256/04/21 - 2256/04/27"/>
          <s v="2256/04/28 - 2256/05/04"/>
          <s v="2256/05/05 - 2256/05/11"/>
          <s v="2256/05/12 - 2256/05/18"/>
          <s v="2256/05/19 - 2256/05/25"/>
          <s v="2256/05/26 - 2256/06/01"/>
          <s v="2256/06/02 - 2256/06/08"/>
          <s v="2256/06/09 - 2256/06/15"/>
          <s v="2256/06/16 - 2256/06/22"/>
          <s v="2256/06/23 - 2256/06/29"/>
          <s v="2256/06/30 - 2256/07/06"/>
          <s v="2256/07/07 - 2256/07/13"/>
          <s v="2256/07/14 - 2256/07/20"/>
          <s v="2256/07/21 - 2256/07/27"/>
          <s v="2256/07/28 - 2256/08/03"/>
          <s v="2256/08/04 - 2256/08/10"/>
          <s v="2256/08/11 - 2256/08/17"/>
          <s v="2256/08/18 - 2256/08/24"/>
          <s v="2256/08/25 - 2256/08/31"/>
          <s v="2256/09/01 - 2256/09/07"/>
          <s v="2256/09/08 - 2256/09/14"/>
          <s v="2256/09/15 - 2256/09/21"/>
          <s v="2256/09/22 - 2256/09/28"/>
          <s v="2256/09/29 - 2256/10/05"/>
          <s v="2256/10/06 - 2256/10/12"/>
          <s v="2256/10/13 - 2256/10/19"/>
          <s v="2256/10/20 - 2256/10/26"/>
          <s v="2256/10/27 - 2256/11/02"/>
          <s v="2256/11/03 - 2256/11/09"/>
          <s v="2256/11/10 - 2256/11/16"/>
          <s v="2256/11/17 - 2256/11/23"/>
          <s v="2256/11/24 - 2256/11/30"/>
          <s v="2256/12/01 - 2256/12/07"/>
          <s v="2256/12/08 - 2256/12/14"/>
          <s v="2256/12/15 - 2256/12/21"/>
          <s v="2256/12/22 - 2256/12/28"/>
          <s v="2256/12/29 - 2257/01/04"/>
          <s v="2257/01/05 - 2257/01/11"/>
          <s v="2257/01/12 - 2257/01/18"/>
          <s v="2257/01/19 - 2257/01/25"/>
          <s v="2257/01/26 - 2257/02/01"/>
          <s v="2257/02/02 - 2257/02/08"/>
          <s v="2257/02/09 - 2257/02/15"/>
          <s v="2257/02/16 - 2257/02/22"/>
          <s v="2257/02/23 - 2257/03/01"/>
          <s v="2257/03/02 - 2257/03/08"/>
          <s v="2257/03/09 - 2257/03/15"/>
          <s v="2257/03/16 - 2257/03/22"/>
          <s v="2257/03/23 - 2257/03/29"/>
          <s v="2257/03/30 - 2257/04/05"/>
          <s v="2257/04/06 - 2257/04/12"/>
          <s v="2257/04/13 - 2257/04/19"/>
          <s v="2257/04/20 - 2257/04/26"/>
          <s v="2257/04/27 - 2257/05/03"/>
          <s v="2257/05/04 - 2257/05/10"/>
          <s v="2257/05/11 - 2257/05/17"/>
          <s v="2257/05/18 - 2257/05/24"/>
          <s v="2257/05/25 - 2257/05/31"/>
          <s v="2257/06/01 - 2257/06/07"/>
          <s v="2257/06/08 - 2257/06/14"/>
          <s v="2257/06/15 - 2257/06/21"/>
          <s v="2257/06/22 - 2257/06/28"/>
          <s v="2257/06/29 - 2257/07/05"/>
          <s v="2257/07/06 - 2257/07/12"/>
          <s v="2257/07/13 - 2257/07/19"/>
          <s v="2257/07/20 - 2257/07/26"/>
          <s v="2257/07/27 - 2257/08/02"/>
          <s v="2257/08/03 - 2257/08/09"/>
          <s v="2257/08/10 - 2257/08/16"/>
          <s v="2257/08/17 - 2257/08/23"/>
          <s v="2257/08/24 - 2257/08/30"/>
          <s v="2257/08/31 - 2257/09/06"/>
          <s v="2257/09/07 - 2257/09/13"/>
          <s v="2257/09/14 - 2257/09/20"/>
          <s v="2257/09/21 - 2257/09/27"/>
          <s v="2257/09/28 - 2257/10/04"/>
          <s v="2257/10/05 - 2257/10/11"/>
          <s v="2257/10/12 - 2257/10/18"/>
          <s v="2257/10/19 - 2257/10/25"/>
          <s v="2257/10/26 - 2257/11/01"/>
          <s v="2257/11/02 - 2257/11/08"/>
          <s v="2257/11/09 - 2257/11/15"/>
          <s v="2257/11/16 - 2257/11/22"/>
          <s v="2257/11/23 - 2257/11/29"/>
          <s v="2257/11/30 - 2257/12/06"/>
          <s v="2257/12/07 - 2257/12/13"/>
          <s v="2257/12/14 - 2257/12/20"/>
          <s v="2257/12/21 - 2257/12/27"/>
          <s v="2257/12/28 - 2258/01/03"/>
          <s v="2258/01/04 - 2258/01/10"/>
          <s v="2258/01/11 - 2258/01/17"/>
          <s v="2258/01/18 - 2258/01/24"/>
          <s v="2258/01/25 - 2258/01/31"/>
          <s v="2258/02/01 - 2258/02/07"/>
          <s v="2258/02/08 - 2258/02/14"/>
          <s v="2258/02/15 - 2258/02/21"/>
          <s v="2258/02/22 - 2258/02/28"/>
          <s v="2258/03/01 - 2258/03/07"/>
          <s v="2258/03/08 - 2258/03/14"/>
          <s v="2258/03/15 - 2258/03/21"/>
          <s v="2258/03/22 - 2258/03/28"/>
          <s v="2258/03/29 - 2258/04/04"/>
          <s v="2258/04/05 - 2258/04/11"/>
          <s v="2258/04/12 - 2258/04/18"/>
          <s v="2258/04/19 - 2258/04/25"/>
          <s v="2258/04/26 - 2258/05/02"/>
          <s v="2258/05/03 - 2258/05/09"/>
          <s v="2258/05/10 - 2258/05/16"/>
          <s v="2258/05/17 - 2258/05/23"/>
          <s v="2258/05/24 - 2258/05/30"/>
          <s v="2258/05/31 - 2258/06/06"/>
          <s v="2258/06/07 - 2258/06/13"/>
          <s v="2258/06/14 - 2258/06/20"/>
          <s v="2258/06/21 - 2258/06/27"/>
          <s v="2258/06/28 - 2258/07/04"/>
          <s v="2258/07/05 - 2258/07/11"/>
          <s v="2258/07/12 - 2258/07/18"/>
          <s v="2258/07/19 - 2258/07/25"/>
          <s v="2258/07/26 - 2258/08/01"/>
          <s v="2258/08/02 - 2258/08/08"/>
          <s v="2258/08/09 - 2258/08/15"/>
          <s v="2258/08/16 - 2258/08/22"/>
          <s v="2258/08/23 - 2258/08/29"/>
          <s v="2258/08/30 - 2258/09/05"/>
          <s v="2258/09/06 - 2258/09/12"/>
          <s v="2258/09/13 - 2258/09/19"/>
          <s v="2258/09/20 - 2258/09/26"/>
          <s v="2258/09/27 - 2258/10/03"/>
          <s v="2258/10/04 - 2258/10/10"/>
          <s v="2258/10/11 - 2258/10/17"/>
          <s v="2258/10/18 - 2258/10/24"/>
          <s v="2258/10/25 - 2258/10/31"/>
          <s v="2258/11/01 - 2258/11/07"/>
          <s v="2258/11/08 - 2258/11/14"/>
          <s v="2258/11/15 - 2258/11/21"/>
          <s v="2258/11/22 - 2258/11/28"/>
          <s v="2258/11/29 - 2258/12/05"/>
          <s v="2258/12/06 - 2258/12/12"/>
          <s v="2258/12/13 - 2258/12/19"/>
          <s v="2258/12/20 - 2258/12/26"/>
          <s v="2258/12/27 - 2259/01/02"/>
          <s v="2259/01/03 - 2259/01/09"/>
          <s v="2259/01/10 - 2259/01/16"/>
          <s v="2259/01/17 - 2259/01/23"/>
          <s v="2259/01/24 - 2259/01/30"/>
          <s v="2259/01/31 - 2259/02/06"/>
          <s v="2259/02/07 - 2259/02/13"/>
          <s v="2259/02/14 - 2259/02/20"/>
          <s v="2259/02/21 - 2259/02/27"/>
          <s v="2259/02/28 - 2259/03/06"/>
          <s v="2259/03/07 - 2259/03/13"/>
          <s v="2259/03/14 - 2259/03/20"/>
          <s v="2259/03/21 - 2259/03/27"/>
          <s v="2259/03/28 - 2259/04/03"/>
          <s v="2259/04/04 - 2259/04/10"/>
          <s v="2259/04/11 - 2259/04/17"/>
          <s v="2259/04/18 - 2259/04/24"/>
          <s v="2259/04/25 - 2259/05/01"/>
          <s v="2259/05/02 - 2259/05/08"/>
          <s v="2259/05/09 - 2259/05/15"/>
          <s v="2259/05/16 - 2259/05/22"/>
          <s v="2259/05/23 - 2259/05/29"/>
          <s v="2259/05/30 - 2259/06/05"/>
          <s v="2259/06/06 - 2259/06/12"/>
          <s v="2259/06/13 - 2259/06/19"/>
          <s v="2259/06/20 - 2259/06/26"/>
          <s v="2259/06/27 - 2259/07/03"/>
          <s v="2259/07/04 - 2259/07/10"/>
          <s v="2259/07/11 - 2259/07/17"/>
          <s v="2259/07/18 - 2259/07/24"/>
          <s v="2259/07/25 - 2259/07/31"/>
          <s v="2259/08/01 - 2259/08/07"/>
          <s v="2259/08/08 - 2259/08/14"/>
          <s v="2259/08/15 - 2259/08/21"/>
          <s v="2259/08/22 - 2259/08/28"/>
          <s v="2259/08/29 - 2259/09/04"/>
          <s v="2259/09/05 - 2259/09/11"/>
          <s v="2259/09/12 - 2259/09/18"/>
          <s v="2259/09/19 - 2259/09/25"/>
          <s v="2259/09/26 - 2259/10/02"/>
          <s v="2259/10/03 - 2259/10/09"/>
          <s v="2259/10/10 - 2259/10/16"/>
          <s v="2259/10/17 - 2259/10/23"/>
          <s v="2259/10/24 - 2259/10/30"/>
          <s v="2259/10/31 - 2259/11/06"/>
          <s v="2259/11/07 - 2259/11/13"/>
          <s v="2259/11/14 - 2259/11/20"/>
          <s v="2259/11/21 - 2259/11/27"/>
          <s v="2259/11/28 - 2259/12/04"/>
          <s v="2259/12/05 - 2259/12/11"/>
          <s v="2259/12/12 - 2259/12/18"/>
          <s v="2259/12/19 - 2259/12/25"/>
          <s v="2259/12/26 - 2260/01/01"/>
          <s v="2260/01/02 - 2260/01/08"/>
          <s v="2260/01/09 - 2260/01/15"/>
          <s v="2260/01/16 - 2260/01/22"/>
          <s v="2260/01/23 - 2260/01/29"/>
          <s v="2260/01/30 - 2260/02/05"/>
          <s v="2260/02/06 - 2260/02/12"/>
          <s v="2260/02/13 - 2260/02/19"/>
          <s v="2260/02/20 - 2260/02/26"/>
          <s v="2260/02/27 - 2260/03/04"/>
          <s v="2260/03/05 - 2260/03/11"/>
          <s v="2260/03/12 - 2260/03/18"/>
          <s v="2260/03/19 - 2260/03/25"/>
          <s v="2260/03/26 - 2260/04/01"/>
          <s v="2260/04/02 - 2260/04/08"/>
          <s v="2260/04/09 - 2260/04/15"/>
          <s v="2260/04/16 - 2260/04/22"/>
          <s v="2260/04/23 - 2260/04/29"/>
          <s v="2260/04/30 - 2260/05/06"/>
          <s v="2260/05/07 - 2260/05/13"/>
          <s v="2260/05/14 - 2260/05/20"/>
          <s v="2260/05/21 - 2260/05/27"/>
          <s v="2260/05/28 - 2260/06/03"/>
          <s v="2260/06/04 - 2260/06/10"/>
          <s v="2260/06/11 - 2260/06/17"/>
          <s v="2260/06/18 - 2260/06/24"/>
          <s v="2260/06/25 - 2260/07/01"/>
          <s v="2260/07/02 - 2260/07/08"/>
          <s v="2260/07/09 - 2260/07/15"/>
          <s v="2260/07/16 - 2260/07/22"/>
          <s v="2260/07/23 - 2260/07/29"/>
          <s v="2260/07/30 - 2260/08/05"/>
          <s v="2260/08/06 - 2260/08/12"/>
          <s v="2260/08/13 - 2260/08/19"/>
          <s v="2260/08/20 - 2260/08/26"/>
          <s v="2260/08/27 - 2260/09/02"/>
          <s v="2260/09/03 - 2260/09/09"/>
          <s v="2260/09/10 - 2260/09/16"/>
          <s v="2260/09/17 - 2260/09/23"/>
          <s v="2260/09/24 - 2260/09/30"/>
          <s v="2260/10/01 - 2260/10/07"/>
          <s v="2260/10/08 - 2260/10/14"/>
          <s v="2260/10/15 - 2260/10/21"/>
          <s v="2260/10/22 - 2260/10/28"/>
          <s v="2260/10/29 - 2260/11/04"/>
          <s v="2260/11/05 - 2260/11/11"/>
          <s v="2260/11/12 - 2260/11/18"/>
          <s v="2260/11/19 - 2260/11/25"/>
          <s v="2260/11/26 - 2260/12/02"/>
          <s v="2260/12/03 - 2260/12/09"/>
          <s v="2260/12/10 - 2260/12/16"/>
          <s v="2260/12/17 - 2260/12/23"/>
          <s v="2260/12/24 - 2260/12/30"/>
          <s v="2260/12/31 - 2261/01/06"/>
          <s v="2261/01/07 - 2261/01/13"/>
          <s v="2261/01/14 - 2261/01/20"/>
          <s v="2261/01/21 - 2261/01/27"/>
          <s v="2261/01/28 - 2261/02/03"/>
          <s v="2261/02/04 - 2261/02/10"/>
          <s v="2261/02/11 - 2261/02/17"/>
          <s v="2261/02/18 - 2261/02/24"/>
          <s v="2261/02/25 - 2261/03/03"/>
          <s v="2261/03/04 - 2261/03/10"/>
          <s v="2261/03/11 - 2261/03/17"/>
          <s v="2261/03/18 - 2261/03/24"/>
          <s v="2261/03/25 - 2261/03/31"/>
          <s v="2261/04/01 - 2261/04/07"/>
          <s v="2261/04/08 - 2261/04/14"/>
          <s v="2261/04/15 - 2261/04/21"/>
          <s v="2261/04/22 - 2261/04/28"/>
          <s v="2261/04/29 - 2261/05/05"/>
          <s v="2261/05/06 - 2261/05/12"/>
          <s v="2261/05/13 - 2261/05/19"/>
          <s v="2261/05/20 - 2261/05/26"/>
          <s v="2261/05/27 - 2261/06/02"/>
          <s v="2261/06/03 - 2261/06/09"/>
          <s v="2261/06/10 - 2261/06/16"/>
          <s v="2261/06/17 - 2261/06/23"/>
          <s v="2261/06/24 - 2261/06/30"/>
          <s v="2261/07/01 - 2261/07/07"/>
          <s v="2261/07/08 - 2261/07/14"/>
          <s v="2261/07/15 - 2261/07/21"/>
          <s v="2261/07/22 - 2261/07/28"/>
          <s v="2261/07/29 - 2261/08/04"/>
          <s v="2261/08/05 - 2261/08/11"/>
          <s v="2261/08/12 - 2261/08/18"/>
          <s v="2261/08/19 - 2261/08/25"/>
          <s v="2261/08/26 - 2261/09/01"/>
          <s v="2261/09/02 - 2261/09/08"/>
          <s v="2261/09/09 - 2261/09/15"/>
          <s v="2261/09/16 - 2261/09/22"/>
          <s v="2261/09/23 - 2261/09/29"/>
          <s v="2261/09/30 - 2261/10/06"/>
          <s v="2261/10/07 - 2261/10/13"/>
          <s v="2261/10/14 - 2261/10/20"/>
          <s v="2261/10/21 - 2261/10/27"/>
          <s v="2261/10/28 - 2261/11/03"/>
          <s v="2261/11/04 - 2261/11/10"/>
          <s v="2261/11/11 - 2261/11/17"/>
          <s v="2261/11/18 - 2261/11/24"/>
          <s v="2261/11/25 - 2261/12/01"/>
          <s v="2261/12/02 - 2261/12/08"/>
          <s v="2261/12/09 - 2261/12/15"/>
          <s v="2261/12/16 - 2261/12/22"/>
          <s v="2261/12/23 - 2261/12/29"/>
          <s v="2261/12/30 - 2262/01/05"/>
          <s v="2262/01/06 - 2262/01/12"/>
          <s v="2262/01/13 - 2262/01/19"/>
          <s v="2262/01/20 - 2262/01/26"/>
          <s v="2262/01/27 - 2262/02/02"/>
          <s v="2262/02/03 - 2262/02/09"/>
          <s v="2262/02/10 - 2262/02/16"/>
          <s v="2262/02/17 - 2262/02/23"/>
          <s v="2262/02/24 - 2262/03/02"/>
          <s v="2262/03/03 - 2262/03/09"/>
          <s v="2262/03/10 - 2262/03/16"/>
          <s v="2262/03/17 - 2262/03/23"/>
          <s v="2262/03/24 - 2262/03/30"/>
          <s v="2262/03/31 - 2262/04/06"/>
          <s v="2262/04/07 - 2262/04/13"/>
          <s v="2262/04/14 - 2262/04/20"/>
          <s v="2262/04/21 - 2262/04/27"/>
          <s v="2262/04/28 - 2262/05/04"/>
          <s v="2262/05/05 - 2262/05/11"/>
          <s v="2262/05/12 - 2262/05/18"/>
          <s v="2262/05/19 - 2262/05/25"/>
          <s v="2262/05/26 - 2262/06/01"/>
          <s v="2262/06/02 - 2262/06/08"/>
          <s v="2262/06/09 - 2262/06/15"/>
          <s v="2262/06/16 - 2262/06/22"/>
          <s v="2262/06/23 - 2262/06/29"/>
          <s v="2262/06/30 - 2262/07/06"/>
          <s v="2262/07/07 - 2262/07/13"/>
          <s v="2262/07/14 - 2262/07/20"/>
          <s v="2262/07/21 - 2262/07/27"/>
          <s v="2262/07/28 - 2262/08/03"/>
          <s v="2262/08/04 - 2262/08/10"/>
          <s v="2262/08/11 - 2262/08/17"/>
          <s v="2262/08/18 - 2262/08/24"/>
          <s v="2262/08/25 - 2262/08/31"/>
          <s v="2262/09/01 - 2262/09/07"/>
          <s v="2262/09/08 - 2262/09/14"/>
          <s v="2262/09/15 - 2262/09/21"/>
          <s v="2262/09/22 - 2262/09/28"/>
          <s v="2262/09/29 - 2262/10/05"/>
          <s v="2262/10/06 - 2262/10/12"/>
          <s v="2262/10/13 - 2262/10/19"/>
          <s v="2262/10/20 - 2262/10/26"/>
          <s v="2262/10/27 - 2262/11/02"/>
          <s v="2262/11/03 - 2262/11/09"/>
          <s v="2262/11/10 - 2262/11/16"/>
          <s v="2262/11/17 - 2262/11/23"/>
          <s v="2262/11/24 - 2262/11/30"/>
          <s v="2262/12/01 - 2262/12/07"/>
          <s v="2262/12/08 - 2262/12/14"/>
          <s v="2262/12/15 - 2262/12/21"/>
          <s v="2262/12/22 - 2262/12/28"/>
          <s v="2262/12/29 - 2263/01/04"/>
          <s v="2263/01/05 - 2263/01/11"/>
          <s v="2263/01/12 - 2263/01/18"/>
          <s v="2263/01/19 - 2263/01/25"/>
          <s v="2263/01/26 - 2263/02/01"/>
          <s v="2263/02/02 - 2263/02/08"/>
          <s v="2263/02/09 - 2263/02/15"/>
          <s v="2263/02/16 - 2263/02/22"/>
          <s v="2263/02/23 - 2263/03/01"/>
          <s v="2263/03/02 - 2263/03/08"/>
          <s v="2263/03/09 - 2263/03/15"/>
          <s v="2263/03/16 - 2263/03/22"/>
          <s v="2263/03/23 - 2263/03/29"/>
          <s v="2263/03/30 - 2263/04/05"/>
          <s v="2263/04/06 - 2263/04/12"/>
          <s v="2263/04/13 - 2263/04/19"/>
          <s v="2263/04/20 - 2263/04/26"/>
          <s v="2263/04/27 - 2263/05/03"/>
          <s v="2263/05/04 - 2263/05/10"/>
          <s v="2263/05/11 - 2263/05/17"/>
          <s v="2263/05/18 - 2263/05/24"/>
          <s v="2263/05/25 - 2263/05/31"/>
          <s v="2263/06/01 - 2263/06/07"/>
          <s v="2263/06/08 - 2263/06/14"/>
          <s v="2263/06/15 - 2263/06/21"/>
          <s v="2263/06/22 - 2263/06/28"/>
          <s v="2263/06/29 - 2263/07/05"/>
          <s v="2263/07/06 - 2263/07/12"/>
          <s v="2263/07/13 - 2263/07/19"/>
          <s v="2263/07/20 - 2263/07/26"/>
          <s v="2263/07/27 - 2263/08/02"/>
          <s v="2263/08/03 - 2263/08/09"/>
          <s v="2263/08/10 - 2263/08/16"/>
          <s v="2263/08/17 - 2263/08/23"/>
          <s v="2263/08/24 - 2263/08/30"/>
          <s v="2263/08/31 - 2263/09/06"/>
          <s v="2263/09/07 - 2263/09/13"/>
          <s v="2263/09/14 - 2263/09/20"/>
          <s v="2263/09/21 - 2263/09/27"/>
          <s v="2263/09/28 - 2263/10/04"/>
          <s v="2263/10/05 - 2263/10/11"/>
          <s v="2263/10/12 - 2263/10/18"/>
          <s v="2263/10/19 - 2263/10/25"/>
          <s v="2263/10/26 - 2263/11/01"/>
          <s v="2263/11/02 - 2263/11/08"/>
          <s v="2263/11/09 - 2263/11/15"/>
          <s v="2263/11/16 - 2263/11/22"/>
          <s v="2263/11/23 - 2263/11/29"/>
          <s v="2263/11/30 - 2263/12/06"/>
          <s v="2263/12/07 - 2263/12/13"/>
          <s v="2263/12/14 - 2263/12/20"/>
          <s v="2263/12/21 - 2263/12/27"/>
          <s v="2263/12/28 - 2264/01/03"/>
          <s v="2264/01/04 - 2264/01/10"/>
          <s v="2264/01/11 - 2264/01/17"/>
          <s v="2264/01/18 - 2264/01/24"/>
          <s v="2264/01/25 - 2264/01/31"/>
          <s v="2264/02/01 - 2264/02/07"/>
          <s v="2264/02/08 - 2264/02/14"/>
          <s v="2264/02/15 - 2264/02/21"/>
          <s v="2264/02/22 - 2264/02/28"/>
          <s v="2264/02/29 - 2264/03/06"/>
          <s v="2264/03/07 - 2264/03/13"/>
          <s v="2264/03/14 - 2264/03/20"/>
          <s v="2264/03/21 - 2264/03/27"/>
          <s v="2264/03/28 - 2264/04/03"/>
          <s v="2264/04/04 - 2264/04/10"/>
          <s v="2264/04/11 - 2264/04/17"/>
          <s v="2264/04/18 - 2264/04/24"/>
          <s v="2264/04/25 - 2264/05/01"/>
          <s v="2264/05/02 - 2264/05/08"/>
          <s v="2264/05/09 - 2264/05/15"/>
          <s v="2264/05/16 - 2264/05/22"/>
          <s v="2264/05/23 - 2264/05/29"/>
          <s v="2264/05/30 - 2264/06/05"/>
          <s v="2264/06/06 - 2264/06/12"/>
          <s v="2264/06/13 - 2264/06/19"/>
          <s v="2264/06/20 - 2264/06/26"/>
          <s v="2264/06/27 - 2264/07/03"/>
          <s v="2264/07/04 - 2264/07/10"/>
          <s v="2264/07/11 - 2264/07/17"/>
          <s v="2264/07/18 - 2264/07/24"/>
          <s v="2264/07/25 - 2264/07/31"/>
          <s v="2264/08/01 - 2264/08/07"/>
          <s v="2264/08/08 - 2264/08/14"/>
          <s v="2264/08/15 - 2264/08/21"/>
          <s v="2264/08/22 - 2264/08/28"/>
          <s v="2264/08/29 - 2264/09/04"/>
          <s v="2264/09/05 - 2264/09/11"/>
          <s v="2264/09/12 - 2264/09/18"/>
          <s v="2264/09/19 - 2264/09/25"/>
          <s v="2264/09/26 - 2264/10/02"/>
          <s v="2264/10/03 - 2264/10/09"/>
          <s v="2264/10/10 - 2264/10/16"/>
          <s v="2264/10/17 - 2264/10/23"/>
          <s v="2264/10/24 - 2264/10/30"/>
          <s v="2264/10/31 - 2264/11/06"/>
          <s v="2264/11/07 - 2264/11/13"/>
          <s v="2264/11/14 - 2264/11/20"/>
          <s v="2264/11/21 - 2264/11/27"/>
          <s v="2264/11/28 - 2264/12/04"/>
          <s v="2264/12/05 - 2264/12/11"/>
          <s v="2264/12/12 - 2264/12/18"/>
          <s v="2264/12/19 - 2264/12/25"/>
          <s v="2264/12/26 - 2265/01/01"/>
          <s v="2265/01/02 - 2265/01/08"/>
          <s v="2265/01/09 - 2265/01/15"/>
          <s v="2265/01/16 - 2265/01/22"/>
          <s v="2265/01/23 - 2265/01/29"/>
          <s v="2265/01/30 - 2265/02/05"/>
          <s v="2265/02/06 - 2265/02/12"/>
          <s v="2265/02/13 - 2265/02/19"/>
          <s v="2265/02/20 - 2265/02/26"/>
          <s v="2265/02/27 - 2265/03/05"/>
          <s v="2265/03/06 - 2265/03/12"/>
          <s v="2265/03/13 - 2265/03/19"/>
          <s v="2265/03/20 - 2265/03/26"/>
          <s v="2265/03/27 - 2265/04/02"/>
          <s v="2265/04/03 - 2265/04/09"/>
          <s v="2265/04/10 - 2265/04/16"/>
          <s v="2265/04/17 - 2265/04/23"/>
          <s v="2265/04/24 - 2265/04/30"/>
          <s v="2265/05/01 - 2265/05/07"/>
          <s v="2265/05/08 - 2265/05/14"/>
          <s v="2265/05/15 - 2265/05/21"/>
          <s v="2265/05/22 - 2265/05/28"/>
          <s v="2265/05/29 - 2265/06/04"/>
          <s v="2265/06/05 - 2265/06/11"/>
          <s v="2265/06/12 - 2265/06/18"/>
          <s v="2265/06/19 - 2265/06/25"/>
          <s v="2265/06/26 - 2265/07/02"/>
          <s v="2265/07/03 - 2265/07/09"/>
          <s v="2265/07/10 - 2265/07/16"/>
          <s v="2265/07/17 - 2265/07/23"/>
          <s v="2265/07/24 - 2265/07/30"/>
          <s v="2265/07/31 - 2265/08/06"/>
          <s v="2265/08/07 - 2265/08/13"/>
          <s v="2265/08/14 - 2265/08/20"/>
          <s v="2265/08/21 - 2265/08/27"/>
          <s v="2265/08/28 - 2265/09/03"/>
          <s v="2265/09/04 - 2265/09/10"/>
          <s v="2265/09/11 - 2265/09/17"/>
          <s v="2265/09/18 - 2265/09/24"/>
          <s v="2265/09/25 - 2265/10/01"/>
          <s v="2265/10/02 - 2265/10/08"/>
          <s v="2265/10/09 - 2265/10/15"/>
          <s v="2265/10/16 - 2265/10/22"/>
          <s v="2265/10/23 - 2265/10/29"/>
          <s v="2265/10/30 - 2265/11/05"/>
          <s v="2265/11/06 - 2265/11/12"/>
          <s v="2265/11/13 - 2265/11/19"/>
          <s v="2265/11/20 - 2265/11/26"/>
          <s v="2265/11/27 - 2265/12/03"/>
          <s v="2265/12/04 - 2265/12/10"/>
          <s v="2265/12/11 - 2265/12/17"/>
          <s v="2265/12/18 - 2265/12/24"/>
          <s v="2265/12/25 - 2265/12/31"/>
          <s v="2266/01/01 - 2266/01/07"/>
          <s v="2266/01/08 - 2266/01/14"/>
          <s v="2266/01/15 - 2266/01/21"/>
          <s v="2266/01/22 - 2266/01/28"/>
          <s v="2266/01/29 - 2266/02/04"/>
          <s v="2266/02/05 - 2266/02/11"/>
          <s v="2266/02/12 - 2266/02/18"/>
          <s v="2266/02/19 - 2266/02/25"/>
          <s v="2266/02/26 - 2266/03/04"/>
          <s v="2266/03/05 - 2266/03/11"/>
          <s v="2266/03/12 - 2266/03/18"/>
          <s v="2266/03/19 - 2266/03/25"/>
          <s v="2266/03/26 - 2266/04/01"/>
          <s v="2266/04/02 - 2266/04/08"/>
          <s v="2266/04/09 - 2266/04/15"/>
          <s v="2266/04/16 - 2266/04/22"/>
          <s v="2266/04/23 - 2266/04/29"/>
          <s v="2266/04/30 - 2266/05/06"/>
          <s v="2266/05/07 - 2266/05/13"/>
          <s v="2266/05/14 - 2266/05/20"/>
          <s v="2266/05/21 - 2266/05/27"/>
          <s v="2266/05/28 - 2266/06/03"/>
          <s v="2266/06/04 - 2266/06/10"/>
          <s v="2266/06/11 - 2266/06/17"/>
          <s v="2266/06/18 - 2266/06/24"/>
          <s v="2266/06/25 - 2266/07/01"/>
          <s v="2266/07/02 - 2266/07/08"/>
          <s v="2266/07/09 - 2266/07/15"/>
          <s v="2266/07/16 - 2266/07/22"/>
          <s v="2266/07/23 - 2266/07/29"/>
          <s v="2266/07/30 - 2266/08/05"/>
          <s v="2266/08/06 - 2266/08/12"/>
          <s v="2266/08/13 - 2266/08/19"/>
          <s v="2266/08/20 - 2266/08/26"/>
          <s v="2266/08/27 - 2266/09/02"/>
          <s v="2266/09/03 - 2266/09/09"/>
          <s v="2266/09/10 - 2266/09/16"/>
          <s v="2266/09/17 - 2266/09/23"/>
          <s v="2266/09/24 - 2266/09/30"/>
          <s v="2266/10/01 - 2266/10/07"/>
          <s v="2266/10/08 - 2266/10/14"/>
          <s v="2266/10/15 - 2266/10/21"/>
          <s v="2266/10/22 - 2266/10/28"/>
          <s v="2266/10/29 - 2266/11/04"/>
          <s v="2266/11/05 - 2266/11/11"/>
          <s v="2266/11/12 - 2266/11/18"/>
          <s v="2266/11/19 - 2266/11/25"/>
          <s v="2266/11/26 - 2266/12/02"/>
          <s v="2266/12/03 - 2266/12/09"/>
          <s v="2266/12/10 - 2266/12/16"/>
          <s v="2266/12/17 - 2266/12/23"/>
          <s v="2266/12/24 - 2266/12/30"/>
          <s v="2266/12/31 - 2267/01/06"/>
          <s v="2267/01/07 - 2267/01/13"/>
          <s v="2267/01/14 - 2267/01/20"/>
          <s v="2267/01/21 - 2267/01/27"/>
          <s v="2267/01/28 - 2267/02/03"/>
          <s v="2267/02/04 - 2267/02/10"/>
          <s v="2267/02/11 - 2267/02/17"/>
          <s v="2267/02/18 - 2267/02/24"/>
          <s v="2267/02/25 - 2267/03/03"/>
          <s v="2267/03/04 - 2267/03/10"/>
          <s v="2267/03/11 - 2267/03/17"/>
          <s v="2267/03/18 - 2267/03/24"/>
          <s v="2267/03/25 - 2267/03/31"/>
          <s v="2267/04/01 - 2267/04/07"/>
          <s v="2267/04/08 - 2267/04/14"/>
          <s v="2267/04/15 - 2267/04/21"/>
          <s v="2267/04/22 - 2267/04/28"/>
          <s v="2267/04/29 - 2267/05/05"/>
          <s v="2267/05/06 - 2267/05/12"/>
          <s v="2267/05/13 - 2267/05/19"/>
          <s v="2267/05/20 - 2267/05/26"/>
          <s v="2267/05/27 - 2267/06/02"/>
          <s v="2267/06/03 - 2267/06/09"/>
          <s v="2267/06/10 - 2267/06/16"/>
          <s v="2267/06/17 - 2267/06/23"/>
          <s v="2267/06/24 - 2267/06/30"/>
          <s v="2267/07/01 - 2267/07/07"/>
          <s v="2267/07/08 - 2267/07/14"/>
          <s v="2267/07/15 - 2267/07/21"/>
          <s v="2267/07/22 - 2267/07/28"/>
          <s v="2267/07/29 - 2267/08/04"/>
          <s v="2267/08/05 - 2267/08/11"/>
          <s v="2267/08/12 - 2267/08/18"/>
          <s v="2267/08/19 - 2267/08/25"/>
          <s v="2267/08/26 - 2267/09/01"/>
          <s v="2267/09/02 - 2267/09/08"/>
          <s v="2267/09/09 - 2267/09/15"/>
          <s v="2267/09/16 - 2267/09/22"/>
          <s v="2267/09/23 - 2267/09/29"/>
          <s v="2267/09/30 - 2267/10/06"/>
          <s v="2267/10/07 - 2267/10/13"/>
          <s v="2267/10/14 - 2267/10/20"/>
          <s v="2267/10/21 - 2267/10/27"/>
          <s v="2267/10/28 - 2267/11/03"/>
          <s v="2267/11/04 - 2267/11/10"/>
          <s v="2267/11/11 - 2267/11/17"/>
          <s v="2267/11/18 - 2267/11/24"/>
          <s v="2267/11/25 - 2267/12/01"/>
          <s v="2267/12/02 - 2267/12/08"/>
          <s v="2267/12/09 - 2267/12/15"/>
          <s v="2267/12/16 - 2267/12/22"/>
          <s v="2267/12/23 - 2267/12/29"/>
          <s v="2267/12/30 - 2268/01/05"/>
          <s v="2268/01/06 - 2268/01/12"/>
          <s v="2268/01/13 - 2268/01/19"/>
          <s v="2268/01/20 - 2268/01/26"/>
          <s v="2268/01/27 - 2268/02/02"/>
          <s v="2268/02/03 - 2268/02/09"/>
          <s v="2268/02/10 - 2268/02/16"/>
          <s v="2268/02/17 - 2268/02/23"/>
          <s v="2268/02/24 - 2268/03/01"/>
          <s v="2268/03/02 - 2268/03/08"/>
          <s v="2268/03/09 - 2268/03/15"/>
          <s v="2268/03/16 - 2268/03/22"/>
          <s v="2268/03/23 - 2268/03/29"/>
          <s v="2268/03/30 - 2268/04/05"/>
          <s v="2268/04/06 - 2268/04/12"/>
          <s v="2268/04/13 - 2268/04/19"/>
          <s v="2268/04/20 - 2268/04/26"/>
          <s v="2268/04/27 - 2268/05/03"/>
          <s v="2268/05/04 - 2268/05/10"/>
          <s v="2268/05/11 - 2268/05/17"/>
          <s v="2268/05/18 - 2268/05/24"/>
          <s v="2268/05/25 - 2268/05/31"/>
          <s v="2268/06/01 - 2268/06/07"/>
          <s v="2268/06/08 - 2268/06/14"/>
          <s v="2268/06/15 - 2268/06/21"/>
          <s v="2268/06/22 - 2268/06/28"/>
          <s v="2268/06/29 - 2268/07/05"/>
          <s v="2268/07/06 - 2268/07/12"/>
          <s v="2268/07/13 - 2268/07/19"/>
          <s v="2268/07/20 - 2268/07/26"/>
          <s v="2268/07/27 - 2268/08/02"/>
          <s v="2268/08/03 - 2268/08/09"/>
          <s v="2268/08/10 - 2268/08/16"/>
          <s v="2268/08/17 - 2268/08/23"/>
          <s v="2268/08/24 - 2268/08/30"/>
          <s v="2268/08/31 - 2268/09/06"/>
          <s v="2268/09/07 - 2268/09/13"/>
          <s v="2268/09/14 - 2268/09/20"/>
          <s v="2268/09/21 - 2268/09/27"/>
          <s v="2268/09/28 - 2268/10/04"/>
          <s v="2268/10/05 - 2268/10/11"/>
          <s v="2268/10/12 - 2268/10/18"/>
          <s v="2268/10/19 - 2268/10/25"/>
          <s v="2268/10/26 - 2268/11/01"/>
          <s v="2268/11/02 - 2268/11/08"/>
          <s v="2268/11/09 - 2268/11/15"/>
          <s v="2268/11/16 - 2268/11/22"/>
          <s v="2268/11/23 - 2268/11/29"/>
          <s v="2268/11/30 - 2268/12/06"/>
          <s v="2268/12/07 - 2268/12/13"/>
          <s v="2268/12/14 - 2268/12/20"/>
          <s v="2268/12/21 - 2268/12/27"/>
          <s v="2268/12/28 - 2269/01/03"/>
          <s v="2269/01/04 - 2269/01/10"/>
          <s v="2269/01/11 - 2269/01/17"/>
          <s v="2269/01/18 - 2269/01/24"/>
          <s v="2269/01/25 - 2269/01/31"/>
          <s v="2269/02/01 - 2269/02/07"/>
          <s v="2269/02/08 - 2269/02/14"/>
          <s v="2269/02/15 - 2269/02/21"/>
          <s v="2269/02/22 - 2269/02/28"/>
          <s v="2269/03/01 - 2269/03/07"/>
          <s v="2269/03/08 - 2269/03/14"/>
          <s v="2269/03/15 - 2269/03/21"/>
          <s v="2269/03/22 - 2269/03/28"/>
          <s v="2269/03/29 - 2269/04/04"/>
          <s v="2269/04/05 - 2269/04/11"/>
          <s v="2269/04/12 - 2269/04/18"/>
          <s v="2269/04/19 - 2269/04/25"/>
          <s v="2269/04/26 - 2269/05/02"/>
          <s v="2269/05/03 - 2269/05/09"/>
          <s v="2269/05/10 - 2269/05/16"/>
          <s v="2269/05/17 - 2269/05/23"/>
          <s v="2269/05/24 - 2269/05/30"/>
          <s v="2269/05/31 - 2269/06/06"/>
          <s v="2269/06/07 - 2269/06/13"/>
          <s v="2269/06/14 - 2269/06/20"/>
          <s v="2269/06/21 - 2269/06/27"/>
          <s v="2269/06/28 - 2269/07/04"/>
          <s v="2269/07/05 - 2269/07/11"/>
          <s v="2269/07/12 - 2269/07/18"/>
          <s v="2269/07/19 - 2269/07/25"/>
          <s v="2269/07/26 - 2269/08/01"/>
          <s v="2269/08/02 - 2269/08/08"/>
          <s v="2269/08/09 - 2269/08/15"/>
          <s v="2269/08/16 - 2269/08/22"/>
          <s v="2269/08/23 - 2269/08/29"/>
          <s v="2269/08/30 - 2269/09/05"/>
          <s v="2269/09/06 - 2269/09/12"/>
          <s v="2269/09/13 - 2269/09/19"/>
          <s v="2269/09/20 - 2269/09/26"/>
          <s v="2269/09/27 - 2269/10/03"/>
          <s v="2269/10/04 - 2269/10/10"/>
          <s v="2269/10/11 - 2269/10/17"/>
          <s v="2269/10/18 - 2269/10/24"/>
          <s v="2269/10/25 - 2269/10/31"/>
          <s v="2269/11/01 - 2269/11/07"/>
          <s v="2269/11/08 - 2269/11/14"/>
          <s v="2269/11/15 - 2269/11/21"/>
          <s v="2269/11/22 - 2269/11/28"/>
          <s v="2269/11/29 - 2269/12/05"/>
          <s v="2269/12/06 - 2269/12/12"/>
          <s v="2269/12/13 - 2269/12/19"/>
          <s v="2269/12/20 - 2269/12/26"/>
          <s v="2269/12/27 - 2270/01/02"/>
          <s v="2270/01/03 - 2270/01/09"/>
          <s v="2270/01/10 - 2270/01/16"/>
          <s v="2270/01/17 - 2270/01/23"/>
          <s v="2270/01/24 - 2270/01/30"/>
          <s v="2270/01/31 - 2270/02/06"/>
          <s v="2270/02/07 - 2270/02/13"/>
          <s v="2270/02/14 - 2270/02/20"/>
          <s v="2270/02/21 - 2270/02/27"/>
          <s v="2270/02/28 - 2270/03/06"/>
          <s v="2270/03/07 - 2270/03/13"/>
          <s v="2270/03/14 - 2270/03/20"/>
          <s v="2270/03/21 - 2270/03/27"/>
          <s v="2270/03/28 - 2270/04/03"/>
          <s v="2270/04/04 - 2270/04/10"/>
          <s v="2270/04/11 - 2270/04/17"/>
          <s v="2270/04/18 - 2270/04/24"/>
          <s v="2270/04/25 - 2270/05/01"/>
          <s v="2270/05/02 - 2270/05/08"/>
          <s v="2270/05/09 - 2270/05/15"/>
          <s v="2270/05/16 - 2270/05/22"/>
          <s v="2270/05/23 - 2270/05/29"/>
          <s v="2270/05/30 - 2270/06/05"/>
          <s v="2270/06/06 - 2270/06/12"/>
          <s v="2270/06/13 - 2270/06/19"/>
          <s v="2270/06/20 - 2270/06/26"/>
          <s v="2270/06/27 - 2270/07/03"/>
          <s v="2270/07/04 - 2270/07/10"/>
          <s v="2270/07/11 - 2270/07/17"/>
          <s v="2270/07/18 - 2270/07/24"/>
          <s v="2270/07/25 - 2270/07/31"/>
          <s v="2270/08/01 - 2270/08/07"/>
          <s v="2270/08/08 - 2270/08/14"/>
          <s v="2270/08/15 - 2270/08/21"/>
          <s v="2270/08/22 - 2270/08/28"/>
          <s v="2270/08/29 - 2270/09/04"/>
          <s v="2270/09/05 - 2270/09/11"/>
          <s v="2270/09/12 - 2270/09/18"/>
          <s v="2270/09/19 - 2270/09/25"/>
          <s v="2270/09/26 - 2270/10/02"/>
          <s v="2270/10/03 - 2270/10/09"/>
          <s v="2270/10/10 - 2270/10/16"/>
          <s v="2270/10/17 - 2270/10/23"/>
          <s v="2270/10/24 - 2270/10/30"/>
          <s v="2270/10/31 - 2270/11/06"/>
          <s v="2270/11/07 - 2270/11/13"/>
          <s v="2270/11/14 - 2270/11/20"/>
          <s v="2270/11/21 - 2270/11/27"/>
          <s v="2270/11/28 - 2270/12/04"/>
          <s v="2270/12/05 - 2270/12/11"/>
          <s v="2270/12/12 - 2270/12/18"/>
          <s v="2270/12/19 - 2270/12/25"/>
          <s v="2270/12/26 - 2271/01/01"/>
          <s v="2271/01/02 - 2271/01/08"/>
          <s v="2271/01/09 - 2271/01/15"/>
          <s v="2271/01/16 - 2271/01/22"/>
          <s v="2271/01/23 - 2271/01/29"/>
          <s v="2271/01/30 - 2271/02/05"/>
          <s v="2271/02/06 - 2271/02/12"/>
          <s v="2271/02/13 - 2271/02/19"/>
          <s v="2271/02/20 - 2271/02/26"/>
          <s v="2271/02/27 - 2271/03/05"/>
          <s v="2271/03/06 - 2271/03/12"/>
          <s v="2271/03/13 - 2271/03/19"/>
          <s v="2271/03/20 - 2271/03/26"/>
          <s v="2271/03/27 - 2271/04/02"/>
          <s v="2271/04/03 - 2271/04/09"/>
          <s v="2271/04/10 - 2271/04/16"/>
          <s v="2271/04/17 - 2271/04/23"/>
          <s v="2271/04/24 - 2271/04/30"/>
          <s v="2271/05/01 - 2271/05/07"/>
          <s v="2271/05/08 - 2271/05/14"/>
          <s v="2271/05/15 - 2271/05/21"/>
          <s v="2271/05/22 - 2271/05/28"/>
          <s v="2271/05/29 - 2271/06/04"/>
          <s v="2271/06/05 - 2271/06/11"/>
          <s v="2271/06/12 - 2271/06/18"/>
          <s v="2271/06/19 - 2271/06/25"/>
          <s v="2271/06/26 - 2271/07/02"/>
          <s v="2271/07/03 - 2271/07/09"/>
          <s v="2271/07/10 - 2271/07/16"/>
          <s v="2271/07/17 - 2271/07/23"/>
          <s v="2271/07/24 - 2271/07/30"/>
          <s v="2271/07/31 - 2271/08/06"/>
          <s v="2271/08/07 - 2271/08/13"/>
          <s v="2271/08/14 - 2271/08/20"/>
          <s v="2271/08/21 - 2271/08/27"/>
          <s v="2271/08/28 - 2271/09/03"/>
          <s v="2271/09/04 - 2271/09/10"/>
          <s v="2271/09/11 - 2271/09/17"/>
          <s v="2271/09/18 - 2271/09/24"/>
          <s v="2271/09/25 - 2271/10/01"/>
          <s v="2271/10/02 - 2271/10/08"/>
          <s v="2271/10/09 - 2271/10/15"/>
          <s v="2271/10/16 - 2271/10/22"/>
          <s v="2271/10/23 - 2271/10/29"/>
          <s v="2271/10/30 - 2271/11/05"/>
          <s v="2271/11/06 - 2271/11/12"/>
          <s v="2271/11/13 - 2271/11/19"/>
          <s v="2271/11/20 - 2271/11/26"/>
          <s v="2271/11/27 - 2271/12/03"/>
          <s v="2271/12/04 - 2271/12/10"/>
          <s v="2271/12/11 - 2271/12/17"/>
          <s v="2271/12/18 - 2271/12/24"/>
          <s v="2271/12/25 - 2271/12/31"/>
          <s v="2272/01/01 - 2272/01/07"/>
          <s v="2272/01/08 - 2272/01/14"/>
          <s v="2272/01/15 - 2272/01/21"/>
          <s v="2272/01/22 - 2272/01/28"/>
          <s v="2272/01/29 - 2272/02/04"/>
          <s v="2272/02/05 - 2272/02/11"/>
          <s v="2272/02/12 - 2272/02/18"/>
          <s v="2272/02/19 - 2272/02/25"/>
          <s v="2272/02/26 - 2272/03/03"/>
          <s v="2272/03/04 - 2272/03/10"/>
          <s v="2272/03/11 - 2272/03/17"/>
          <s v="2272/03/18 - 2272/03/24"/>
          <s v="2272/03/25 - 2272/03/31"/>
          <s v="2272/04/01 - 2272/04/07"/>
          <s v="2272/04/08 - 2272/04/14"/>
          <s v="2272/04/15 - 2272/04/21"/>
          <s v="2272/04/22 - 2272/04/28"/>
          <s v="2272/04/29 - 2272/05/05"/>
          <s v="2272/05/06 - 2272/05/12"/>
          <s v="2272/05/13 - 2272/05/19"/>
          <s v="2272/05/20 - 2272/05/26"/>
          <s v="2272/05/27 - 2272/06/02"/>
          <s v="2272/06/03 - 2272/06/09"/>
          <s v="2272/06/10 - 2272/06/16"/>
          <s v="2272/06/17 - 2272/06/23"/>
          <s v="2272/06/24 - 2272/06/30"/>
          <s v="2272/07/01 - 2272/07/07"/>
          <s v="2272/07/08 - 2272/07/14"/>
          <s v="2272/07/15 - 2272/07/21"/>
          <s v="2272/07/22 - 2272/07/28"/>
          <s v="2272/07/29 - 2272/08/04"/>
          <s v="2272/08/05 - 2272/08/11"/>
          <s v="2272/08/12 - 2272/08/18"/>
          <s v="2272/08/19 - 2272/08/25"/>
          <s v="2272/08/26 - 2272/09/01"/>
          <s v="2272/09/02 - 2272/09/08"/>
          <s v="2272/09/09 - 2272/09/15"/>
          <s v="2272/09/16 - 2272/09/22"/>
          <s v="2272/09/23 - 2272/09/29"/>
          <s v="2272/09/30 - 2272/10/06"/>
          <s v="2272/10/07 - 2272/10/13"/>
          <s v="2272/10/14 - 2272/10/20"/>
          <s v="2272/10/21 - 2272/10/27"/>
          <s v="2272/10/28 - 2272/11/03"/>
          <s v="2272/11/04 - 2272/11/10"/>
          <s v="2272/11/11 - 2272/11/17"/>
          <s v="2272/11/18 - 2272/11/24"/>
          <s v="2272/11/25 - 2272/12/01"/>
          <s v="2272/12/02 - 2272/12/08"/>
          <s v="2272/12/09 - 2272/12/15"/>
          <s v="2272/12/16 - 2272/12/22"/>
          <s v="2272/12/23 - 2272/12/29"/>
          <s v="2272/12/30 - 2273/01/05"/>
          <s v="2273/01/06 - 2273/01/12"/>
          <s v="2273/01/13 - 2273/01/19"/>
          <s v="2273/01/20 - 2273/01/26"/>
          <s v="2273/01/27 - 2273/02/02"/>
          <s v="2273/02/03 - 2273/02/09"/>
          <s v="2273/02/10 - 2273/02/16"/>
          <s v="2273/02/17 - 2273/02/23"/>
          <s v="2273/02/24 - 2273/03/02"/>
          <s v="2273/03/03 - 2273/03/09"/>
          <s v="2273/03/10 - 2273/03/16"/>
          <s v="2273/03/17 - 2273/03/23"/>
          <s v="2273/03/24 - 2273/03/30"/>
          <s v="2273/03/31 - 2273/04/06"/>
          <s v="2273/04/07 - 2273/04/13"/>
          <s v="2273/04/14 - 2273/04/20"/>
          <s v="2273/04/21 - 2273/04/27"/>
          <s v="2273/04/28 - 2273/05/04"/>
          <s v="2273/05/05 - 2273/05/11"/>
          <s v="2273/05/12 - 2273/05/18"/>
          <s v="2273/05/19 - 2273/05/25"/>
          <s v="2273/05/26 - 2273/06/01"/>
          <s v="2273/06/02 - 2273/06/08"/>
          <s v="2273/06/09 - 2273/06/15"/>
          <s v="2273/06/16 - 2273/06/22"/>
          <s v="2273/06/23 - 2273/06/29"/>
          <s v="2273/06/30 - 2273/07/06"/>
          <s v="2273/07/07 - 2273/07/13"/>
          <s v="2273/07/14 - 2273/07/20"/>
          <s v="2273/07/21 - 2273/07/27"/>
          <s v="2273/07/28 - 2273/08/03"/>
          <s v="2273/08/04 - 2273/08/10"/>
          <s v="2273/08/11 - 2273/08/17"/>
          <s v="2273/08/18 - 2273/08/24"/>
          <s v="2273/08/25 - 2273/08/31"/>
          <s v="2273/09/01 - 2273/09/07"/>
          <s v="2273/09/08 - 2273/09/14"/>
          <s v="2273/09/15 - 2273/09/21"/>
          <s v="2273/09/22 - 2273/09/28"/>
          <s v="2273/09/29 - 2273/10/05"/>
          <s v="2273/10/06 - 2273/10/12"/>
          <s v="2273/10/13 - 2273/10/19"/>
          <s v="2273/10/20 - 2273/10/26"/>
          <s v="2273/10/27 - 2273/11/02"/>
          <s v="2273/11/03 - 2273/11/09"/>
          <s v="2273/11/10 - 2273/11/16"/>
          <s v="2273/11/17 - 2273/11/23"/>
          <s v="2273/11/24 - 2273/11/30"/>
          <s v="2273/12/01 - 2273/12/07"/>
          <s v="2273/12/08 - 2273/12/14"/>
          <s v="2273/12/15 - 2273/12/21"/>
          <s v="2273/12/22 - 2273/12/28"/>
          <s v="2273/12/29 - 2274/01/04"/>
          <s v="2274/01/05 - 2274/01/11"/>
          <s v="2274/01/12 - 2274/01/18"/>
          <s v="2274/01/19 - 2274/01/25"/>
          <s v="2274/01/26 - 2274/02/01"/>
          <s v="2274/02/02 - 2274/02/08"/>
          <s v="2274/02/09 - 2274/02/15"/>
          <s v="2274/02/16 - 2274/02/22"/>
          <s v="2274/02/23 - 2274/03/01"/>
          <s v="2274/03/02 - 2274/03/08"/>
          <s v="2274/03/09 - 2274/03/15"/>
          <s v="2274/03/16 - 2274/03/22"/>
          <s v="2274/03/23 - 2274/03/29"/>
          <s v="2274/03/30 - 2274/04/05"/>
          <s v="2274/04/06 - 2274/04/12"/>
          <s v="2274/04/13 - 2274/04/19"/>
          <s v="2274/04/20 - 2274/04/26"/>
          <s v="2274/04/27 - 2274/05/03"/>
          <s v="2274/05/04 - 2274/05/10"/>
          <s v="2274/05/11 - 2274/05/17"/>
          <s v="2274/05/18 - 2274/05/24"/>
          <s v="2274/05/25 - 2274/05/31"/>
          <s v="2274/06/01 - 2274/06/07"/>
          <s v="2274/06/08 - 2274/06/14"/>
          <s v="2274/06/15 - 2274/06/21"/>
          <s v="2274/06/22 - 2274/06/28"/>
          <s v="2274/06/29 - 2274/07/05"/>
          <s v="2274/07/06 - 2274/07/12"/>
          <s v="2274/07/13 - 2274/07/19"/>
          <s v="2274/07/20 - 2274/07/26"/>
          <s v="2274/07/27 - 2274/08/02"/>
          <s v="2274/08/03 - 2274/08/09"/>
          <s v="2274/08/10 - 2274/08/16"/>
          <s v="2274/08/17 - 2274/08/23"/>
          <s v="2274/08/24 - 2274/08/30"/>
          <s v="2274/08/31 - 2274/09/06"/>
          <s v="2274/09/07 - 2274/09/13"/>
          <s v="2274/09/14 - 2274/09/20"/>
          <s v="2274/09/21 - 2274/09/27"/>
          <s v="2274/09/28 - 2274/10/04"/>
          <s v="2274/10/05 - 2274/10/11"/>
          <s v="2274/10/12 - 2274/10/18"/>
          <s v="2274/10/19 - 2274/10/25"/>
          <s v="2274/10/26 - 2274/11/01"/>
          <s v="2274/11/02 - 2274/11/08"/>
          <s v="2274/11/09 - 2274/11/15"/>
          <s v="2274/11/16 - 2274/11/22"/>
          <s v="2274/11/23 - 2274/11/29"/>
          <s v="2274/11/30 - 2274/12/06"/>
          <s v="2274/12/07 - 2274/12/13"/>
          <s v="2274/12/14 - 2274/12/20"/>
          <s v="2274/12/21 - 2274/12/27"/>
          <s v="2274/12/28 - 2275/01/03"/>
          <s v="2275/01/04 - 2275/01/10"/>
          <s v="2275/01/11 - 2275/01/17"/>
          <s v="2275/01/18 - 2275/01/24"/>
          <s v="2275/01/25 - 2275/01/31"/>
          <s v="2275/02/01 - 2275/02/07"/>
          <s v="2275/02/08 - 2275/02/14"/>
          <s v="2275/02/15 - 2275/02/21"/>
          <s v="2275/02/22 - 2275/02/28"/>
          <s v="2275/03/01 - 2275/03/07"/>
          <s v="2275/03/08 - 2275/03/14"/>
          <s v="2275/03/15 - 2275/03/21"/>
          <s v="2275/03/22 - 2275/03/28"/>
          <s v="2275/03/29 - 2275/04/04"/>
          <s v="2275/04/05 - 2275/04/11"/>
          <s v="2275/04/12 - 2275/04/18"/>
          <s v="2275/04/19 - 2275/04/25"/>
          <s v="2275/04/26 - 2275/05/02"/>
          <s v="2275/05/03 - 2275/05/09"/>
          <s v="2275/05/10 - 2275/05/16"/>
          <s v="2275/05/17 - 2275/05/23"/>
          <s v="2275/05/24 - 2275/05/30"/>
          <s v="2275/05/31 - 2275/06/06"/>
          <s v="2275/06/07 - 2275/06/13"/>
          <s v="2275/06/14 - 2275/06/20"/>
          <s v="2275/06/21 - 2275/06/27"/>
          <s v="2275/06/28 - 2275/07/04"/>
          <s v="2275/07/05 - 2275/07/11"/>
          <s v="2275/07/12 - 2275/07/18"/>
          <s v="2275/07/19 - 2275/07/25"/>
          <s v="2275/07/26 - 2275/08/01"/>
          <s v="2275/08/02 - 2275/08/08"/>
          <s v="2275/08/09 - 2275/08/15"/>
          <s v="2275/08/16 - 2275/08/22"/>
          <s v="2275/08/23 - 2275/08/29"/>
          <s v="2275/08/30 - 2275/09/05"/>
          <s v="2275/09/06 - 2275/09/12"/>
          <s v="2275/09/13 - 2275/09/19"/>
          <s v="2275/09/20 - 2275/09/26"/>
          <s v="2275/09/27 - 2275/10/03"/>
          <s v="2275/10/04 - 2275/10/10"/>
          <s v="2275/10/11 - 2275/10/17"/>
          <s v="2275/10/18 - 2275/10/24"/>
          <s v="2275/10/25 - 2275/10/31"/>
          <s v="2275/11/01 - 2275/11/07"/>
          <s v="2275/11/08 - 2275/11/14"/>
          <s v="2275/11/15 - 2275/11/21"/>
          <s v="2275/11/22 - 2275/11/28"/>
          <s v="2275/11/29 - 2275/12/05"/>
          <s v="2275/12/06 - 2275/12/12"/>
          <s v="2275/12/13 - 2275/12/19"/>
          <s v="2275/12/20 - 2275/12/26"/>
          <s v="2275/12/27 - 2276/01/02"/>
          <s v="2276/01/03 - 2276/01/09"/>
          <s v="2276/01/10 - 2276/01/16"/>
          <s v="2276/01/17 - 2276/01/23"/>
          <s v="2276/01/24 - 2276/01/30"/>
          <s v="2276/01/31 - 2276/02/06"/>
          <s v="2276/02/07 - 2276/02/13"/>
          <s v="2276/02/14 - 2276/02/20"/>
          <s v="2276/02/21 - 2276/02/27"/>
          <s v="2276/02/28 - 2276/03/05"/>
          <s v="2276/03/06 - 2276/03/12"/>
          <s v="2276/03/13 - 2276/03/19"/>
          <s v="2276/03/20 - 2276/03/26"/>
          <s v="2276/03/27 - 2276/04/02"/>
          <s v="2276/04/03 - 2276/04/09"/>
          <s v="2276/04/10 - 2276/04/16"/>
          <s v="2276/04/17 - 2276/04/23"/>
          <s v="2276/04/24 - 2276/04/30"/>
          <s v="2276/05/01 - 2276/05/07"/>
          <s v="2276/05/08 - 2276/05/14"/>
          <s v="2276/05/15 - 2276/05/21"/>
          <s v="2276/05/22 - 2276/05/28"/>
          <s v="2276/05/29 - 2276/06/04"/>
          <s v="2276/06/05 - 2276/06/11"/>
          <s v="2276/06/12 - 2276/06/18"/>
          <s v="2276/06/19 - 2276/06/25"/>
          <s v="2276/06/26 - 2276/07/02"/>
          <s v="2276/07/03 - 2276/07/09"/>
          <s v="2276/07/10 - 2276/07/16"/>
          <s v="2276/07/17 - 2276/07/23"/>
          <s v="2276/07/24 - 2276/07/30"/>
          <s v="2276/07/31 - 2276/08/06"/>
          <s v="2276/08/07 - 2276/08/13"/>
          <s v="2276/08/14 - 2276/08/20"/>
          <s v="2276/08/21 - 2276/08/27"/>
          <s v="2276/08/28 - 2276/09/03"/>
          <s v="2276/09/04 - 2276/09/10"/>
          <s v="2276/09/11 - 2276/09/17"/>
          <s v="2276/09/18 - 2276/09/24"/>
          <s v="2276/09/25 - 2276/10/01"/>
          <s v="2276/10/02 - 2276/10/08"/>
          <s v="2276/10/09 - 2276/10/15"/>
          <s v="2276/10/16 - 2276/10/22"/>
          <s v="2276/10/23 - 2276/10/29"/>
          <s v="2276/10/30 - 2276/11/05"/>
          <s v="2276/11/06 - 2276/11/12"/>
          <s v="2276/11/13 - 2276/11/19"/>
          <s v="2276/11/20 - 2276/11/26"/>
          <s v="2276/11/27 - 2276/12/03"/>
          <s v="2276/12/04 - 2276/12/10"/>
          <s v="2276/12/11 - 2276/12/17"/>
          <s v="2276/12/18 - 2276/12/24"/>
          <s v="2276/12/25 - 2276/12/31"/>
          <s v="2277/01/01 - 2277/01/07"/>
          <s v="2277/01/08 - 2277/01/14"/>
          <s v="2277/01/15 - 2277/01/21"/>
          <s v="2277/01/22 - 2277/01/28"/>
          <s v="2277/01/29 - 2277/02/04"/>
          <s v="2277/02/05 - 2277/02/11"/>
          <s v="2277/02/12 - 2277/02/18"/>
          <s v="2277/02/19 - 2277/02/25"/>
          <s v="2277/02/26 - 2277/03/04"/>
          <s v="2277/03/05 - 2277/03/11"/>
          <s v="2277/03/12 - 2277/03/18"/>
          <s v="2277/03/19 - 2277/03/25"/>
          <s v="2277/03/26 - 2277/04/01"/>
          <s v="2277/04/02 - 2277/04/08"/>
          <s v="2277/04/09 - 2277/04/15"/>
          <s v="2277/04/16 - 2277/04/22"/>
          <s v="2277/04/23 - 2277/04/29"/>
          <s v="2277/04/30 - 2277/05/06"/>
          <s v="2277/05/07 - 2277/05/13"/>
          <s v="2277/05/14 - 2277/05/20"/>
          <s v="2277/05/21 - 2277/05/27"/>
          <s v="2277/05/28 - 2277/06/03"/>
          <s v="2277/06/04 - 2277/06/10"/>
          <s v="2277/06/11 - 2277/06/17"/>
          <s v="2277/06/18 - 2277/06/24"/>
          <s v="2277/06/25 - 2277/07/01"/>
          <s v="2277/07/02 - 2277/07/08"/>
          <s v="2277/07/09 - 2277/07/15"/>
          <s v="2277/07/16 - 2277/07/22"/>
          <s v="2277/07/23 - 2277/07/29"/>
          <s v="2277/07/30 - 2277/08/05"/>
          <s v="2277/08/06 - 2277/08/12"/>
          <s v="2277/08/13 - 2277/08/19"/>
          <s v="2277/08/20 - 2277/08/26"/>
          <s v="2277/08/27 - 2277/09/02"/>
          <s v="2277/09/03 - 2277/09/09"/>
          <s v="2277/09/10 - 2277/09/16"/>
          <s v="2277/09/17 - 2277/09/23"/>
          <s v="2277/09/24 - 2277/09/30"/>
          <s v="2277/10/01 - 2277/10/07"/>
          <s v="2277/10/08 - 2277/10/14"/>
          <s v="2277/10/15 - 2277/10/21"/>
          <s v="2277/10/22 - 2277/10/28"/>
          <s v="2277/10/29 - 2277/11/04"/>
          <s v="2277/11/05 - 2277/11/11"/>
          <s v="2277/11/12 - 2277/11/18"/>
          <s v="2277/11/19 - 2277/11/25"/>
          <s v="2277/11/26 - 2277/12/02"/>
          <s v="2277/12/03 - 2277/12/09"/>
          <s v="2277/12/10 - 2277/12/16"/>
          <s v="2277/12/17 - 2277/12/23"/>
          <s v="2277/12/24 - 2277/12/30"/>
          <s v="2277/12/31 - 2278/01/06"/>
          <s v="2278/01/07 - 2278/01/13"/>
          <s v="2278/01/14 - 2278/01/20"/>
          <s v="2278/01/21 - 2278/01/27"/>
          <s v="2278/01/28 - 2278/02/03"/>
          <s v="2278/02/04 - 2278/02/10"/>
          <s v="2278/02/11 - 2278/02/17"/>
          <s v="2278/02/18 - 2278/02/24"/>
          <s v="2278/02/25 - 2278/03/03"/>
          <s v="2278/03/04 - 2278/03/10"/>
          <s v="2278/03/11 - 2278/03/17"/>
          <s v="2278/03/18 - 2278/03/24"/>
          <s v="2278/03/25 - 2278/03/31"/>
          <s v="2278/04/01 - 2278/04/07"/>
          <s v="2278/04/08 - 2278/04/14"/>
          <s v="2278/04/15 - 2278/04/21"/>
          <s v="2278/04/22 - 2278/04/28"/>
          <s v="2278/04/29 - 2278/05/05"/>
          <s v="2278/05/06 - 2278/05/12"/>
          <s v="2278/05/13 - 2278/05/19"/>
          <s v="2278/05/20 - 2278/05/26"/>
          <s v="2278/05/27 - 2278/06/02"/>
          <s v="2278/06/03 - 2278/06/09"/>
          <s v="2278/06/10 - 2278/06/16"/>
          <s v="2278/06/17 - 2278/06/23"/>
          <s v="2278/06/24 - 2278/06/30"/>
          <s v="2278/07/01 - 2278/07/07"/>
          <s v="2278/07/08 - 2278/07/14"/>
          <s v="2278/07/15 - 2278/07/21"/>
          <s v="2278/07/22 - 2278/07/28"/>
          <s v="2278/07/29 - 2278/08/04"/>
          <s v="2278/08/05 - 2278/08/11"/>
          <s v="2278/08/12 - 2278/08/18"/>
          <s v="2278/08/19 - 2278/08/25"/>
          <s v="2278/08/26 - 2278/09/01"/>
          <s v="2278/09/02 - 2278/09/08"/>
          <s v="2278/09/09 - 2278/09/15"/>
          <s v="2278/09/16 - 2278/09/22"/>
          <s v="2278/09/23 - 2278/09/29"/>
          <s v="2278/09/30 - 2278/10/06"/>
          <s v="2278/10/07 - 2278/10/13"/>
          <s v="2278/10/14 - 2278/10/20"/>
          <s v="2278/10/21 - 2278/10/27"/>
          <s v="2278/10/28 - 2278/11/03"/>
          <s v="2278/11/04 - 2278/11/10"/>
          <s v="2278/11/11 - 2278/11/17"/>
          <s v="2278/11/18 - 2278/11/24"/>
          <s v="2278/11/25 - 2278/12/01"/>
          <s v="2278/12/02 - 2278/12/08"/>
          <s v="2278/12/09 - 2278/12/15"/>
          <s v="2278/12/16 - 2278/12/22"/>
          <s v="2278/12/23 - 2278/12/29"/>
          <s v="2278/12/30 - 2279/01/05"/>
          <s v="2279/01/06 - 2279/01/12"/>
          <s v="2279/01/13 - 2279/01/19"/>
          <s v="2279/01/20 - 2279/01/26"/>
          <s v="2279/01/27 - 2279/02/02"/>
          <s v="2279/02/03 - 2279/02/09"/>
          <s v="2279/02/10 - 2279/02/16"/>
          <s v="2279/02/17 - 2279/02/23"/>
          <s v="2279/02/24 - 2279/03/02"/>
          <s v="2279/03/03 - 2279/03/09"/>
          <s v="2279/03/10 - 2279/03/16"/>
          <s v="2279/03/17 - 2279/03/23"/>
          <s v="2279/03/24 - 2279/03/30"/>
          <s v="2279/03/31 - 2279/04/06"/>
          <s v="2279/04/07 - 2279/04/13"/>
          <s v="2279/04/14 - 2279/04/20"/>
          <s v="2279/04/21 - 2279/04/27"/>
          <s v="2279/04/28 - 2279/05/04"/>
          <s v="2279/05/05 - 2279/05/11"/>
          <s v="2279/05/12 - 2279/05/18"/>
          <s v="2279/05/19 - 2279/05/25"/>
          <s v="2279/05/26 - 2279/06/01"/>
          <s v="2279/06/02 - 2279/06/08"/>
          <s v="2279/06/09 - 2279/06/15"/>
          <s v="2279/06/16 - 2279/06/22"/>
          <s v="2279/06/23 - 2279/06/29"/>
          <s v="2279/06/30 - 2279/07/06"/>
          <s v="2279/07/07 - 2279/07/13"/>
          <s v="2279/07/14 - 2279/07/20"/>
          <s v="2279/07/21 - 2279/07/27"/>
          <s v="2279/07/28 - 2279/08/03"/>
          <s v="2279/08/04 - 2279/08/10"/>
          <s v="2279/08/11 - 2279/08/17"/>
          <s v="2279/08/18 - 2279/08/24"/>
          <s v="2279/08/25 - 2279/08/31"/>
          <s v="2279/09/01 - 2279/09/07"/>
          <s v="2279/09/08 - 2279/09/14"/>
          <s v="2279/09/15 - 2279/09/21"/>
          <s v="2279/09/22 - 2279/09/28"/>
          <s v="2279/09/29 - 2279/10/05"/>
          <s v="2279/10/06 - 2279/10/12"/>
          <s v="2279/10/13 - 2279/10/19"/>
          <s v="2279/10/20 - 2279/10/26"/>
          <s v="2279/10/27 - 2279/11/02"/>
          <s v="2279/11/03 - 2279/11/09"/>
          <s v="2279/11/10 - 2279/11/16"/>
          <s v="2279/11/17 - 2279/11/23"/>
          <s v="2279/11/24 - 2279/11/30"/>
          <s v="2279/12/01 - 2279/12/07"/>
          <s v="2279/12/08 - 2279/12/14"/>
          <s v="2279/12/15 - 2279/12/21"/>
          <s v="2279/12/22 - 2279/12/28"/>
          <s v="2279/12/29 - 2280/01/04"/>
          <s v="2280/01/05 - 2280/01/11"/>
          <s v="2280/01/12 - 2280/01/18"/>
          <s v="2280/01/19 - 2280/01/25"/>
          <s v="2280/01/26 - 2280/02/01"/>
          <s v="2280/02/02 - 2280/02/08"/>
          <s v="2280/02/09 - 2280/02/15"/>
          <s v="2280/02/16 - 2280/02/22"/>
          <s v="2280/02/23 - 2280/02/29"/>
          <s v="2280/03/01 - 2280/03/07"/>
          <s v="2280/03/08 - 2280/03/14"/>
          <s v="2280/03/15 - 2280/03/21"/>
          <s v="2280/03/22 - 2280/03/28"/>
          <s v="2280/03/29 - 2280/04/04"/>
          <s v="2280/04/05 - 2280/04/11"/>
          <s v="2280/04/12 - 2280/04/18"/>
          <s v="2280/04/19 - 2280/04/25"/>
          <s v="2280/04/26 - 2280/05/02"/>
          <s v="2280/05/03 - 2280/05/09"/>
          <s v="2280/05/10 - 2280/05/16"/>
          <s v="2280/05/17 - 2280/05/23"/>
          <s v="2280/05/24 - 2280/05/30"/>
          <s v="2280/05/31 - 2280/06/06"/>
          <s v="2280/06/07 - 2280/06/13"/>
          <s v="2280/06/14 - 2280/06/20"/>
          <s v="2280/06/21 - 2280/06/27"/>
          <s v="2280/06/28 - 2280/07/04"/>
          <s v="2280/07/05 - 2280/07/11"/>
          <s v="2280/07/12 - 2280/07/18"/>
          <s v="2280/07/19 - 2280/07/25"/>
          <s v="2280/07/26 - 2280/08/01"/>
          <s v="2280/08/02 - 2280/08/08"/>
          <s v="2280/08/09 - 2280/08/15"/>
          <s v="2280/08/16 - 2280/08/22"/>
          <s v="2280/08/23 - 2280/08/29"/>
          <s v="2280/08/30 - 2280/09/05"/>
          <s v="2280/09/06 - 2280/09/12"/>
          <s v="2280/09/13 - 2280/09/19"/>
          <s v="2280/09/20 - 2280/09/26"/>
          <s v="2280/09/27 - 2280/10/03"/>
          <s v="2280/10/04 - 2280/10/10"/>
          <s v="2280/10/11 - 2280/10/17"/>
          <s v="2280/10/18 - 2280/10/24"/>
          <s v="2280/10/25 - 2280/10/31"/>
          <s v="2280/11/01 - 2280/11/07"/>
          <s v="2280/11/08 - 2280/11/14"/>
          <s v="2280/11/15 - 2280/11/21"/>
          <s v="2280/11/22 - 2280/11/28"/>
          <s v="2280/11/29 - 2280/12/05"/>
          <s v="2280/12/06 - 2280/12/12"/>
          <s v="2280/12/13 - 2280/12/19"/>
          <s v="2280/12/20 - 2280/12/26"/>
          <s v="2280/12/27 - 2281/01/02"/>
          <s v="2281/01/03 - 2281/01/09"/>
          <s v="2281/01/10 - 2281/01/16"/>
          <s v="2281/01/17 - 2281/01/23"/>
          <s v="2281/01/24 - 2281/01/30"/>
          <s v="2281/01/31 - 2281/02/06"/>
          <s v="2281/02/07 - 2281/02/13"/>
          <s v="2281/02/14 - 2281/02/20"/>
          <s v="2281/02/21 - 2281/02/27"/>
          <s v="2281/02/28 - 2281/03/06"/>
          <s v="2281/03/07 - 2281/03/13"/>
          <s v="2281/03/14 - 2281/03/20"/>
          <s v="2281/03/21 - 2281/03/27"/>
          <s v="2281/03/28 - 2281/04/03"/>
          <s v="2281/04/04 - 2281/04/10"/>
          <s v="2281/04/11 - 2281/04/17"/>
          <s v="2281/04/18 - 2281/04/24"/>
          <s v="2281/04/25 - 2281/05/01"/>
          <s v="2281/05/02 - 2281/05/08"/>
          <s v="2281/05/09 - 2281/05/15"/>
          <s v="2281/05/16 - 2281/05/22"/>
          <s v="2281/05/23 - 2281/05/29"/>
          <s v="2281/05/30 - 2281/06/05"/>
          <s v="2281/06/06 - 2281/06/12"/>
          <s v="2281/06/13 - 2281/06/19"/>
          <s v="2281/06/20 - 2281/06/26"/>
          <s v="2281/06/27 - 2281/07/03"/>
          <s v="2281/07/04 - 2281/07/10"/>
          <s v="2281/07/11 - 2281/07/17"/>
          <s v="2281/07/18 - 2281/07/24"/>
          <s v="2281/07/25 - 2281/07/31"/>
          <s v="2281/08/01 - 2281/08/07"/>
          <s v="2281/08/08 - 2281/08/14"/>
          <s v="2281/08/15 - 2281/08/21"/>
          <s v="2281/08/22 - 2281/08/28"/>
          <s v="2281/08/29 - 2281/09/04"/>
          <s v="2281/09/05 - 2281/09/11"/>
          <s v="2281/09/12 - 2281/09/18"/>
          <s v="2281/09/19 - 2281/09/25"/>
          <s v="2281/09/26 - 2281/10/02"/>
          <s v="2281/10/03 - 2281/10/09"/>
          <s v="2281/10/10 - 2281/10/16"/>
          <s v="2281/10/17 - 2281/10/23"/>
          <s v="2281/10/24 - 2281/10/30"/>
          <s v="2281/10/31 - 2281/11/06"/>
          <s v="2281/11/07 - 2281/11/13"/>
          <s v="2281/11/14 - 2281/11/20"/>
          <s v="2281/11/21 - 2281/11/27"/>
          <s v="2281/11/28 - 2281/12/04"/>
          <s v="2281/12/05 - 2281/12/11"/>
          <s v="2281/12/12 - 2281/12/18"/>
          <s v="2281/12/19 - 2281/12/25"/>
          <s v="2281/12/26 - 2282/01/01"/>
          <s v="2282/01/02 - 2282/01/08"/>
          <s v="2282/01/09 - 2282/01/15"/>
          <s v="2282/01/16 - 2282/01/22"/>
          <s v="2282/01/23 - 2282/01/29"/>
          <s v="2282/01/30 - 2282/02/05"/>
          <s v="2282/02/06 - 2282/02/12"/>
          <s v="2282/02/13 - 2282/02/19"/>
          <s v="2282/02/20 - 2282/02/26"/>
          <s v="2282/02/27 - 2282/03/05"/>
          <s v="2282/03/06 - 2282/03/12"/>
          <s v="2282/03/13 - 2282/03/19"/>
          <s v="2282/03/20 - 2282/03/26"/>
          <s v="2282/03/27 - 2282/04/02"/>
          <s v="2282/04/03 - 2282/04/09"/>
          <s v="2282/04/10 - 2282/04/16"/>
          <s v="2282/04/17 - 2282/04/23"/>
          <s v="2282/04/24 - 2282/04/30"/>
          <s v="2282/05/01 - 2282/05/07"/>
          <s v="2282/05/08 - 2282/05/14"/>
          <s v="2282/05/15 - 2282/05/21"/>
          <s v="2282/05/22 - 2282/05/28"/>
          <s v="2282/05/29 - 2282/06/04"/>
          <s v="2282/06/05 - 2282/06/11"/>
          <s v="2282/06/12 - 2282/06/18"/>
          <s v="2282/06/19 - 2282/06/25"/>
          <s v="2282/06/26 - 2282/07/02"/>
          <s v="2282/07/03 - 2282/07/09"/>
          <s v="2282/07/10 - 2282/07/16"/>
          <s v="2282/07/17 - 2282/07/23"/>
          <s v="2282/07/24 - 2282/07/30"/>
          <s v="2282/07/31 - 2282/08/06"/>
          <s v="2282/08/07 - 2282/08/13"/>
          <s v="2282/08/14 - 2282/08/20"/>
          <s v="2282/08/21 - 2282/08/27"/>
          <s v="2282/08/28 - 2282/09/03"/>
          <s v="2282/09/04 - 2282/09/10"/>
          <s v="2282/09/11 - 2282/09/17"/>
          <s v="2282/09/18 - 2282/09/24"/>
          <s v="2282/09/25 - 2282/10/01"/>
          <s v="2282/10/02 - 2282/10/08"/>
          <s v="2282/10/09 - 2282/10/15"/>
          <s v="2282/10/16 - 2282/10/22"/>
          <s v="2282/10/23 - 2282/10/29"/>
          <s v="2282/10/30 - 2282/11/05"/>
          <s v="2282/11/06 - 2282/11/12"/>
          <s v="2282/11/13 - 2282/11/19"/>
          <s v="2282/11/20 - 2282/11/26"/>
          <s v="2282/11/27 - 2282/12/03"/>
          <s v="2282/12/04 - 2282/12/10"/>
          <s v="2282/12/11 - 2282/12/17"/>
          <s v="2282/12/18 - 2282/12/24"/>
          <s v="2282/12/25 - 2282/12/31"/>
          <s v="2283/01/01 - 2283/01/07"/>
          <s v="2283/01/08 - 2283/01/14"/>
          <s v="2283/01/15 - 2283/01/21"/>
          <s v="2283/01/22 - 2283/01/28"/>
          <s v="2283/01/29 - 2283/02/04"/>
          <s v="2283/02/05 - 2283/02/11"/>
          <s v="2283/02/12 - 2283/02/18"/>
          <s v="2283/02/19 - 2283/02/25"/>
          <s v="2283/02/26 - 2283/03/04"/>
          <s v="2283/03/05 - 2283/03/11"/>
          <s v="2283/03/12 - 2283/03/18"/>
          <s v="2283/03/19 - 2283/03/25"/>
          <s v="2283/03/26 - 2283/04/01"/>
          <s v="2283/04/02 - 2283/04/08"/>
          <s v="2283/04/09 - 2283/04/15"/>
          <s v="2283/04/16 - 2283/04/22"/>
          <s v="2283/04/23 - 2283/04/29"/>
          <s v="2283/04/30 - 2283/05/06"/>
          <s v="2283/05/07 - 2283/05/13"/>
          <s v="2283/05/14 - 2283/05/20"/>
          <s v="2283/05/21 - 2283/05/27"/>
          <s v="2283/05/28 - 2283/06/03"/>
          <s v="2283/06/04 - 2283/06/10"/>
          <s v="2283/06/11 - 2283/06/17"/>
          <s v="2283/06/18 - 2283/06/24"/>
          <s v="2283/06/25 - 2283/07/01"/>
          <s v="2283/07/02 - 2283/07/08"/>
          <s v="2283/07/09 - 2283/07/15"/>
          <s v="2283/07/16 - 2283/07/22"/>
          <s v="2283/07/23 - 2283/07/29"/>
          <s v="2283/07/30 - 2283/08/05"/>
          <s v="2283/08/06 - 2283/08/12"/>
          <s v="2283/08/13 - 2283/08/19"/>
          <s v="2283/08/20 - 2283/08/26"/>
          <s v="2283/08/27 - 2283/09/02"/>
          <s v="2283/09/03 - 2283/09/09"/>
          <s v="2283/09/10 - 2283/09/16"/>
          <s v="2283/09/17 - 2283/09/23"/>
          <s v="2283/09/24 - 2283/09/30"/>
          <s v="2283/10/01 - 2283/10/07"/>
          <s v="2283/10/08 - 2283/10/14"/>
          <s v="2283/10/15 - 2283/10/21"/>
          <s v="2283/10/22 - 2283/10/28"/>
          <s v="2283/10/29 - 2283/11/04"/>
          <s v="2283/11/05 - 2283/11/11"/>
          <s v="2283/11/12 - 2283/11/18"/>
          <s v="2283/11/19 - 2283/11/25"/>
          <s v="2283/11/26 - 2283/12/02"/>
          <s v="2283/12/03 - 2283/12/09"/>
          <s v="2283/12/10 - 2283/12/16"/>
          <s v="2283/12/17 - 2283/12/23"/>
          <s v="2283/12/24 - 2283/12/30"/>
          <s v="2283/12/31 - 2284/01/06"/>
          <s v="2284/01/07 - 2284/01/13"/>
          <s v="2284/01/14 - 2284/01/20"/>
          <s v="2284/01/21 - 2284/01/27"/>
          <s v="2284/01/28 - 2284/02/03"/>
          <s v="2284/02/04 - 2284/02/10"/>
          <s v="2284/02/11 - 2284/02/17"/>
          <s v="2284/02/18 - 2284/02/24"/>
          <s v="2284/02/25 - 2284/03/02"/>
          <s v="2284/03/03 - 2284/03/09"/>
          <s v="2284/03/10 - 2284/03/16"/>
          <s v="2284/03/17 - 2284/03/23"/>
          <s v="2284/03/24 - 2284/03/30"/>
          <s v="2284/03/31 - 2284/04/06"/>
          <s v="2284/04/07 - 2284/04/13"/>
          <s v="2284/04/14 - 2284/04/20"/>
          <s v="2284/04/21 - 2284/04/27"/>
          <s v="2284/04/28 - 2284/05/04"/>
          <s v="2284/05/05 - 2284/05/11"/>
          <s v="2284/05/12 - 2284/05/18"/>
          <s v="2284/05/19 - 2284/05/25"/>
          <s v="2284/05/26 - 2284/06/01"/>
          <s v="2284/06/02 - 2284/06/08"/>
          <s v="2284/06/09 - 2284/06/15"/>
          <s v="2284/06/16 - 2284/06/22"/>
          <s v="2284/06/23 - 2284/06/29"/>
          <s v="2284/06/30 - 2284/07/06"/>
          <s v="2284/07/07 - 2284/07/13"/>
          <s v="2284/07/14 - 2284/07/20"/>
          <s v="2284/07/21 - 2284/07/27"/>
          <s v="2284/07/28 - 2284/08/03"/>
          <s v="2284/08/04 - 2284/08/10"/>
          <s v="2284/08/11 - 2284/08/17"/>
          <s v="2284/08/18 - 2284/08/24"/>
          <s v="2284/08/25 - 2284/08/31"/>
          <s v="2284/09/01 - 2284/09/07"/>
          <s v="2284/09/08 - 2284/09/14"/>
          <s v="2284/09/15 - 2284/09/21"/>
          <s v="2284/09/22 - 2284/09/28"/>
          <s v="2284/09/29 - 2284/10/05"/>
          <s v="2284/10/06 - 2284/10/12"/>
          <s v="2284/10/13 - 2284/10/19"/>
          <s v="2284/10/20 - 2284/10/26"/>
          <s v="2284/10/27 - 2284/11/02"/>
          <s v="2284/11/03 - 2284/11/09"/>
          <s v="2284/11/10 - 2284/11/16"/>
          <s v="2284/11/17 - 2284/11/23"/>
          <s v="2284/11/24 - 2284/11/30"/>
          <s v="2284/12/01 - 2284/12/07"/>
          <s v="2284/12/08 - 2284/12/14"/>
          <s v="2284/12/15 - 2284/12/21"/>
          <s v="2284/12/22 - 2284/12/28"/>
          <s v="2284/12/29 - 2285/01/04"/>
          <s v="2285/01/05 - 2285/01/11"/>
          <s v="2285/01/12 - 2285/01/18"/>
          <s v="2285/01/19 - 2285/01/25"/>
          <s v="2285/01/26 - 2285/02/01"/>
          <s v="2285/02/02 - 2285/02/08"/>
          <s v="2285/02/09 - 2285/02/15"/>
          <s v="2285/02/16 - 2285/02/22"/>
          <s v="2285/02/23 - 2285/03/01"/>
          <s v="2285/03/02 - 2285/03/08"/>
          <s v="2285/03/09 - 2285/03/15"/>
          <s v="2285/03/16 - 2285/03/22"/>
          <s v="2285/03/23 - 2285/03/29"/>
          <s v="2285/03/30 - 2285/04/05"/>
          <s v="2285/04/06 - 2285/04/12"/>
          <s v="2285/04/13 - 2285/04/19"/>
          <s v="2285/04/20 - 2285/04/26"/>
          <s v="2285/04/27 - 2285/05/03"/>
          <s v="2285/05/04 - 2285/05/10"/>
          <s v="2285/05/11 - 2285/05/17"/>
          <s v="2285/05/18 - 2285/05/24"/>
          <s v="2285/05/25 - 2285/05/31"/>
          <s v="2285/06/01 - 2285/06/07"/>
          <s v="2285/06/08 - 2285/06/14"/>
          <s v="2285/06/15 - 2285/06/21"/>
          <s v="2285/06/22 - 2285/06/28"/>
          <s v="2285/06/29 - 2285/07/05"/>
          <s v="2285/07/06 - 2285/07/12"/>
          <s v="2285/07/13 - 2285/07/19"/>
          <s v="2285/07/20 - 2285/07/26"/>
          <s v="2285/07/27 - 2285/08/02"/>
          <s v="2285/08/03 - 2285/08/09"/>
          <s v="2285/08/10 - 2285/08/16"/>
          <s v="2285/08/17 - 2285/08/23"/>
          <s v="2285/08/24 - 2285/08/30"/>
          <s v="2285/08/31 - 2285/09/06"/>
          <s v="2285/09/07 - 2285/09/13"/>
          <s v="2285/09/14 - 2285/09/20"/>
          <s v="2285/09/21 - 2285/09/27"/>
          <s v="2285/09/28 - 2285/10/04"/>
          <s v="2285/10/05 - 2285/10/11"/>
          <s v="2285/10/12 - 2285/10/18"/>
          <s v="2285/10/19 - 2285/10/25"/>
          <s v="2285/10/26 - 2285/11/01"/>
          <s v="2285/11/02 - 2285/11/08"/>
          <s v="2285/11/09 - 2285/11/15"/>
          <s v="2285/11/16 - 2285/11/22"/>
          <s v="2285/11/23 - 2285/11/29"/>
          <s v="2285/11/30 - 2285/12/06"/>
          <s v="2285/12/07 - 2285/12/13"/>
          <s v="2285/12/14 - 2285/12/20"/>
          <s v="2285/12/21 - 2285/12/27"/>
          <s v="2285/12/28 - 2286/01/03"/>
          <s v="2286/01/04 - 2286/01/10"/>
          <s v="2286/01/11 - 2286/01/17"/>
          <s v="2286/01/18 - 2286/01/24"/>
          <s v="2286/01/25 - 2286/01/31"/>
          <s v="2286/02/01 - 2286/02/07"/>
          <s v="2286/02/08 - 2286/02/14"/>
          <s v="2286/02/15 - 2286/02/21"/>
          <s v="2286/02/22 - 2286/02/28"/>
          <s v="2286/03/01 - 2286/03/07"/>
          <s v="2286/03/08 - 2286/03/14"/>
          <s v="2286/03/15 - 2286/03/21"/>
          <s v="2286/03/22 - 2286/03/28"/>
          <s v="2286/03/29 - 2286/04/04"/>
          <s v="2286/04/05 - 2286/04/11"/>
          <s v="2286/04/12 - 2286/04/18"/>
          <s v="2286/04/19 - 2286/04/25"/>
          <s v="2286/04/26 - 2286/05/02"/>
          <s v="2286/05/03 - 2286/05/09"/>
          <s v="2286/05/10 - 2286/05/16"/>
          <s v="2286/05/17 - 2286/05/23"/>
          <s v="2286/05/24 - 2286/05/30"/>
          <s v="2286/05/31 - 2286/06/06"/>
          <s v="2286/06/07 - 2286/06/13"/>
          <s v="2286/06/14 - 2286/06/20"/>
          <s v="2286/06/21 - 2286/06/27"/>
          <s v="2286/06/28 - 2286/07/04"/>
          <s v="2286/07/05 - 2286/07/11"/>
          <s v="2286/07/12 - 2286/07/18"/>
          <s v="2286/07/19 - 2286/07/25"/>
          <s v="2286/07/26 - 2286/08/01"/>
          <s v="2286/08/02 - 2286/08/08"/>
          <s v="2286/08/09 - 2286/08/15"/>
          <s v="2286/08/16 - 2286/08/22"/>
          <s v="2286/08/23 - 2286/08/29"/>
          <s v="2286/08/30 - 2286/09/05"/>
          <s v="2286/09/06 - 2286/09/12"/>
          <s v="2286/09/13 - 2286/09/19"/>
          <s v="2286/09/20 - 2286/09/26"/>
          <s v="2286/09/27 - 2286/10/03"/>
          <s v="2286/10/04 - 2286/10/10"/>
          <s v="2286/10/11 - 2286/10/17"/>
          <s v="2286/10/18 - 2286/10/24"/>
          <s v="2286/10/25 - 2286/10/31"/>
          <s v="2286/11/01 - 2286/11/07"/>
          <s v="2286/11/08 - 2286/11/14"/>
          <s v="2286/11/15 - 2286/11/21"/>
          <s v="2286/11/22 - 2286/11/28"/>
          <s v="2286/11/29 - 2286/12/05"/>
          <s v="2286/12/06 - 2286/12/12"/>
          <s v="2286/12/13 - 2286/12/19"/>
          <s v="2286/12/20 - 2286/12/26"/>
          <s v="2286/12/27 - 2287/01/02"/>
          <s v="2287/01/03 - 2287/01/09"/>
          <s v="2287/01/10 - 2287/01/16"/>
          <s v="2287/01/17 - 2287/01/23"/>
          <s v="2287/01/24 - 2287/01/30"/>
          <s v="2287/01/31 - 2287/02/06"/>
          <s v="2287/02/07 - 2287/02/13"/>
          <s v="2287/02/14 - 2287/02/20"/>
          <s v="2287/02/21 - 2287/02/27"/>
          <s v="2287/02/28 - 2287/03/06"/>
          <s v="2287/03/07 - 2287/03/13"/>
          <s v="2287/03/14 - 2287/03/20"/>
          <s v="2287/03/21 - 2287/03/27"/>
          <s v="2287/03/28 - 2287/04/03"/>
          <s v="2287/04/04 - 2287/04/10"/>
          <s v="2287/04/11 - 2287/04/17"/>
          <s v="2287/04/18 - 2287/04/24"/>
          <s v="2287/04/25 - 2287/05/01"/>
          <s v="2287/05/02 - 2287/05/08"/>
          <s v="2287/05/09 - 2287/05/15"/>
          <s v="2287/05/16 - 2287/05/22"/>
          <s v="2287/05/23 - 2287/05/29"/>
          <s v="2287/05/30 - 2287/06/05"/>
          <s v="2287/06/06 - 2287/06/12"/>
          <s v="2287/06/13 - 2287/06/19"/>
          <s v="2287/06/20 - 2287/06/26"/>
          <s v="2287/06/27 - 2287/07/03"/>
          <s v="2287/07/04 - 2287/07/10"/>
          <s v="2287/07/11 - 2287/07/17"/>
          <s v="2287/07/18 - 2287/07/24"/>
          <s v="2287/07/25 - 2287/07/31"/>
          <s v="2287/08/01 - 2287/08/07"/>
          <s v="2287/08/08 - 2287/08/14"/>
          <s v="2287/08/15 - 2287/08/21"/>
          <s v="2287/08/22 - 2287/08/28"/>
          <s v="2287/08/29 - 2287/09/04"/>
          <s v="2287/09/05 - 2287/09/11"/>
          <s v="2287/09/12 - 2287/09/18"/>
          <s v="2287/09/19 - 2287/09/25"/>
          <s v="2287/09/26 - 2287/10/02"/>
          <s v="2287/10/03 - 2287/10/09"/>
          <s v="2287/10/10 - 2287/10/16"/>
          <s v="2287/10/17 - 2287/10/23"/>
          <s v="2287/10/24 - 2287/10/30"/>
          <s v="2287/10/31 - 2287/11/06"/>
          <s v="2287/11/07 - 2287/11/13"/>
          <s v="2287/11/14 - 2287/11/20"/>
          <s v="2287/11/21 - 2287/11/27"/>
          <s v="2287/11/28 - 2287/12/04"/>
          <s v="2287/12/05 - 2287/12/11"/>
          <s v="2287/12/12 - 2287/12/18"/>
          <s v="2287/12/19 - 2287/12/25"/>
          <s v="2287/12/26 - 2288/01/01"/>
          <s v="2288/01/02 - 2288/01/08"/>
          <s v="2288/01/09 - 2288/01/15"/>
          <s v="2288/01/16 - 2288/01/22"/>
          <s v="2288/01/23 - 2288/01/29"/>
          <s v="2288/01/30 - 2288/02/05"/>
          <s v="2288/02/06 - 2288/02/12"/>
          <s v="2288/02/13 - 2288/02/19"/>
          <s v="2288/02/20 - 2288/02/26"/>
          <s v="2288/02/27 - 2288/03/04"/>
          <s v="2288/03/05 - 2288/03/11"/>
          <s v="2288/03/12 - 2288/03/18"/>
          <s v="2288/03/19 - 2288/03/25"/>
          <s v="2288/03/26 - 2288/04/01"/>
          <s v="2288/04/02 - 2288/04/08"/>
          <s v="2288/04/09 - 2288/04/15"/>
          <s v="2288/04/16 - 2288/04/22"/>
          <s v="2288/04/23 - 2288/04/29"/>
          <s v="2288/04/30 - 2288/05/06"/>
          <s v="2288/05/07 - 2288/05/13"/>
          <s v="2288/05/14 - 2288/05/20"/>
          <s v="2288/05/21 - 2288/05/27"/>
          <s v="2288/05/28 - 2288/06/03"/>
          <s v="2288/06/04 - 2288/06/10"/>
          <s v="2288/06/11 - 2288/06/17"/>
          <s v="2288/06/18 - 2288/06/24"/>
          <s v="2288/06/25 - 2288/07/01"/>
          <s v="2288/07/02 - 2288/07/08"/>
          <s v="2288/07/09 - 2288/07/15"/>
          <s v="2288/07/16 - 2288/07/22"/>
          <s v="2288/07/23 - 2288/07/29"/>
          <s v="2288/07/30 - 2288/08/05"/>
          <s v="2288/08/06 - 2288/08/12"/>
          <s v="2288/08/13 - 2288/08/19"/>
          <s v="2288/08/20 - 2288/08/26"/>
          <s v="2288/08/27 - 2288/09/02"/>
          <s v="2288/09/03 - 2288/09/09"/>
          <s v="2288/09/10 - 2288/09/16"/>
          <s v="2288/09/17 - 2288/09/23"/>
          <s v="2288/09/24 - 2288/09/30"/>
          <s v="2288/10/01 - 2288/10/07"/>
          <s v="2288/10/08 - 2288/10/14"/>
          <s v="2288/10/15 - 2288/10/21"/>
          <s v="2288/10/22 - 2288/10/28"/>
          <s v="2288/10/29 - 2288/11/04"/>
          <s v="2288/11/05 - 2288/11/11"/>
          <s v="2288/11/12 - 2288/11/18"/>
          <s v="2288/11/19 - 2288/11/25"/>
          <s v="2288/11/26 - 2288/12/02"/>
          <s v="2288/12/03 - 2288/12/09"/>
          <s v="2288/12/10 - 2288/12/16"/>
          <s v="2288/12/17 - 2288/12/23"/>
          <s v="2288/12/24 - 2288/12/30"/>
          <s v="2288/12/31 - 2289/01/06"/>
          <s v="2289/01/07 - 2289/01/13"/>
          <s v="2289/01/14 - 2289/01/20"/>
          <s v="2289/01/21 - 2289/01/27"/>
          <s v="2289/01/28 - 2289/02/03"/>
          <s v="2289/02/04 - 2289/02/10"/>
          <s v="2289/02/11 - 2289/02/17"/>
          <s v="2289/02/18 - 2289/02/24"/>
          <s v="2289/02/25 - 2289/03/03"/>
          <s v="2289/03/04 - 2289/03/10"/>
          <s v="2289/03/11 - 2289/03/17"/>
          <s v="2289/03/18 - 2289/03/24"/>
          <s v="2289/03/25 - 2289/03/31"/>
          <s v="2289/04/01 - 2289/04/07"/>
          <s v="2289/04/08 - 2289/04/14"/>
          <s v="2289/04/15 - 2289/04/21"/>
          <s v="2289/04/22 - 2289/04/28"/>
          <s v="2289/04/29 - 2289/05/05"/>
          <s v="2289/05/06 - 2289/05/12"/>
          <s v="2289/05/13 - 2289/05/19"/>
          <s v="2289/05/20 - 2289/05/26"/>
          <s v="2289/05/27 - 2289/06/02"/>
          <s v="2289/06/03 - 2289/06/09"/>
          <s v="2289/06/10 - 2289/06/16"/>
          <s v="2289/06/17 - 2289/06/23"/>
          <s v="2289/06/24 - 2289/06/30"/>
          <s v="2289/07/01 - 2289/07/07"/>
          <s v="2289/07/08 - 2289/07/14"/>
          <s v="2289/07/15 - 2289/07/21"/>
          <s v="2289/07/22 - 2289/07/28"/>
          <s v="2289/07/29 - 2289/08/04"/>
          <s v="2289/08/05 - 2289/08/11"/>
          <s v="2289/08/12 - 2289/08/18"/>
          <s v="2289/08/19 - 2289/08/25"/>
          <s v="2289/08/26 - 2289/09/01"/>
          <s v="2289/09/02 - 2289/09/08"/>
          <s v="2289/09/09 - 2289/09/15"/>
          <s v="2289/09/16 - 2289/09/22"/>
          <s v="2289/09/23 - 2289/09/29"/>
          <s v="2289/09/30 - 2289/10/06"/>
          <s v="2289/10/07 - 2289/10/13"/>
          <s v="2289/10/14 - 2289/10/20"/>
          <s v="2289/10/21 - 2289/10/27"/>
          <s v="2289/10/28 - 2289/11/03"/>
          <s v="2289/11/04 - 2289/11/10"/>
          <s v="2289/11/11 - 2289/11/17"/>
          <s v="2289/11/18 - 2289/11/24"/>
          <s v="2289/11/25 - 2289/12/01"/>
          <s v="2289/12/02 - 2289/12/08"/>
          <s v="2289/12/09 - 2289/12/15"/>
          <s v="2289/12/16 - 2289/12/22"/>
          <s v="2289/12/23 - 2289/12/29"/>
          <s v="2289/12/30 - 2290/01/05"/>
          <s v="2290/01/06 - 2290/01/12"/>
          <s v="2290/01/13 - 2290/01/19"/>
          <s v="2290/01/20 - 2290/01/26"/>
          <s v="2290/01/27 - 2290/02/02"/>
          <s v="2290/02/03 - 2290/02/09"/>
          <s v="2290/02/10 - 2290/02/16"/>
          <s v="2290/02/17 - 2290/02/23"/>
          <s v="2290/02/24 - 2290/03/02"/>
          <s v="2290/03/03 - 2290/03/09"/>
          <s v="2290/03/10 - 2290/03/16"/>
          <s v="2290/03/17 - 2290/03/23"/>
          <s v="2290/03/24 - 2290/03/30"/>
          <s v="2290/03/31 - 2290/04/06"/>
          <s v="2290/04/07 - 2290/04/13"/>
          <s v="2290/04/14 - 2290/04/20"/>
          <s v="2290/04/21 - 2290/04/27"/>
          <s v="2290/04/28 - 2290/05/04"/>
          <s v="2290/05/05 - 2290/05/11"/>
          <s v="2290/05/12 - 2290/05/18"/>
          <s v="2290/05/19 - 2290/05/25"/>
          <s v="2290/05/26 - 2290/06/01"/>
          <s v="2290/06/02 - 2290/06/08"/>
          <s v="2290/06/09 - 2290/06/15"/>
          <s v="2290/06/16 - 2290/06/22"/>
          <s v="2290/06/23 - 2290/06/29"/>
          <s v="2290/06/30 - 2290/07/06"/>
          <s v="2290/07/07 - 2290/07/13"/>
          <s v="2290/07/14 - 2290/07/20"/>
          <s v="2290/07/21 - 2290/07/27"/>
          <s v="2290/07/28 - 2290/08/03"/>
          <s v="2290/08/04 - 2290/08/10"/>
          <s v="2290/08/11 - 2290/08/17"/>
          <s v="2290/08/18 - 2290/08/24"/>
          <s v="2290/08/25 - 2290/08/31"/>
          <s v="2290/09/01 - 2290/09/07"/>
          <s v="2290/09/08 - 2290/09/14"/>
          <s v="2290/09/15 - 2290/09/21"/>
          <s v="2290/09/22 - 2290/09/28"/>
          <s v="2290/09/29 - 2290/10/05"/>
          <s v="2290/10/06 - 2290/10/12"/>
          <s v="2290/10/13 - 2290/10/19"/>
          <s v="2290/10/20 - 2290/10/26"/>
          <s v="2290/10/27 - 2290/11/02"/>
          <s v="2290/11/03 - 2290/11/09"/>
          <s v="2290/11/10 - 2290/11/16"/>
          <s v="2290/11/17 - 2290/11/23"/>
          <s v="2290/11/24 - 2290/11/30"/>
          <s v="2290/12/01 - 2290/12/07"/>
          <s v="2290/12/08 - 2290/12/14"/>
          <s v="2290/12/15 - 2290/12/21"/>
          <s v="2290/12/22 - 2290/12/28"/>
          <s v="2290/12/29 - 2291/01/04"/>
          <s v="2291/01/05 - 2291/01/11"/>
          <s v="2291/01/12 - 2291/01/18"/>
          <s v="2291/01/19 - 2291/01/25"/>
          <s v="2291/01/26 - 2291/02/01"/>
          <s v="2291/02/02 - 2291/02/08"/>
          <s v="2291/02/09 - 2291/02/15"/>
          <s v="2291/02/16 - 2291/02/22"/>
          <s v="2291/02/23 - 2291/03/01"/>
          <s v="2291/03/02 - 2291/03/08"/>
          <s v="2291/03/09 - 2291/03/15"/>
          <s v="2291/03/16 - 2291/03/22"/>
          <s v="2291/03/23 - 2291/03/29"/>
          <s v="2291/03/30 - 2291/04/05"/>
          <s v="2291/04/06 - 2291/04/12"/>
          <s v="2291/04/13 - 2291/04/19"/>
          <s v="2291/04/20 - 2291/04/26"/>
          <s v="2291/04/27 - 2291/05/03"/>
          <s v="2291/05/04 - 2291/05/10"/>
          <s v="2291/05/11 - 2291/05/17"/>
          <s v="2291/05/18 - 2291/05/24"/>
          <s v="2291/05/25 - 2291/05/31"/>
          <s v="2291/06/01 - 2291/06/07"/>
          <s v="2291/06/08 - 2291/06/14"/>
          <s v="2291/06/15 - 2291/06/21"/>
          <s v="2291/06/22 - 2291/06/28"/>
          <s v="2291/06/29 - 2291/07/05"/>
          <s v="2291/07/06 - 2291/07/12"/>
          <s v="2291/07/13 - 2291/07/19"/>
          <s v="2291/07/20 - 2291/07/26"/>
          <s v="2291/07/27 - 2291/08/02"/>
          <s v="2291/08/03 - 2291/08/09"/>
          <s v="2291/08/10 - 2291/08/16"/>
          <s v="2291/08/17 - 2291/08/23"/>
          <s v="2291/08/24 - 2291/08/30"/>
          <s v="2291/08/31 - 2291/09/06"/>
          <s v="2291/09/07 - 2291/09/13"/>
          <s v="2291/09/14 - 2291/09/20"/>
          <s v="2291/09/21 - 2291/09/27"/>
          <s v="2291/09/28 - 2291/10/04"/>
          <s v="2291/10/05 - 2291/10/11"/>
          <s v="2291/10/12 - 2291/10/18"/>
          <s v="2291/10/19 - 2291/10/25"/>
          <s v="2291/10/26 - 2291/11/01"/>
          <s v="2291/11/02 - 2291/11/08"/>
          <s v="2291/11/09 - 2291/11/15"/>
          <s v="2291/11/16 - 2291/11/22"/>
          <s v="2291/11/23 - 2291/11/29"/>
          <s v="2291/11/30 - 2291/12/06"/>
          <s v="2291/12/07 - 2291/12/13"/>
          <s v="2291/12/14 - 2291/12/20"/>
          <s v="2291/12/21 - 2291/12/27"/>
          <s v="2291/12/28 - 2292/01/03"/>
          <s v="2292/01/04 - 2292/01/10"/>
          <s v="2292/01/11 - 2292/01/17"/>
          <s v="2292/01/18 - 2292/01/24"/>
          <s v="2292/01/25 - 2292/01/31"/>
          <s v="2292/02/01 - 2292/02/07"/>
          <s v="2292/02/08 - 2292/02/14"/>
          <s v="2292/02/15 - 2292/02/21"/>
          <s v="2292/02/22 - 2292/02/28"/>
          <s v="2292/02/29 - 2292/03/06"/>
          <s v="2292/03/07 - 2292/03/13"/>
          <s v="2292/03/14 - 2292/03/20"/>
          <s v="2292/03/21 - 2292/03/27"/>
          <s v="2292/03/28 - 2292/04/03"/>
          <s v="2292/04/04 - 2292/04/10"/>
          <s v="2292/04/11 - 2292/04/17"/>
          <s v="2292/04/18 - 2292/04/24"/>
          <s v="2292/04/25 - 2292/05/01"/>
          <s v="2292/05/02 - 2292/05/08"/>
          <s v="2292/05/09 - 2292/05/15"/>
          <s v="2292/05/16 - 2292/05/22"/>
          <s v="2292/05/23 - 2292/05/29"/>
          <s v="2292/05/30 - 2292/06/05"/>
          <s v="2292/06/06 - 2292/06/12"/>
          <s v="2292/06/13 - 2292/06/19"/>
          <s v="2292/06/20 - 2292/06/26"/>
          <s v="2292/06/27 - 2292/07/03"/>
          <s v="2292/07/04 - 2292/07/10"/>
          <s v="2292/07/11 - 2292/07/17"/>
          <s v="2292/07/18 - 2292/07/24"/>
          <s v="2292/07/25 - 2292/07/31"/>
          <s v="2292/08/01 - 2292/08/07"/>
          <s v="2292/08/08 - 2292/08/14"/>
          <s v="2292/08/15 - 2292/08/21"/>
          <s v="2292/08/22 - 2292/08/28"/>
          <s v="2292/08/29 - 2292/09/04"/>
          <s v="2292/09/05 - 2292/09/11"/>
          <s v="2292/09/12 - 2292/09/18"/>
          <s v="2292/09/19 - 2292/09/25"/>
          <s v="2292/09/26 - 2292/10/02"/>
          <s v="2292/10/03 - 2292/10/09"/>
          <s v="2292/10/10 - 2292/10/16"/>
          <s v="2292/10/17 - 2292/10/23"/>
          <s v="2292/10/24 - 2292/10/30"/>
          <s v="2292/10/31 - 2292/11/06"/>
          <s v="2292/11/07 - 2292/11/13"/>
          <s v="2292/11/14 - 2292/11/20"/>
          <s v="2292/11/21 - 2292/11/27"/>
          <s v="2292/11/28 - 2292/12/04"/>
          <s v="2292/12/05 - 2292/12/11"/>
          <s v="2292/12/12 - 2292/12/18"/>
          <s v="2292/12/19 - 2292/12/25"/>
          <s v="2292/12/26 - 2293/01/01"/>
          <s v="2293/01/02 - 2293/01/08"/>
          <s v="2293/01/09 - 2293/01/15"/>
          <s v="2293/01/16 - 2293/01/22"/>
          <s v="2293/01/23 - 2293/01/29"/>
          <s v="2293/01/30 - 2293/02/05"/>
          <s v="2293/02/06 - 2293/02/12"/>
          <s v="2293/02/13 - 2293/02/19"/>
          <s v="2293/02/20 - 2293/02/26"/>
          <s v="2293/02/27 - 2293/03/05"/>
          <s v="2293/03/06 - 2293/03/12"/>
          <s v="2293/03/13 - 2293/03/19"/>
          <s v="2293/03/20 - 2293/03/26"/>
          <s v="2293/03/27 - 2293/04/02"/>
          <s v="2293/04/03 - 2293/04/09"/>
          <s v="2293/04/10 - 2293/04/16"/>
          <s v="2293/04/17 - 2293/04/23"/>
          <s v="2293/04/24 - 2293/04/30"/>
          <s v="2293/05/01 - 2293/05/07"/>
          <s v="2293/05/08 - 2293/05/14"/>
          <s v="2293/05/15 - 2293/05/21"/>
          <s v="2293/05/22 - 2293/05/28"/>
          <s v="2293/05/29 - 2293/06/04"/>
          <s v="2293/06/05 - 2293/06/11"/>
          <s v="2293/06/12 - 2293/06/18"/>
          <s v="2293/06/19 - 2293/06/25"/>
          <s v="2293/06/26 - 2293/07/02"/>
          <s v="2293/07/03 - 2293/07/09"/>
          <s v="2293/07/10 - 2293/07/16"/>
          <s v="2293/07/17 - 2293/07/23"/>
          <s v="2293/07/24 - 2293/07/30"/>
          <s v="2293/07/31 - 2293/08/06"/>
          <s v="2293/08/07 - 2293/08/13"/>
          <s v="2293/08/14 - 2293/08/20"/>
          <s v="2293/08/21 - 2293/08/27"/>
          <s v="2293/08/28 - 2293/09/03"/>
          <s v="2293/09/04 - 2293/09/10"/>
          <s v="2293/09/11 - 2293/09/17"/>
          <s v="2293/09/18 - 2293/09/24"/>
          <s v="2293/09/25 - 2293/10/01"/>
          <s v="2293/10/02 - 2293/10/08"/>
          <s v="2293/10/09 - 2293/10/15"/>
          <s v="2293/10/16 - 2293/10/22"/>
          <s v="2293/10/23 - 2293/10/29"/>
          <s v="2293/10/30 - 2293/11/05"/>
          <s v="2293/11/06 - 2293/11/12"/>
          <s v="2293/11/13 - 2293/11/19"/>
          <s v="2293/11/20 - 2293/11/26"/>
          <s v="2293/11/27 - 2293/12/03"/>
          <s v="2293/12/04 - 2293/12/10"/>
          <s v="2293/12/11 - 2293/12/17"/>
          <s v="2293/12/18 - 2293/12/24"/>
          <s v="2293/12/25 - 2293/12/31"/>
          <s v="2294/01/01 - 2294/01/07"/>
          <s v="2294/01/08 - 2294/01/14"/>
          <s v="2294/01/15 - 2294/01/21"/>
          <s v="2294/01/22 - 2294/01/28"/>
          <s v="2294/01/29 - 2294/02/04"/>
          <s v="2294/02/05 - 2294/02/11"/>
          <s v="2294/02/12 - 2294/02/18"/>
          <s v="2294/02/19 - 2294/02/25"/>
          <s v="2294/02/26 - 2294/03/04"/>
          <s v="2294/03/05 - 2294/03/11"/>
          <s v="2294/03/12 - 2294/03/18"/>
          <s v="2294/03/19 - 2294/03/25"/>
          <s v="2294/03/26 - 2294/04/01"/>
          <s v="2294/04/02 - 2294/04/08"/>
          <s v="2294/04/09 - 2294/04/15"/>
          <s v="2294/04/16 - 2294/04/22"/>
          <s v="2294/04/23 - 2294/04/29"/>
          <s v="2294/04/30 - 2294/05/06"/>
          <s v="2294/05/07 - 2294/05/13"/>
          <s v="2294/05/14 - 2294/05/20"/>
          <s v="2294/05/21 - 2294/05/27"/>
          <s v="2294/05/28 - 2294/06/03"/>
          <s v="2294/06/04 - 2294/06/10"/>
          <s v="2294/06/11 - 2294/06/17"/>
          <s v="2294/06/18 - 2294/06/24"/>
          <s v="2294/06/25 - 2294/07/01"/>
          <s v="2294/07/02 - 2294/07/08"/>
          <s v="2294/07/09 - 2294/07/15"/>
          <s v="2294/07/16 - 2294/07/22"/>
          <s v="2294/07/23 - 2294/07/29"/>
          <s v="2294/07/30 - 2294/08/05"/>
          <s v="2294/08/06 - 2294/08/12"/>
          <s v="2294/08/13 - 2294/08/19"/>
          <s v="2294/08/20 - 2294/08/26"/>
          <s v="2294/08/27 - 2294/09/02"/>
          <s v="2294/09/03 - 2294/09/09"/>
          <s v="2294/09/10 - 2294/09/16"/>
          <s v="2294/09/17 - 2294/09/23"/>
          <s v="2294/09/24 - 2294/09/30"/>
          <s v="2294/10/01 - 2294/10/07"/>
          <s v="2294/10/08 - 2294/10/14"/>
          <s v="2294/10/15 - 2294/10/21"/>
          <s v="2294/10/22 - 2294/10/28"/>
          <s v="2294/10/29 - 2294/11/04"/>
          <s v="2294/11/05 - 2294/11/11"/>
          <s v="2294/11/12 - 2294/11/18"/>
          <s v="2294/11/19 - 2294/11/25"/>
          <s v="2294/11/26 - 2294/12/02"/>
          <s v="2294/12/03 - 2294/12/09"/>
          <s v="2294/12/10 - 2294/12/16"/>
          <s v="2294/12/17 - 2294/12/23"/>
          <s v="2294/12/24 - 2294/12/30"/>
          <s v="2294/12/31 - 2295/01/06"/>
          <s v="2295/01/07 - 2295/01/13"/>
          <s v="2295/01/14 - 2295/01/20"/>
          <s v="2295/01/21 - 2295/01/27"/>
          <s v="2295/01/28 - 2295/02/03"/>
          <s v="2295/02/04 - 2295/02/10"/>
          <s v="2295/02/11 - 2295/02/17"/>
          <s v="2295/02/18 - 2295/02/24"/>
          <s v="2295/02/25 - 2295/03/03"/>
          <s v="2295/03/04 - 2295/03/10"/>
          <s v="2295/03/11 - 2295/03/17"/>
          <s v="2295/03/18 - 2295/03/24"/>
          <s v="2295/03/25 - 2295/03/31"/>
          <s v="2295/04/01 - 2295/04/07"/>
          <s v="2295/04/08 - 2295/04/14"/>
          <s v="2295/04/15 - 2295/04/21"/>
          <s v="2295/04/22 - 2295/04/28"/>
          <s v="2295/04/29 - 2295/05/05"/>
          <s v="2295/05/06 - 2295/05/12"/>
          <s v="2295/05/13 - 2295/05/19"/>
          <s v="2295/05/20 - 2295/05/26"/>
          <s v="2295/05/27 - 2295/06/02"/>
          <s v="2295/06/03 - 2295/06/09"/>
          <s v="2295/06/10 - 2295/06/16"/>
          <s v="2295/06/17 - 2295/06/23"/>
          <s v="2295/06/24 - 2295/06/30"/>
          <s v="2295/07/01 - 2295/07/07"/>
          <s v="2295/07/08 - 2295/07/14"/>
          <s v="2295/07/15 - 2295/07/21"/>
          <s v="2295/07/22 - 2295/07/28"/>
          <s v="2295/07/29 - 2295/08/04"/>
          <s v="2295/08/05 - 2295/08/11"/>
          <s v="2295/08/12 - 2295/08/18"/>
          <s v="2295/08/19 - 2295/08/25"/>
          <s v="2295/08/26 - 2295/09/01"/>
          <s v="2295/09/02 - 2295/09/08"/>
          <s v="2295/09/09 - 2295/09/15"/>
          <s v="2295/09/16 - 2295/09/22"/>
          <s v="2295/09/23 - 2295/09/29"/>
          <s v="2295/09/30 - 2295/10/06"/>
          <s v="2295/10/07 - 2295/10/13"/>
          <s v="2295/10/14 - 2295/10/20"/>
          <s v="2295/10/21 - 2295/10/27"/>
          <s v="2295/10/28 - 2295/11/03"/>
          <s v="2295/11/04 - 2295/11/10"/>
          <s v="2295/11/11 - 2295/11/17"/>
          <s v="2295/11/18 - 2295/11/24"/>
          <s v="2295/11/25 - 2295/12/01"/>
          <s v="2295/12/02 - 2295/12/08"/>
          <s v="2295/12/09 - 2295/12/15"/>
          <s v="2295/12/16 - 2295/12/22"/>
          <s v="2295/12/23 - 2295/12/29"/>
          <s v="2295/12/30 - 2296/01/05"/>
          <s v="2296/01/06 - 2296/01/12"/>
          <s v="2296/01/13 - 2296/01/19"/>
          <s v="2296/01/20 - 2296/01/26"/>
          <s v="2296/01/27 - 2296/02/02"/>
          <s v="2296/02/03 - 2296/02/09"/>
          <s v="2296/02/10 - 2296/02/16"/>
          <s v="2296/02/17 - 2296/02/23"/>
          <s v="2296/02/24 - 2296/03/01"/>
          <s v="2296/03/02 - 2296/03/08"/>
          <s v="2296/03/09 - 2296/03/15"/>
          <s v="2296/03/16 - 2296/03/22"/>
          <s v="2296/03/23 - 2296/03/29"/>
          <s v="2296/03/30 - 2296/04/05"/>
          <s v="2296/04/06 - 2296/04/12"/>
          <s v="2296/04/13 - 2296/04/19"/>
          <s v="2296/04/20 - 2296/04/26"/>
          <s v="2296/04/27 - 2296/05/03"/>
          <s v="2296/05/04 - 2296/05/10"/>
          <s v="2296/05/11 - 2296/05/17"/>
          <s v="2296/05/18 - 2296/05/24"/>
          <s v="2296/05/25 - 2296/05/31"/>
          <s v="2296/06/01 - 2296/06/07"/>
          <s v="2296/06/08 - 2296/06/14"/>
          <s v="2296/06/15 - 2296/06/21"/>
          <s v="2296/06/22 - 2296/06/28"/>
          <s v="2296/06/29 - 2296/07/05"/>
          <s v="2296/07/06 - 2296/07/12"/>
          <s v="2296/07/13 - 2296/07/19"/>
          <s v="2296/07/20 - 2296/07/26"/>
          <s v="2296/07/27 - 2296/08/02"/>
          <s v="2296/08/03 - 2296/08/09"/>
          <s v="2296/08/10 - 2296/08/16"/>
          <s v="2296/08/17 - 2296/08/23"/>
          <s v="2296/08/24 - 2296/08/30"/>
          <s v="2296/08/31 - 2296/09/06"/>
          <s v="2296/09/07 - 2296/09/13"/>
          <s v="2296/09/14 - 2296/09/20"/>
          <s v="2296/09/21 - 2296/09/27"/>
          <s v="2296/09/28 - 2296/10/04"/>
          <s v="2296/10/05 - 2296/10/11"/>
          <s v="2296/10/12 - 2296/10/18"/>
          <s v="2296/10/19 - 2296/10/25"/>
          <s v="2296/10/26 - 2296/11/01"/>
          <s v="2296/11/02 - 2296/11/08"/>
          <s v="2296/11/09 - 2296/11/15"/>
          <s v="2296/11/16 - 2296/11/22"/>
          <s v="2296/11/23 - 2296/11/29"/>
          <s v="2296/11/30 - 2296/12/06"/>
          <s v="2296/12/07 - 2296/12/13"/>
          <s v="2296/12/14 - 2296/12/20"/>
          <s v="2296/12/21 - 2296/12/27"/>
          <s v="2296/12/28 - 2297/01/03"/>
          <s v="2297/01/04 - 2297/01/10"/>
          <s v="2297/01/11 - 2297/01/17"/>
          <s v="2297/01/18 - 2297/01/24"/>
          <s v="2297/01/25 - 2297/01/31"/>
          <s v="2297/02/01 - 2297/02/07"/>
          <s v="2297/02/08 - 2297/02/14"/>
          <s v="2297/02/15 - 2297/02/21"/>
          <s v="2297/02/22 - 2297/02/28"/>
          <s v="2297/03/01 - 2297/03/07"/>
          <s v="2297/03/08 - 2297/03/14"/>
          <s v="2297/03/15 - 2297/03/21"/>
          <s v="2297/03/22 - 2297/03/28"/>
          <s v="2297/03/29 - 2297/04/04"/>
          <s v="2297/04/05 - 2297/04/11"/>
          <s v="2297/04/12 - 2297/04/18"/>
          <s v="2297/04/19 - 2297/04/25"/>
          <s v="2297/04/26 - 2297/05/02"/>
          <s v="2297/05/03 - 2297/05/09"/>
          <s v="2297/05/10 - 2297/05/16"/>
          <s v="2297/05/17 - 2297/05/23"/>
          <s v="2297/05/24 - 2297/05/30"/>
          <s v="2297/05/31 - 2297/06/06"/>
          <s v="2297/06/07 - 2297/06/13"/>
          <s v="2297/06/14 - 2297/06/20"/>
          <s v="2297/06/21 - 2297/06/27"/>
          <s v="2297/06/28 - 2297/07/04"/>
          <s v="2297/07/05 - 2297/07/11"/>
          <s v="2297/07/12 - 2297/07/18"/>
          <s v="2297/07/19 - 2297/07/25"/>
          <s v="2297/07/26 - 2297/08/01"/>
          <s v="2297/08/02 - 2297/08/08"/>
          <s v="2297/08/09 - 2297/08/15"/>
          <s v="2297/08/16 - 2297/08/22"/>
          <s v="2297/08/23 - 2297/08/29"/>
          <s v="2297/08/30 - 2297/09/05"/>
          <s v="2297/09/06 - 2297/09/12"/>
          <s v="2297/09/13 - 2297/09/19"/>
          <s v="2297/09/20 - 2297/09/26"/>
          <s v="2297/09/27 - 2297/10/03"/>
          <s v="2297/10/04 - 2297/10/10"/>
          <s v="2297/10/11 - 2297/10/17"/>
          <s v="2297/10/18 - 2297/10/24"/>
          <s v="2297/10/25 - 2297/10/31"/>
          <s v="2297/11/01 - 2297/11/07"/>
          <s v="2297/11/08 - 2297/11/14"/>
          <s v="2297/11/15 - 2297/11/21"/>
          <s v="2297/11/22 - 2297/11/28"/>
          <s v="2297/11/29 - 2297/12/05"/>
          <s v="2297/12/06 - 2297/12/12"/>
          <s v="2297/12/13 - 2297/12/19"/>
          <s v="2297/12/20 - 2297/12/26"/>
          <s v="2297/12/27 - 2298/01/02"/>
          <s v="2298/01/03 - 2298/01/09"/>
          <s v="2298/01/10 - 2298/01/16"/>
          <s v="2298/01/17 - 2298/01/23"/>
          <s v="2298/01/24 - 2298/01/30"/>
          <s v="2298/01/31 - 2298/02/06"/>
          <s v="2298/02/07 - 2298/02/13"/>
          <s v="2298/02/14 - 2298/02/20"/>
          <s v="2298/02/21 - 2298/02/27"/>
          <s v="2298/02/28 - 2298/03/06"/>
          <s v="2298/03/07 - 2298/03/13"/>
          <s v="2298/03/14 - 2298/03/20"/>
          <s v="2298/03/21 - 2298/03/27"/>
          <s v="2298/03/28 - 2298/04/03"/>
          <s v="2298/04/04 - 2298/04/10"/>
          <s v="2298/04/11 - 2298/04/17"/>
          <s v="2298/04/18 - 2298/04/24"/>
          <s v="2298/04/25 - 2298/05/01"/>
          <s v="2298/05/02 - 2298/05/08"/>
          <s v="2298/05/09 - 2298/05/15"/>
          <s v="2298/05/16 - 2298/05/22"/>
          <s v="2298/05/23 - 2298/05/29"/>
          <s v="2298/05/30 - 2298/06/05"/>
          <s v="2298/06/06 - 2298/06/12"/>
          <s v="2298/06/13 - 2298/06/19"/>
          <s v="2298/06/20 - 2298/06/26"/>
          <s v="2298/06/27 - 2298/07/03"/>
          <s v="2298/07/04 - 2298/07/10"/>
          <s v="2298/07/11 - 2298/07/17"/>
          <s v="2298/07/18 - 2298/07/24"/>
          <s v="2298/07/25 - 2298/07/31"/>
          <s v="2298/08/01 - 2298/08/07"/>
          <s v="2298/08/08 - 2298/08/14"/>
          <s v="2298/08/15 - 2298/08/21"/>
          <s v="2298/08/22 - 2298/08/28"/>
          <s v="2298/08/29 - 2298/09/04"/>
          <s v="2298/09/05 - 2298/09/11"/>
          <s v="2298/09/12 - 2298/09/18"/>
          <s v="2298/09/19 - 2298/09/25"/>
          <s v="2298/09/26 - 2298/10/02"/>
          <s v="2298/10/03 - 2298/10/09"/>
          <s v="2298/10/10 - 2298/10/16"/>
          <s v="2298/10/17 - 2298/10/23"/>
          <s v="2298/10/24 - 2298/10/30"/>
          <s v="2298/10/31 - 2298/11/06"/>
          <s v="2298/11/07 - 2298/11/13"/>
          <s v="2298/11/14 - 2298/11/20"/>
          <s v="2298/11/21 - 2298/11/27"/>
          <s v="2298/11/28 - 2298/12/04"/>
          <s v="2298/12/05 - 2298/12/11"/>
          <s v="2298/12/12 - 2298/12/18"/>
          <s v="2298/12/19 - 2298/12/25"/>
          <s v="2298/12/26 - 2299/01/01"/>
          <s v="2299/01/02 - 2299/01/08"/>
          <s v="2299/01/09 - 2299/01/15"/>
          <s v="2299/01/16 - 2299/01/22"/>
          <s v="2299/01/23 - 2299/01/29"/>
          <s v="2299/01/30 - 2299/02/05"/>
          <s v="2299/02/06 - 2299/02/12"/>
          <s v="2299/02/13 - 2299/02/19"/>
          <s v="2299/02/20 - 2299/02/26"/>
          <s v="2299/02/27 - 2299/03/05"/>
          <s v="2299/03/06 - 2299/03/12"/>
          <s v="2299/03/13 - 2299/03/19"/>
          <s v="2299/03/20 - 2299/03/26"/>
          <s v="2299/03/27 - 2299/04/02"/>
          <s v="2299/04/03 - 2299/04/09"/>
          <s v="2299/04/10 - 2299/04/16"/>
          <s v="2299/04/17 - 2299/04/23"/>
          <s v="2299/04/24 - 2299/04/30"/>
          <s v="2299/05/01 - 2299/05/07"/>
          <s v="2299/05/08 - 2299/05/14"/>
          <s v="2299/05/15 - 2299/05/21"/>
          <s v="2299/05/22 - 2299/05/28"/>
          <s v="2299/05/29 - 2299/06/04"/>
          <s v="2299/06/05 - 2299/06/11"/>
          <s v="2299/06/12 - 2299/06/18"/>
          <s v="2299/06/19 - 2299/06/25"/>
          <s v="2299/06/26 - 2299/07/02"/>
          <s v="2299/07/03 - 2299/07/09"/>
          <s v="2299/07/10 - 2299/07/16"/>
          <s v="2299/07/17 - 2299/07/23"/>
          <s v="2299/07/24 - 2299/07/30"/>
          <s v="2299/07/31 - 2299/08/06"/>
          <s v="2299/08/07 - 2299/08/13"/>
          <s v="2299/08/14 - 2299/08/20"/>
          <s v="2299/08/21 - 2299/08/27"/>
          <s v="2299/08/28 - 2299/09/03"/>
          <s v="2299/09/04 - 2299/09/10"/>
          <s v="2299/09/11 - 2299/09/17"/>
          <s v="2299/09/18 - 2299/09/24"/>
          <s v="2299/09/25 - 2299/10/01"/>
          <s v="2299/10/02 - 2299/10/08"/>
          <s v="2299/10/09 - 2299/10/15"/>
          <s v="2299/10/16 - 2299/10/22"/>
          <s v="2299/10/23 - 2299/10/29"/>
          <s v="2299/10/30 - 2299/11/05"/>
          <s v="2299/11/06 - 2299/11/12"/>
          <s v="2299/11/13 - 2299/11/19"/>
          <s v="2299/11/20 - 2299/11/26"/>
          <s v="2299/11/27 - 2299/12/03"/>
          <s v="2299/12/04 - 2299/12/10"/>
          <s v="2299/12/11 - 2299/12/17"/>
          <s v="2299/12/18 - 2299/12/24"/>
          <s v="2299/12/25 - 2299/12/31"/>
          <s v="2300/01/01 - 2300/01/07"/>
          <s v="2300/01/08 - 2300/01/14"/>
          <s v="2300/01/15 - 2300/01/21"/>
          <s v="2300/01/22 - 2300/01/28"/>
          <s v="2300/01/29 - 2300/02/04"/>
          <s v="2300/02/05 - 2300/02/11"/>
          <s v="2300/02/12 - 2300/02/18"/>
          <s v="2300/02/19 - 2300/02/25"/>
          <s v="2300/02/26 - 2300/03/04"/>
          <s v="2300/03/05 - 2300/03/11"/>
          <s v="2300/03/12 - 2300/03/18"/>
          <s v="2300/03/19 - 2300/03/25"/>
          <s v="2300/03/26 - 2300/04/01"/>
          <s v="2300/04/02 - 2300/04/08"/>
          <s v="2300/04/09 - 2300/04/15"/>
          <s v="2300/04/16 - 2300/04/22"/>
          <s v="2300/04/23 - 2300/04/29"/>
          <s v="2300/04/30 - 2300/05/06"/>
          <s v="2300/05/07 - 2300/05/13"/>
          <s v="2300/05/14 - 2300/05/20"/>
          <s v="2300/05/21 - 2300/05/27"/>
          <s v="2300/05/28 - 2300/06/03"/>
          <s v="2300/06/04 - 2300/06/10"/>
          <s v="2300/06/11 - 2300/06/17"/>
          <s v="2300/06/18 - 2300/06/24"/>
          <s v="2300/06/25 - 2300/07/01"/>
          <s v="2300/07/02 - 2300/07/08"/>
          <s v="2300/07/09 - 2300/07/15"/>
          <s v="2300/07/16 - 2300/07/22"/>
          <s v="2300/07/23 - 2300/07/29"/>
          <s v="2300/07/30 - 2300/08/05"/>
          <s v="2300/08/06 - 2300/08/12"/>
          <s v="2300/08/13 - 2300/08/19"/>
          <s v="2300/08/20 - 2300/08/26"/>
          <s v="2300/08/27 - 2300/09/02"/>
          <s v="2300/09/03 - 2300/09/09"/>
          <s v="2300/09/10 - 2300/09/16"/>
          <s v="2300/09/17 - 2300/09/23"/>
          <s v="2300/09/24 - 2300/09/30"/>
          <s v="2300/10/01 - 2300/10/07"/>
          <s v="2300/10/08 - 2300/10/14"/>
          <s v="2300/10/15 - 2300/10/21"/>
          <s v="2300/10/22 - 2300/10/28"/>
          <s v="2300/10/29 - 2300/11/04"/>
          <s v="2300/11/05 - 2300/11/11"/>
          <s v="2300/11/12 - 2300/11/18"/>
          <s v="2300/11/19 - 2300/11/25"/>
          <s v="2300/11/26 - 2300/12/02"/>
          <s v="2300/12/03 - 2300/12/09"/>
          <s v="2300/12/10 - 2300/12/16"/>
          <s v="2300/12/17 - 2300/12/23"/>
          <s v="2300/12/24 - 2300/12/30"/>
          <s v="2300/12/31 - 2301/01/06"/>
          <s v="2301/01/07 - 2301/01/13"/>
          <s v="2301/01/14 - 2301/01/20"/>
          <s v="2301/01/21 - 2301/01/27"/>
          <s v="2301/01/28 - 2301/02/03"/>
          <s v="2301/02/04 - 2301/02/10"/>
          <s v="2301/02/11 - 2301/02/17"/>
          <s v="2301/02/18 - 2301/02/24"/>
          <s v="2301/02/25 - 2301/03/03"/>
          <s v="2301/03/04 - 2301/03/10"/>
          <s v="2301/03/11 - 2301/03/17"/>
          <s v="2301/03/18 - 2301/03/24"/>
          <s v="2301/03/25 - 2301/03/31"/>
          <s v="2301/04/01 - 2301/04/07"/>
          <s v="2301/04/08 - 2301/04/14"/>
          <s v="2301/04/15 - 2301/04/21"/>
          <s v="2301/04/22 - 2301/04/28"/>
          <s v="2301/04/29 - 2301/05/05"/>
          <s v="2301/05/06 - 2301/05/12"/>
          <s v="2301/05/13 - 2301/05/19"/>
          <s v="2301/05/20 - 2301/05/26"/>
          <s v="2301/05/27 - 2301/06/02"/>
          <s v="2301/06/03 - 2301/06/09"/>
          <s v="2301/06/10 - 2301/06/16"/>
          <s v="2301/06/17 - 2301/06/23"/>
          <s v="2301/06/24 - 2301/06/30"/>
          <s v="2301/07/01 - 2301/07/07"/>
          <s v="2301/07/08 - 2301/07/14"/>
          <s v="2301/07/15 - 2301/07/21"/>
          <s v="2301/07/22 - 2301/07/28"/>
          <s v="2301/07/29 - 2301/08/04"/>
          <s v="2301/08/05 - 2301/08/11"/>
          <s v="2301/08/12 - 2301/08/18"/>
          <s v="2301/08/19 - 2301/08/25"/>
          <s v="2301/08/26 - 2301/09/01"/>
          <s v="2301/09/02 - 2301/09/08"/>
          <s v="2301/09/09 - 2301/09/15"/>
          <s v="2301/09/16 - 2301/09/22"/>
          <s v="2301/09/23 - 2301/09/29"/>
          <s v="2301/09/30 - 2301/10/06"/>
          <s v="2301/10/07 - 2301/10/13"/>
          <s v="2301/10/14 - 2301/10/20"/>
          <s v="2301/10/21 - 2301/10/27"/>
          <s v="2301/10/28 - 2301/11/03"/>
          <s v="2301/11/04 - 2301/11/10"/>
          <s v="2301/11/11 - 2301/11/17"/>
          <s v="2301/11/18 - 2301/11/24"/>
          <s v="2301/11/25 - 2301/12/01"/>
          <s v="2301/12/02 - 2301/12/08"/>
          <s v="2301/12/09 - 2301/12/15"/>
          <s v="2301/12/16 - 2301/12/22"/>
          <s v="2301/12/23 - 2301/12/29"/>
          <s v="2301/12/30 - 2302/01/05"/>
          <s v="2302/01/06 - 2302/01/12"/>
          <s v="2302/01/13 - 2302/01/19"/>
          <s v="2302/01/20 - 2302/01/26"/>
          <s v="2302/01/27 - 2302/02/02"/>
          <s v="2302/02/03 - 2302/02/09"/>
          <s v="2302/02/10 - 2302/02/16"/>
          <s v="2302/02/17 - 2302/02/23"/>
          <s v="2302/02/24 - 2302/03/02"/>
          <s v="2302/03/03 - 2302/03/09"/>
          <s v="2302/03/10 - 2302/03/16"/>
          <s v="2302/03/17 - 2302/03/23"/>
          <s v="2302/03/24 - 2302/03/30"/>
          <s v="2302/03/31 - 2302/04/06"/>
          <s v="2302/04/07 - 2302/04/13"/>
          <s v="2302/04/14 - 2302/04/20"/>
          <s v="2302/04/21 - 2302/04/27"/>
          <s v="2302/04/28 - 2302/05/04"/>
          <s v="2302/05/05 - 2302/05/11"/>
          <s v="2302/05/12 - 2302/05/18"/>
          <s v="2302/05/19 - 2302/05/25"/>
          <s v="2302/05/26 - 2302/06/01"/>
          <s v="2302/06/02 - 2302/06/08"/>
          <s v="2302/06/09 - 2302/06/15"/>
          <s v="2302/06/16 - 2302/06/22"/>
          <s v="2302/06/23 - 2302/06/29"/>
          <s v="2302/06/30 - 2302/07/06"/>
          <s v="2302/07/07 - 2302/07/13"/>
          <s v="2302/07/14 - 2302/07/20"/>
          <s v="2302/07/21 - 2302/07/27"/>
          <s v="2302/07/28 - 2302/08/03"/>
          <s v="2302/08/04 - 2302/08/10"/>
          <s v="2302/08/11 - 2302/08/17"/>
          <s v="2302/08/18 - 2302/08/24"/>
          <s v="2302/08/25 - 2302/08/31"/>
          <s v="2302/09/01 - 2302/09/07"/>
          <s v="2302/09/08 - 2302/09/14"/>
          <s v="2302/09/15 - 2302/09/21"/>
          <s v="2302/09/22 - 2302/09/28"/>
          <s v="2302/09/29 - 2302/10/05"/>
          <s v="2302/10/06 - 2302/10/12"/>
          <s v="2302/10/13 - 2302/10/19"/>
          <s v="2302/10/20 - 2302/10/26"/>
          <s v="2302/10/27 - 2302/11/02"/>
          <s v="2302/11/03 - 2302/11/09"/>
          <s v="2302/11/10 - 2302/11/16"/>
          <s v="2302/11/17 - 2302/11/23"/>
          <s v="2302/11/24 - 2302/11/30"/>
          <s v="2302/12/01 - 2302/12/07"/>
          <s v="2302/12/08 - 2302/12/14"/>
          <s v="2302/12/15 - 2302/12/21"/>
          <s v="2302/12/22 - 2302/12/28"/>
          <s v="2302/12/29 - 2303/01/04"/>
          <s v="2303/01/05 - 2303/01/11"/>
          <s v="2303/01/12 - 2303/01/18"/>
          <s v="2303/01/19 - 2303/01/25"/>
          <s v="2303/01/26 - 2303/02/01"/>
          <s v="2303/02/02 - 2303/02/08"/>
          <s v="2303/02/09 - 2303/02/15"/>
          <s v="2303/02/16 - 2303/02/22"/>
          <s v="2303/02/23 - 2303/03/01"/>
          <s v="2303/03/02 - 2303/03/08"/>
          <s v="2303/03/09 - 2303/03/15"/>
          <s v="2303/03/16 - 2303/03/22"/>
          <s v="2303/03/23 - 2303/03/29"/>
          <s v="2303/03/30 - 2303/04/05"/>
          <s v="2303/04/06 - 2303/04/12"/>
          <s v="2303/04/13 - 2303/04/19"/>
          <s v="2303/04/20 - 2303/04/26"/>
          <s v="2303/04/27 - 2303/05/03"/>
          <s v="2303/05/04 - 2303/05/10"/>
          <s v="2303/05/11 - 2303/05/17"/>
          <s v="2303/05/18 - 2303/05/24"/>
          <s v="2303/05/25 - 2303/05/31"/>
          <s v="2303/06/01 - 2303/06/07"/>
          <s v="2303/06/08 - 2303/06/14"/>
          <s v="2303/06/15 - 2303/06/21"/>
          <s v="2303/06/22 - 2303/06/28"/>
          <s v="2303/06/29 - 2303/07/05"/>
          <s v="2303/07/06 - 2303/07/12"/>
          <s v="2303/07/13 - 2303/07/19"/>
          <s v="2303/07/20 - 2303/07/26"/>
          <s v="2303/07/27 - 2303/08/02"/>
          <s v="2303/08/03 - 2303/08/09"/>
          <s v="2303/08/10 - 2303/08/16"/>
          <s v="2303/08/17 - 2303/08/23"/>
          <s v="2303/08/24 - 2303/08/30"/>
          <s v="2303/08/31 - 2303/09/06"/>
          <s v="2303/09/07 - 2303/09/13"/>
          <s v="2303/09/14 - 2303/09/20"/>
          <s v="2303/09/21 - 2303/09/27"/>
          <s v="2303/09/28 - 2303/10/04"/>
          <s v="2303/10/05 - 2303/10/11"/>
          <s v="2303/10/12 - 2303/10/18"/>
          <s v="2303/10/19 - 2303/10/25"/>
          <s v="2303/10/26 - 2303/11/01"/>
          <s v="2303/11/02 - 2303/11/08"/>
          <s v="2303/11/09 - 2303/11/15"/>
          <s v="2303/11/16 - 2303/11/22"/>
          <s v="2303/11/23 - 2303/11/29"/>
          <s v="2303/11/30 - 2303/12/06"/>
          <s v="2303/12/07 - 2303/12/13"/>
          <s v="2303/12/14 - 2303/12/20"/>
          <s v="2303/12/21 - 2303/12/27"/>
          <s v="2303/12/28 - 2304/01/03"/>
          <s v="2304/01/04 - 2304/01/10"/>
          <s v="2304/01/11 - 2304/01/17"/>
          <s v="2304/01/18 - 2304/01/24"/>
          <s v="2304/01/25 - 2304/01/31"/>
          <s v="2304/02/01 - 2304/02/07"/>
          <s v="2304/02/08 - 2304/02/14"/>
          <s v="2304/02/15 - 2304/02/21"/>
          <s v="2304/02/22 - 2304/02/28"/>
          <s v="2304/02/29 - 2304/03/06"/>
          <s v="2304/03/07 - 2304/03/13"/>
          <s v="2304/03/14 - 2304/03/20"/>
          <s v="2304/03/21 - 2304/03/27"/>
          <s v="2304/03/28 - 2304/04/03"/>
          <s v="2304/04/04 - 2304/04/10"/>
          <s v="2304/04/11 - 2304/04/17"/>
          <s v="2304/04/18 - 2304/04/24"/>
          <s v="2304/04/25 - 2304/05/01"/>
          <s v="2304/05/02 - 2304/05/08"/>
          <s v="2304/05/09 - 2304/05/15"/>
          <s v="2304/05/16 - 2304/05/22"/>
          <s v="2304/05/23 - 2304/05/29"/>
          <s v="2304/05/30 - 2304/06/05"/>
          <s v="2304/06/06 - 2304/06/12"/>
          <s v="2304/06/13 - 2304/06/19"/>
          <s v="2304/06/20 - 2304/06/26"/>
          <s v="2304/06/27 - 2304/07/03"/>
          <s v="2304/07/04 - 2304/07/10"/>
          <s v="2304/07/11 - 2304/07/17"/>
          <s v="2304/07/18 - 2304/07/24"/>
          <s v="2304/07/25 - 2304/07/31"/>
          <s v="2304/08/01 - 2304/08/07"/>
          <s v="2304/08/08 - 2304/08/14"/>
          <s v="2304/08/15 - 2304/08/21"/>
          <s v="2304/08/22 - 2304/08/28"/>
          <s v="2304/08/29 - 2304/09/04"/>
          <s v="2304/09/05 - 2304/09/11"/>
          <s v="2304/09/12 - 2304/09/18"/>
          <s v="2304/09/19 - 2304/09/25"/>
          <s v="2304/09/26 - 2304/10/02"/>
          <s v="2304/10/03 - 2304/10/09"/>
          <s v="2304/10/10 - 2304/10/16"/>
          <s v="2304/10/17 - 2304/10/23"/>
          <s v="2304/10/24 - 2304/10/30"/>
          <s v="2304/10/31 - 2304/11/06"/>
          <s v="2304/11/07 - 2304/11/13"/>
          <s v="2304/11/14 - 2304/11/20"/>
          <s v="2304/11/21 - 2304/11/27"/>
          <s v="2304/11/28 - 2304/12/04"/>
          <s v="2304/12/05 - 2304/12/11"/>
          <s v="2304/12/12 - 2304/12/18"/>
          <s v="2304/12/19 - 2304/12/25"/>
          <s v="2304/12/26 - 2305/01/01"/>
          <s v="2305/01/02 - 2305/01/08"/>
          <s v="2305/01/09 - 2305/01/15"/>
          <s v="2305/01/16 - 2305/01/22"/>
          <s v="2305/01/23 - 2305/01/29"/>
          <s v="2305/01/30 - 2305/02/05"/>
          <s v="2305/02/06 - 2305/02/12"/>
          <s v="2305/02/13 - 2305/02/19"/>
          <s v="2305/02/20 - 2305/02/26"/>
          <s v="2305/02/27 - 2305/03/05"/>
          <s v="2305/03/06 - 2305/03/12"/>
          <s v="2305/03/13 - 2305/03/19"/>
          <s v="2305/03/20 - 2305/03/26"/>
          <s v="2305/03/27 - 2305/04/02"/>
          <s v="2305/04/03 - 2305/04/09"/>
          <s v="2305/04/10 - 2305/04/16"/>
          <s v="2305/04/17 - 2305/04/23"/>
          <s v="2305/04/24 - 2305/04/30"/>
          <s v="2305/05/01 - 2305/05/07"/>
          <s v="2305/05/08 - 2305/05/14"/>
          <s v="2305/05/15 - 2305/05/21"/>
          <s v="2305/05/22 - 2305/05/28"/>
          <s v="2305/05/29 - 2305/06/04"/>
          <s v="2305/06/05 - 2305/06/11"/>
          <s v="2305/06/12 - 2305/06/18"/>
          <s v="2305/06/19 - 2305/06/25"/>
          <s v="2305/06/26 - 2305/07/02"/>
          <s v="2305/07/03 - 2305/07/09"/>
          <s v="2305/07/10 - 2305/07/16"/>
          <s v="2305/07/17 - 2305/07/23"/>
          <s v="2305/07/24 - 2305/07/30"/>
          <s v="2305/07/31 - 2305/08/06"/>
          <s v="2305/08/07 - 2305/08/13"/>
          <s v="2305/08/14 - 2305/08/20"/>
          <s v="2305/08/21 - 2305/08/27"/>
          <s v="2305/08/28 - 2305/09/03"/>
          <s v="2305/09/04 - 2305/09/10"/>
          <s v="2305/09/11 - 2305/09/17"/>
          <s v="2305/09/18 - 2305/09/24"/>
          <s v="2305/09/25 - 2305/10/01"/>
          <s v="2305/10/02 - 2305/10/08"/>
          <s v="2305/10/09 - 2305/10/15"/>
          <s v="2305/10/16 - 2305/10/22"/>
          <s v="2305/10/23 - 2305/10/29"/>
          <s v="2305/10/30 - 2305/11/05"/>
          <s v="2305/11/06 - 2305/11/12"/>
          <s v="2305/11/13 - 2305/11/19"/>
          <s v="2305/11/20 - 2305/11/26"/>
          <s v="2305/11/27 - 2305/12/03"/>
          <s v="2305/12/04 - 2305/12/10"/>
          <s v="2305/12/11 - 2305/12/17"/>
          <s v="2305/12/18 - 2305/12/24"/>
          <s v="2305/12/25 - 2305/12/31"/>
          <s v="2306/01/01 - 2306/01/07"/>
          <s v="2306/01/08 - 2306/01/14"/>
          <s v="2306/01/15 - 2306/01/21"/>
          <s v="2306/01/22 - 2306/01/28"/>
          <s v="2306/01/29 - 2306/02/04"/>
          <s v="2306/02/05 - 2306/02/11"/>
          <s v="2306/02/12 - 2306/02/18"/>
          <s v="2306/02/19 - 2306/02/25"/>
          <s v="2306/02/26 - 2306/03/04"/>
          <s v="2306/03/05 - 2306/03/11"/>
          <s v="2306/03/12 - 2306/03/18"/>
          <s v="2306/03/19 - 2306/03/25"/>
          <s v="2306/03/26 - 2306/04/01"/>
          <s v="2306/04/02 - 2306/04/08"/>
          <s v="2306/04/09 - 2306/04/15"/>
          <s v="2306/04/16 - 2306/04/22"/>
          <s v="2306/04/23 - 2306/04/29"/>
          <s v="2306/04/30 - 2306/05/06"/>
          <s v="2306/05/07 - 2306/05/13"/>
          <s v="2306/05/14 - 2306/05/20"/>
          <s v="2306/05/21 - 2306/05/27"/>
          <s v="2306/05/28 - 2306/06/03"/>
          <s v="2306/06/04 - 2306/06/10"/>
          <s v="2306/06/11 - 2306/06/17"/>
          <s v="2306/06/18 - 2306/06/24"/>
          <s v="2306/06/25 - 2306/07/01"/>
          <s v="2306/07/02 - 2306/07/08"/>
          <s v="2306/07/09 - 2306/07/15"/>
          <s v="2306/07/16 - 2306/07/22"/>
          <s v="2306/07/23 - 2306/07/29"/>
          <s v="2306/07/30 - 2306/08/05"/>
          <s v="2306/08/06 - 2306/08/12"/>
          <s v="2306/08/13 - 2306/08/19"/>
          <s v="2306/08/20 - 2306/08/26"/>
          <s v="2306/08/27 - 2306/09/02"/>
          <s v="2306/09/03 - 2306/09/09"/>
          <s v="2306/09/10 - 2306/09/16"/>
          <s v="2306/09/17 - 2306/09/23"/>
          <s v="2306/09/24 - 2306/09/30"/>
          <s v="2306/10/01 - 2306/10/07"/>
          <s v="2306/10/08 - 2306/10/14"/>
          <s v="2306/10/15 - 2306/10/21"/>
          <s v="2306/10/22 - 2306/10/28"/>
          <s v="2306/10/29 - 2306/11/04"/>
          <s v="2306/11/05 - 2306/11/11"/>
          <s v="2306/11/12 - 2306/11/18"/>
          <s v="2306/11/19 - 2306/11/25"/>
          <s v="2306/11/26 - 2306/12/02"/>
          <s v="2306/12/03 - 2306/12/09"/>
          <s v="2306/12/10 - 2306/12/16"/>
          <s v="2306/12/17 - 2306/12/23"/>
          <s v="2306/12/24 - 2306/12/30"/>
          <s v="2306/12/31 - 2307/01/06"/>
          <s v="2307/01/07 - 2307/01/13"/>
          <s v="2307/01/14 - 2307/01/20"/>
          <s v="2307/01/21 - 2307/01/27"/>
          <s v="2307/01/28 - 2307/02/03"/>
          <s v="2307/02/04 - 2307/02/10"/>
          <s v="2307/02/11 - 2307/02/17"/>
          <s v="2307/02/18 - 2307/02/24"/>
          <s v="2307/02/25 - 2307/03/03"/>
          <s v="2307/03/04 - 2307/03/10"/>
          <s v="2307/03/11 - 2307/03/17"/>
          <s v="2307/03/18 - 2307/03/24"/>
          <s v="2307/03/25 - 2307/03/31"/>
          <s v="2307/04/01 - 2307/04/07"/>
          <s v="2307/04/08 - 2307/04/14"/>
          <s v="2307/04/15 - 2307/04/21"/>
          <s v="2307/04/22 - 2307/04/28"/>
          <s v="2307/04/29 - 2307/05/05"/>
          <s v="2307/05/06 - 2307/05/12"/>
          <s v="2307/05/13 - 2307/05/19"/>
          <s v="2307/05/20 - 2307/05/26"/>
          <s v="2307/05/27 - 2307/06/02"/>
          <s v="2307/06/03 - 2307/06/09"/>
          <s v="2307/06/10 - 2307/06/16"/>
          <s v="2307/06/17 - 2307/06/23"/>
          <s v="2307/06/24 - 2307/06/30"/>
          <s v="2307/07/01 - 2307/07/07"/>
          <s v="2307/07/08 - 2307/07/14"/>
          <s v="2307/07/15 - 2307/07/21"/>
          <s v="2307/07/22 - 2307/07/28"/>
          <s v="2307/07/29 - 2307/08/04"/>
          <s v="2307/08/05 - 2307/08/11"/>
          <s v="2307/08/12 - 2307/08/18"/>
          <s v="2307/08/19 - 2307/08/25"/>
          <s v="2307/08/26 - 2307/09/01"/>
          <s v="2307/09/02 - 2307/09/08"/>
          <s v="2307/09/09 - 2307/09/15"/>
          <s v="2307/09/16 - 2307/09/22"/>
          <s v="2307/09/23 - 2307/09/29"/>
          <s v="2307/09/30 - 2307/10/06"/>
          <s v="2307/10/07 - 2307/10/13"/>
          <s v="2307/10/14 - 2307/10/20"/>
          <s v="2307/10/21 - 2307/10/27"/>
          <s v="2307/10/28 - 2307/11/03"/>
          <s v="2307/11/04 - 2307/11/10"/>
          <s v="2307/11/11 - 2307/11/17"/>
          <s v="2307/11/18 - 2307/11/24"/>
          <s v="2307/11/25 - 2307/12/01"/>
          <s v="2307/12/02 - 2307/12/08"/>
          <s v="2307/12/09 - 2307/12/15"/>
          <s v="2307/12/16 - 2307/12/22"/>
          <s v="2307/12/23 - 2307/12/29"/>
          <s v="2307/12/30 - 2308/01/05"/>
          <s v="2308/01/06 - 2308/01/12"/>
          <s v="2308/01/13 - 2308/01/19"/>
          <s v="2308/01/20 - 2308/01/26"/>
          <s v="2308/01/27 - 2308/02/02"/>
          <s v="2308/02/03 - 2308/02/09"/>
          <s v="2308/02/10 - 2308/02/16"/>
          <s v="2308/02/17 - 2308/02/23"/>
          <s v="2308/02/24 - 2308/03/01"/>
          <s v="2308/03/02 - 2308/03/08"/>
          <s v="2308/03/09 - 2308/03/15"/>
          <s v="2308/03/16 - 2308/03/22"/>
          <s v="2308/03/23 - 2308/03/29"/>
          <s v="2308/03/30 - 2308/04/05"/>
          <s v="2308/04/06 - 2308/04/12"/>
          <s v="2308/04/13 - 2308/04/19"/>
          <s v="2308/04/20 - 2308/04/26"/>
          <s v="2308/04/27 - 2308/05/03"/>
          <s v="2308/05/04 - 2308/05/10"/>
          <s v="2308/05/11 - 2308/05/17"/>
          <s v="2308/05/18 - 2308/05/24"/>
          <s v="2308/05/25 - 2308/05/31"/>
          <s v="2308/06/01 - 2308/06/07"/>
          <s v="2308/06/08 - 2308/06/14"/>
          <s v="2308/06/15 - 2308/06/21"/>
          <s v="2308/06/22 - 2308/06/28"/>
          <s v="2308/06/29 - 2308/07/05"/>
          <s v="2308/07/06 - 2308/07/12"/>
          <s v="2308/07/13 - 2308/07/19"/>
          <s v="2308/07/20 - 2308/07/26"/>
          <s v="2308/07/27 - 2308/08/02"/>
          <s v="2308/08/03 - 2308/08/09"/>
          <s v="2308/08/10 - 2308/08/16"/>
          <s v="2308/08/17 - 2308/08/23"/>
          <s v="2308/08/24 - 2308/08/30"/>
          <s v="2308/08/31 - 2308/09/06"/>
          <s v="2308/09/07 - 2308/09/13"/>
          <s v="2308/09/14 - 2308/09/20"/>
          <s v="2308/09/21 - 2308/09/27"/>
          <s v="2308/09/28 - 2308/10/04"/>
          <s v="2308/10/05 - 2308/10/11"/>
          <s v="2308/10/12 - 2308/10/18"/>
          <s v="2308/10/19 - 2308/10/25"/>
          <s v="2308/10/26 - 2308/11/01"/>
          <s v="2308/11/02 - 2308/11/08"/>
          <s v="2308/11/09 - 2308/11/15"/>
          <s v="2308/11/16 - 2308/11/22"/>
          <s v="2308/11/23 - 2308/11/29"/>
          <s v="2308/11/30 - 2308/12/06"/>
          <s v="2308/12/07 - 2308/12/13"/>
          <s v="2308/12/14 - 2308/12/20"/>
          <s v="2308/12/21 - 2308/12/27"/>
          <s v="2308/12/28 - 2309/01/03"/>
          <s v="2309/01/04 - 2309/01/10"/>
          <s v="2309/01/11 - 2309/01/17"/>
          <s v="2309/01/18 - 2309/01/24"/>
          <s v="2309/01/25 - 2309/01/31"/>
          <s v="2309/02/01 - 2309/02/07"/>
          <s v="2309/02/08 - 2309/02/14"/>
          <s v="2309/02/15 - 2309/02/21"/>
          <s v="2309/02/22 - 2309/02/28"/>
          <s v="2309/03/01 - 2309/03/07"/>
          <s v="2309/03/08 - 2309/03/14"/>
          <s v="2309/03/15 - 2309/03/21"/>
          <s v="2309/03/22 - 2309/03/28"/>
          <s v="2309/03/29 - 2309/04/04"/>
          <s v="2309/04/05 - 2309/04/11"/>
          <s v="2309/04/12 - 2309/04/18"/>
          <s v="2309/04/19 - 2309/04/25"/>
          <s v="2309/04/26 - 2309/05/02"/>
          <s v="2309/05/03 - 2309/05/09"/>
          <s v="2309/05/10 - 2309/05/16"/>
          <s v="2309/05/17 - 2309/05/23"/>
          <s v="2309/05/24 - 2309/05/30"/>
          <s v="2309/05/31 - 2309/06/06"/>
          <s v="2309/06/07 - 2309/06/13"/>
          <s v="2309/06/14 - 2309/06/20"/>
          <s v="2309/06/21 - 2309/06/27"/>
          <s v="2309/06/28 - 2309/07/04"/>
          <s v="2309/07/05 - 2309/07/11"/>
          <s v="2309/07/12 - 2309/07/18"/>
          <s v="2309/07/19 - 2309/07/25"/>
          <s v="2309/07/26 - 2309/08/01"/>
          <s v="2309/08/02 - 2309/08/08"/>
          <s v="2309/08/09 - 2309/08/15"/>
          <s v="2309/08/16 - 2309/08/22"/>
          <s v="2309/08/23 - 2309/08/29"/>
          <s v="2309/08/30 - 2309/09/05"/>
          <s v="2309/09/06 - 2309/09/12"/>
          <s v="2309/09/13 - 2309/09/19"/>
          <s v="2309/09/20 - 2309/09/26"/>
          <s v="2309/09/27 - 2309/10/03"/>
          <s v="2309/10/04 - 2309/10/10"/>
          <s v="2309/10/11 - 2309/10/17"/>
          <s v="2309/10/18 - 2309/10/24"/>
          <s v="2309/10/25 - 2309/10/31"/>
          <s v="2309/11/01 - 2309/11/07"/>
          <s v="2309/11/08 - 2309/11/14"/>
          <s v="2309/11/15 - 2309/11/21"/>
          <s v="2309/11/22 - 2309/11/28"/>
          <s v="2309/11/29 - 2309/12/05"/>
          <s v="2309/12/06 - 2309/12/12"/>
          <s v="2309/12/13 - 2309/12/19"/>
          <s v="2309/12/20 - 2309/12/26"/>
          <s v="2309/12/27 - 2310/01/02"/>
          <s v="2310/01/03 - 2310/01/09"/>
          <s v="2310/01/10 - 2310/01/16"/>
          <s v="2310/01/17 - 2310/01/23"/>
          <s v="2310/01/24 - 2310/01/30"/>
          <s v="2310/01/31 - 2310/02/06"/>
          <s v="2310/02/07 - 2310/02/13"/>
          <s v="2310/02/14 - 2310/02/20"/>
          <s v="2310/02/21 - 2310/02/27"/>
          <s v="2310/02/28 - 2310/03/06"/>
          <s v="2310/03/07 - 2310/03/13"/>
          <s v="2310/03/14 - 2310/03/20"/>
          <s v="2310/03/21 - 2310/03/27"/>
          <s v="2310/03/28 - 2310/04/03"/>
          <s v="2310/04/04 - 2310/04/10"/>
          <s v="2310/04/11 - 2310/04/17"/>
          <s v="2310/04/18 - 2310/04/24"/>
          <s v="2310/04/25 - 2310/05/01"/>
          <s v="2310/05/02 - 2310/05/08"/>
          <s v="2310/05/09 - 2310/05/15"/>
          <s v="2310/05/16 - 2310/05/22"/>
          <s v="2310/05/23 - 2310/05/29"/>
          <s v="2310/05/30 - 2310/06/05"/>
          <s v="2310/06/06 - 2310/06/12"/>
          <s v="2310/06/13 - 2310/06/19"/>
          <s v="2310/06/20 - 2310/06/26"/>
          <s v="2310/06/27 - 2310/07/03"/>
          <s v="2310/07/04 - 2310/07/10"/>
          <s v="2310/07/11 - 2310/07/17"/>
          <s v="2310/07/18 - 2310/07/24"/>
          <s v="2310/07/25 - 2310/07/31"/>
          <s v="2310/08/01 - 2310/08/07"/>
          <s v="2310/08/08 - 2310/08/14"/>
          <s v="2310/08/15 - 2310/08/21"/>
          <s v="2310/08/22 - 2310/08/28"/>
          <s v="2310/08/29 - 2310/09/04"/>
          <s v="2310/09/05 - 2310/09/11"/>
          <s v="2310/09/12 - 2310/09/18"/>
          <s v="2310/09/19 - 2310/09/25"/>
          <s v="2310/09/26 - 2310/10/02"/>
          <s v="2310/10/03 - 2310/10/09"/>
          <s v="2310/10/10 - 2310/10/16"/>
          <s v="2310/10/17 - 2310/10/23"/>
          <s v="2310/10/24 - 2310/10/30"/>
          <s v="2310/10/31 - 2310/11/06"/>
          <s v="2310/11/07 - 2310/11/13"/>
          <s v="2310/11/14 - 2310/11/20"/>
          <s v="2310/11/21 - 2310/11/27"/>
          <s v="2310/11/28 - 2310/12/04"/>
          <s v="2310/12/05 - 2310/12/11"/>
          <s v="2310/12/12 - 2310/12/18"/>
          <s v="2310/12/19 - 2310/12/25"/>
          <s v="2310/12/26 - 2311/01/01"/>
          <s v="2311/01/02 - 2311/01/08"/>
          <s v="2311/01/09 - 2311/01/15"/>
          <s v="2311/01/16 - 2311/01/22"/>
          <s v="2311/01/23 - 2311/01/29"/>
          <s v="2311/01/30 - 2311/02/05"/>
          <s v="2311/02/06 - 2311/02/12"/>
          <s v="2311/02/13 - 2311/02/19"/>
          <s v="2311/02/20 - 2311/02/26"/>
          <s v="2311/02/27 - 2311/03/05"/>
          <s v="2311/03/06 - 2311/03/12"/>
          <s v="2311/03/13 - 2311/03/19"/>
          <s v="2311/03/20 - 2311/03/26"/>
          <s v="2311/03/27 - 2311/04/02"/>
          <s v="2311/04/03 - 2311/04/09"/>
          <s v="2311/04/10 - 2311/04/16"/>
          <s v="2311/04/17 - 2311/04/23"/>
          <s v="2311/04/24 - 2311/04/30"/>
          <s v="2311/05/01 - 2311/05/07"/>
          <s v="2311/05/08 - 2311/05/14"/>
          <s v="2311/05/15 - 2311/05/21"/>
          <s v="2311/05/22 - 2311/05/28"/>
          <s v="2311/05/29 - 2311/06/04"/>
          <s v="2311/06/05 - 2311/06/11"/>
          <s v="2311/06/12 - 2311/06/18"/>
          <s v="2311/06/19 - 2311/06/25"/>
          <s v="2311/06/26 - 2311/07/02"/>
          <s v="2311/07/03 - 2311/07/09"/>
          <s v="2311/07/10 - 2311/07/16"/>
          <s v="2311/07/17 - 2311/07/23"/>
          <s v="2311/07/24 - 2311/07/30"/>
          <s v="2311/07/31 - 2311/08/06"/>
          <s v="2311/08/07 - 2311/08/13"/>
          <s v="2311/08/14 - 2311/08/20"/>
          <s v="2311/08/21 - 2311/08/27"/>
          <s v="2311/08/28 - 2311/09/03"/>
          <s v="2311/09/04 - 2311/09/10"/>
          <s v="2311/09/11 - 2311/09/17"/>
          <s v="2311/09/18 - 2311/09/24"/>
          <s v="2311/09/25 - 2311/10/01"/>
          <s v="2311/10/02 - 2311/10/08"/>
          <s v="2311/10/09 - 2311/10/15"/>
          <s v="2311/10/16 - 2311/10/22"/>
          <s v="2311/10/23 - 2311/10/29"/>
          <s v="2311/10/30 - 2311/11/05"/>
          <s v="2311/11/06 - 2311/11/12"/>
          <s v="2311/11/13 - 2311/11/19"/>
          <s v="2311/11/20 - 2311/11/26"/>
          <s v="2311/11/27 - 2311/12/03"/>
          <s v="2311/12/04 - 2311/12/10"/>
          <s v="2311/12/11 - 2311/12/17"/>
          <s v="2311/12/18 - 2311/12/24"/>
          <s v="2311/12/25 - 2311/12/31"/>
          <s v="2312/01/01 - 2312/01/07"/>
          <s v="2312/01/08 - 2312/01/14"/>
          <s v="2312/01/15 - 2312/01/21"/>
          <s v="2312/01/22 - 2312/01/28"/>
          <s v="2312/01/29 - 2312/02/04"/>
          <s v="2312/02/05 - 2312/02/11"/>
          <s v="2312/02/12 - 2312/02/18"/>
          <s v="2312/02/19 - 2312/02/25"/>
          <s v="2312/02/26 - 2312/03/03"/>
          <s v="2312/03/04 - 2312/03/10"/>
          <s v="2312/03/11 - 2312/03/17"/>
          <s v="2312/03/18 - 2312/03/24"/>
          <s v="2312/03/25 - 2312/03/31"/>
          <s v="2312/04/01 - 2312/04/07"/>
          <s v="2312/04/08 - 2312/04/14"/>
          <s v="2312/04/15 - 2312/04/21"/>
          <s v="2312/04/22 - 2312/04/28"/>
          <s v="2312/04/29 - 2312/05/05"/>
          <s v="2312/05/06 - 2312/05/12"/>
          <s v="2312/05/13 - 2312/05/19"/>
          <s v="2312/05/20 - 2312/05/26"/>
          <s v="2312/05/27 - 2312/06/02"/>
          <s v="2312/06/03 - 2312/06/09"/>
          <s v="2312/06/10 - 2312/06/16"/>
          <s v="2312/06/17 - 2312/06/23"/>
          <s v="2312/06/24 - 2312/06/30"/>
          <s v="2312/07/01 - 2312/07/07"/>
          <s v="2312/07/08 - 2312/07/14"/>
          <s v="2312/07/15 - 2312/07/21"/>
          <s v="2312/07/22 - 2312/07/28"/>
          <s v="2312/07/29 - 2312/08/04"/>
          <s v="2312/08/05 - 2312/08/11"/>
          <s v="2312/08/12 - 2312/08/18"/>
          <s v="2312/08/19 - 2312/08/25"/>
          <s v="2312/08/26 - 2312/09/01"/>
          <s v="2312/09/02 - 2312/09/08"/>
          <s v="2312/09/09 - 2312/09/15"/>
          <s v="2312/09/16 - 2312/09/22"/>
          <s v="2312/09/23 - 2312/09/29"/>
          <s v="2312/09/30 - 2312/10/06"/>
          <s v="2312/10/07 - 2312/10/13"/>
          <s v="2312/10/14 - 2312/10/20"/>
          <s v="2312/10/21 - 2312/10/27"/>
          <s v="2312/10/28 - 2312/11/03"/>
          <s v="2312/11/04 - 2312/11/10"/>
          <s v="2312/11/11 - 2312/11/17"/>
          <s v="2312/11/18 - 2312/11/24"/>
          <s v="2312/11/25 - 2312/12/01"/>
          <s v="2312/12/02 - 2312/12/08"/>
          <s v="2312/12/09 - 2312/12/15"/>
          <s v="2312/12/16 - 2312/12/22"/>
          <s v="2312/12/23 - 2312/12/29"/>
          <s v="2312/12/30 - 2313/01/05"/>
          <s v="2313/01/06 - 2313/01/12"/>
          <s v="2313/01/13 - 2313/01/19"/>
          <s v="2313/01/20 - 2313/01/26"/>
          <s v="2313/01/27 - 2313/02/02"/>
          <s v="2313/02/03 - 2313/02/09"/>
          <s v="2313/02/10 - 2313/02/16"/>
          <s v="2313/02/17 - 2313/02/23"/>
          <s v="2313/02/24 - 2313/03/02"/>
          <s v="2313/03/03 - 2313/03/09"/>
          <s v="2313/03/10 - 2313/03/16"/>
          <s v="2313/03/17 - 2313/03/23"/>
          <s v="2313/03/24 - 2313/03/30"/>
          <s v="2313/03/31 - 2313/04/06"/>
          <s v="2313/04/07 - 2313/04/13"/>
          <s v="2313/04/14 - 2313/04/20"/>
          <s v="2313/04/21 - 2313/04/27"/>
          <s v="2313/04/28 - 2313/05/04"/>
          <s v="2313/05/05 - 2313/05/11"/>
          <s v="2313/05/12 - 2313/05/18"/>
          <s v="2313/05/19 - 2313/05/25"/>
          <s v="2313/05/26 - 2313/06/01"/>
          <s v="2313/06/02 - 2313/06/08"/>
          <s v="2313/06/09 - 2313/06/15"/>
          <s v="2313/06/16 - 2313/06/22"/>
          <s v="2313/06/23 - 2313/06/29"/>
          <s v="2313/06/30 - 2313/07/06"/>
          <s v="2313/07/07 - 2313/07/13"/>
          <s v="2313/07/14 - 2313/07/20"/>
          <s v="2313/07/21 - 2313/07/27"/>
          <s v="2313/07/28 - 2313/08/03"/>
          <s v="2313/08/04 - 2313/08/10"/>
          <s v="2313/08/11 - 2313/08/17"/>
          <s v="2313/08/18 - 2313/08/24"/>
          <s v="2313/08/25 - 2313/08/31"/>
          <s v="2313/09/01 - 2313/09/07"/>
          <s v="2313/09/08 - 2313/09/14"/>
          <s v="2313/09/15 - 2313/09/21"/>
          <s v="2313/09/22 - 2313/09/28"/>
          <s v="2313/09/29 - 2313/10/05"/>
          <s v="2313/10/06 - 2313/10/12"/>
          <s v="2313/10/13 - 2313/10/19"/>
          <s v="2313/10/20 - 2313/10/26"/>
          <s v="2313/10/27 - 2313/11/02"/>
          <s v="2313/11/03 - 2313/11/09"/>
          <s v="2313/11/10 - 2313/11/16"/>
          <s v="2313/11/17 - 2313/11/23"/>
          <s v="2313/11/24 - 2313/11/30"/>
          <s v="2313/12/01 - 2313/12/07"/>
          <s v="2313/12/08 - 2313/12/14"/>
          <s v="2313/12/15 - 2313/12/21"/>
          <s v="2313/12/22 - 2313/12/28"/>
          <s v="2313/12/29 - 2314/01/04"/>
          <s v="2314/01/05 - 2314/01/11"/>
          <s v="2314/01/12 - 2314/01/18"/>
          <s v="2314/01/19 - 2314/01/25"/>
          <s v="2314/01/26 - 2314/02/01"/>
          <s v="2314/02/02 - 2314/02/08"/>
          <s v="2314/02/09 - 2314/02/15"/>
          <s v="2314/02/16 - 2314/02/22"/>
          <s v="2314/02/23 - 2314/03/01"/>
          <s v="2314/03/02 - 2314/03/08"/>
          <s v="2314/03/09 - 2314/03/15"/>
          <s v="2314/03/16 - 2314/03/22"/>
          <s v="2314/03/23 - 2314/03/29"/>
          <s v="2314/03/30 - 2314/04/05"/>
          <s v="2314/04/06 - 2314/04/12"/>
          <s v="2314/04/13 - 2314/04/19"/>
          <s v="2314/04/20 - 2314/04/26"/>
          <s v="2314/04/27 - 2314/05/03"/>
          <s v="2314/05/04 - 2314/05/10"/>
          <s v="2314/05/11 - 2314/05/17"/>
          <s v="2314/05/18 - 2314/05/24"/>
          <s v="2314/05/25 - 2314/05/31"/>
          <s v="2314/06/01 - 2314/06/07"/>
          <s v="2314/06/08 - 2314/06/14"/>
          <s v="2314/06/15 - 2314/06/21"/>
          <s v="2314/06/22 - 2314/06/28"/>
          <s v="2314/06/29 - 2314/07/05"/>
          <s v="2314/07/06 - 2314/07/12"/>
          <s v="2314/07/13 - 2314/07/19"/>
          <s v="2314/07/20 - 2314/07/26"/>
          <s v="2314/07/27 - 2314/08/02"/>
          <s v="2314/08/03 - 2314/08/09"/>
          <s v="2314/08/10 - 2314/08/16"/>
          <s v="2314/08/17 - 2314/08/23"/>
          <s v="2314/08/24 - 2314/08/30"/>
          <s v="2314/08/31 - 2314/09/06"/>
          <s v="2314/09/07 - 2314/09/13"/>
          <s v="2314/09/14 - 2314/09/20"/>
          <s v="2314/09/21 - 2314/09/27"/>
          <s v="2314/09/28 - 2314/10/04"/>
          <s v="2314/10/05 - 2314/10/11"/>
          <s v="2314/10/12 - 2314/10/18"/>
          <s v="2314/10/19 - 2314/10/25"/>
          <s v="2314/10/26 - 2314/11/01"/>
          <s v="2314/11/02 - 2314/11/08"/>
          <s v="2314/11/09 - 2314/11/15"/>
          <s v="2314/11/16 - 2314/11/22"/>
          <s v="2314/11/23 - 2314/11/29"/>
          <s v="2314/11/30 - 2314/12/06"/>
          <s v="2314/12/07 - 2314/12/13"/>
          <s v="2314/12/14 - 2314/12/20"/>
          <s v="2314/12/21 - 2314/12/27"/>
          <s v="2314/12/28 - 2315/01/03"/>
          <s v="2315/01/04 - 2315/01/10"/>
          <s v="2315/01/11 - 2315/01/17"/>
          <s v="2315/01/18 - 2315/01/24"/>
          <s v="2315/01/25 - 2315/01/31"/>
          <s v="2315/02/01 - 2315/02/07"/>
          <s v="2315/02/08 - 2315/02/14"/>
          <s v="2315/02/15 - 2315/02/21"/>
          <s v="2315/02/22 - 2315/02/28"/>
          <s v="2315/03/01 - 2315/03/07"/>
          <s v="2315/03/08 - 2315/03/14"/>
          <s v="2315/03/15 - 2315/03/21"/>
          <s v="2315/03/22 - 2315/03/28"/>
          <s v="2315/03/29 - 2315/04/04"/>
          <s v="2315/04/05 - 2315/04/11"/>
          <s v="2315/04/12 - 2315/04/18"/>
          <s v="2315/04/19 - 2315/04/25"/>
          <s v="2315/04/26 - 2315/05/02"/>
          <s v="2315/05/03 - 2315/05/09"/>
          <s v="2315/05/10 - 2315/05/16"/>
          <s v="2315/05/17 - 2315/05/23"/>
          <s v="2315/05/24 - 2315/05/30"/>
          <s v="2315/05/31 - 2315/06/06"/>
          <s v="2315/06/07 - 2315/06/13"/>
          <s v="2315/06/14 - 2315/06/20"/>
          <s v="2315/06/21 - 2315/06/27"/>
          <s v="2315/06/28 - 2315/07/04"/>
          <s v="2315/07/05 - 2315/07/11"/>
          <s v="2315/07/12 - 2315/07/18"/>
          <s v="2315/07/19 - 2315/07/25"/>
          <s v="2315/07/26 - 2315/08/01"/>
          <s v="2315/08/02 - 2315/08/08"/>
          <s v="2315/08/09 - 2315/08/15"/>
          <s v="2315/08/16 - 2315/08/22"/>
          <s v="2315/08/23 - 2315/08/29"/>
          <s v="2315/08/30 - 2315/09/05"/>
          <s v="2315/09/06 - 2315/09/12"/>
          <s v="2315/09/13 - 2315/09/19"/>
          <s v="2315/09/20 - 2315/09/26"/>
          <s v="2315/09/27 - 2315/10/03"/>
          <s v="2315/10/04 - 2315/10/10"/>
          <s v="2315/10/11 - 2315/10/17"/>
          <s v="2315/10/18 - 2315/10/24"/>
          <s v="2315/10/25 - 2315/10/31"/>
          <s v="2315/11/01 - 2315/11/07"/>
          <s v="2315/11/08 - 2315/11/14"/>
          <s v="2315/11/15 - 2315/11/21"/>
          <s v="2315/11/22 - 2315/11/28"/>
          <s v="2315/11/29 - 2315/12/05"/>
          <s v="2315/12/06 - 2315/12/12"/>
          <s v="2315/12/13 - 2315/12/19"/>
          <s v="2315/12/20 - 2315/12/26"/>
          <s v="2315/12/27 - 2316/01/02"/>
          <s v="2316/01/03 - 2316/01/09"/>
          <s v="2316/01/10 - 2316/01/16"/>
          <s v="2316/01/17 - 2316/01/23"/>
          <s v="2316/01/24 - 2316/01/30"/>
          <s v="2316/01/31 - 2316/02/06"/>
          <s v="2316/02/07 - 2316/02/13"/>
          <s v="2316/02/14 - 2316/02/20"/>
          <s v="2316/02/21 - 2316/02/27"/>
          <s v="2316/02/28 - 2316/03/05"/>
          <s v="2316/03/06 - 2316/03/12"/>
          <s v="2316/03/13 - 2316/03/19"/>
          <s v="2316/03/20 - 2316/03/26"/>
          <s v="2316/03/27 - 2316/04/02"/>
          <s v="2316/04/03 - 2316/04/09"/>
          <s v="2316/04/10 - 2316/04/16"/>
          <s v="2316/04/17 - 2316/04/23"/>
          <s v="2316/04/24 - 2316/04/30"/>
          <s v="2316/05/01 - 2316/05/07"/>
          <s v="2316/05/08 - 2316/05/14"/>
          <s v="2316/05/15 - 2316/05/21"/>
          <s v="2316/05/22 - 2316/05/28"/>
          <s v="2316/05/29 - 2316/06/04"/>
          <s v="2316/06/05 - 2316/06/11"/>
          <s v="2316/06/12 - 2316/06/18"/>
          <s v="2316/06/19 - 2316/06/25"/>
          <s v="2316/06/26 - 2316/07/02"/>
          <s v="2316/07/03 - 2316/07/09"/>
          <s v="2316/07/10 - 2316/07/16"/>
          <s v="2316/07/17 - 2316/07/23"/>
          <s v="2316/07/24 - 2316/07/30"/>
          <s v="2316/07/31 - 2316/08/06"/>
          <s v="2316/08/07 - 2316/08/13"/>
          <s v="2316/08/14 - 2316/08/20"/>
          <s v="2316/08/21 - 2316/08/27"/>
          <s v="2316/08/28 - 2316/09/03"/>
          <s v="2316/09/04 - 2316/09/10"/>
          <s v="2316/09/11 - 2316/09/17"/>
          <s v="2316/09/18 - 2316/09/24"/>
          <s v="2316/09/25 - 2316/10/01"/>
          <s v="2316/10/02 - 2316/10/08"/>
          <s v="2316/10/09 - 2316/10/15"/>
          <s v="2316/10/16 - 2316/10/22"/>
          <s v="2316/10/23 - 2316/10/29"/>
          <s v="2316/10/30 - 2316/11/05"/>
          <s v="2316/11/06 - 2316/11/12"/>
          <s v="2316/11/13 - 2316/11/19"/>
          <s v="2316/11/20 - 2316/11/26"/>
          <s v="2316/11/27 - 2316/12/03"/>
          <s v="2316/12/04 - 2316/12/10"/>
          <s v="2316/12/11 - 2316/12/17"/>
          <s v="2316/12/18 - 2316/12/24"/>
          <s v="2316/12/25 - 2316/12/31"/>
          <s v="2317/01/01 - 2317/01/07"/>
          <s v="2317/01/08 - 2317/01/14"/>
          <s v="2317/01/15 - 2317/01/21"/>
          <s v="2317/01/22 - 2317/01/28"/>
          <s v="2317/01/29 - 2317/02/04"/>
          <s v="2317/02/05 - 2317/02/11"/>
          <s v="2317/02/12 - 2317/02/18"/>
          <s v="2317/02/19 - 2317/02/25"/>
          <s v="2317/02/26 - 2317/03/04"/>
          <s v="2317/03/05 - 2317/03/11"/>
          <s v="2317/03/12 - 2317/03/18"/>
          <s v="2317/03/19 - 2317/03/25"/>
          <s v="2317/03/26 - 2317/04/01"/>
          <s v="2317/04/02 - 2317/04/08"/>
          <s v="2317/04/09 - 2317/04/15"/>
          <s v="2317/04/16 - 2317/04/22"/>
          <s v="2317/04/23 - 2317/04/29"/>
          <s v="2317/04/30 - 2317/05/06"/>
          <s v="2317/05/07 - 2317/05/13"/>
          <s v="2317/05/14 - 2317/05/20"/>
          <s v="2317/05/21 - 2317/05/27"/>
          <s v="2317/05/28 - 2317/06/03"/>
          <s v="2317/06/04 - 2317/06/10"/>
          <s v="2317/06/11 - 2317/06/17"/>
          <s v="2317/06/18 - 2317/06/24"/>
          <s v="2317/06/25 - 2317/07/01"/>
          <s v="2317/07/02 - 2317/07/08"/>
          <s v="2317/07/09 - 2317/07/15"/>
          <s v="2317/07/16 - 2317/07/22"/>
          <s v="2317/07/23 - 2317/07/29"/>
          <s v="2317/07/30 - 2317/08/05"/>
          <s v="2317/08/06 - 2317/08/12"/>
          <s v="2317/08/13 - 2317/08/19"/>
          <s v="2317/08/20 - 2317/08/26"/>
          <s v="2317/08/27 - 2317/09/02"/>
          <s v="2317/09/03 - 2317/09/09"/>
          <s v="2317/09/10 - 2317/09/16"/>
          <s v="2317/09/17 - 2317/09/23"/>
          <s v="2317/09/24 - 2317/09/30"/>
          <s v="2317/10/01 - 2317/10/07"/>
          <s v="2317/10/08 - 2317/10/14"/>
          <s v="2317/10/15 - 2317/10/21"/>
          <s v="2317/10/22 - 2317/10/28"/>
          <s v="2317/10/29 - 2317/11/04"/>
          <s v="2317/11/05 - 2317/11/11"/>
          <s v="2317/11/12 - 2317/11/18"/>
          <s v="2317/11/19 - 2317/11/25"/>
          <s v="2317/11/26 - 2317/12/02"/>
          <s v="2317/12/03 - 2317/12/09"/>
          <s v="2317/12/10 - 2317/12/16"/>
          <s v="2317/12/17 - 2317/12/23"/>
          <s v="2317/12/24 - 2317/12/30"/>
          <s v="2317/12/31 - 2318/01/06"/>
          <s v="2318/01/07 - 2318/01/13"/>
          <s v="2318/01/14 - 2318/01/20"/>
          <s v="2318/01/21 - 2318/01/27"/>
          <s v="2318/01/28 - 2318/02/03"/>
          <s v="2318/02/04 - 2318/02/10"/>
          <s v="2318/02/11 - 2318/02/17"/>
          <s v="2318/02/18 - 2318/02/24"/>
          <s v="2318/02/25 - 2318/03/03"/>
          <s v="2318/03/04 - 2318/03/10"/>
          <s v="2318/03/11 - 2318/03/17"/>
          <s v="2318/03/18 - 2318/03/24"/>
          <s v="2318/03/25 - 2318/03/31"/>
          <s v="2318/04/01 - 2318/04/07"/>
          <s v="2318/04/08 - 2318/04/14"/>
          <s v="2318/04/15 - 2318/04/21"/>
          <s v="2318/04/22 - 2318/04/28"/>
          <s v="2318/04/29 - 2318/05/05"/>
          <s v="2318/05/06 - 2318/05/12"/>
          <s v="2318/05/13 - 2318/05/19"/>
          <s v="2318/05/20 - 2318/05/26"/>
          <s v="2318/05/27 - 2318/06/02"/>
          <s v="2318/06/03 - 2318/06/09"/>
          <s v="2318/06/10 - 2318/06/16"/>
          <s v="2318/06/17 - 2318/06/23"/>
          <s v="2318/06/24 - 2318/06/30"/>
          <s v="2318/07/01 - 2318/07/07"/>
          <s v="2318/07/08 - 2318/07/14"/>
          <s v="2318/07/15 - 2318/07/21"/>
          <s v="2318/07/22 - 2318/07/28"/>
          <s v="2318/07/29 - 2318/08/04"/>
          <s v="2318/08/05 - 2318/08/11"/>
          <s v="2318/08/12 - 2318/08/18"/>
          <s v="2318/08/19 - 2318/08/25"/>
          <s v="2318/08/26 - 2318/09/01"/>
          <s v="2318/09/02 - 2318/09/08"/>
          <s v="2318/09/09 - 2318/09/15"/>
          <s v="2318/09/16 - 2318/09/22"/>
          <s v="2318/09/23 - 2318/09/29"/>
          <s v="2318/09/30 - 2318/10/06"/>
          <s v="2318/10/07 - 2318/10/13"/>
          <s v="2318/10/14 - 2318/10/20"/>
          <s v="2318/10/21 - 2318/10/27"/>
          <s v="2318/10/28 - 2318/11/03"/>
          <s v="2318/11/04 - 2318/11/10"/>
          <s v="2318/11/11 - 2318/11/17"/>
          <s v="2318/11/18 - 2318/11/24"/>
          <s v="2318/11/25 - 2318/12/01"/>
          <s v="2318/12/02 - 2318/12/08"/>
          <s v="2318/12/09 - 2318/12/15"/>
          <s v="2318/12/16 - 2318/12/22"/>
          <s v="2318/12/23 - 2318/12/29"/>
          <s v="2318/12/30 - 2319/01/05"/>
          <s v="2319/01/06 - 2319/01/12"/>
          <s v="2319/01/13 - 2319/01/19"/>
          <s v="2319/01/20 - 2319/01/26"/>
          <s v="2319/01/27 - 2319/02/02"/>
          <s v="2319/02/03 - 2319/02/09"/>
          <s v="2319/02/10 - 2319/02/16"/>
          <s v="2319/02/17 - 2319/02/23"/>
          <s v="2319/02/24 - 2319/03/02"/>
          <s v="2319/03/03 - 2319/03/09"/>
          <s v="2319/03/10 - 2319/03/16"/>
          <s v="2319/03/17 - 2319/03/23"/>
          <s v="2319/03/24 - 2319/03/30"/>
          <s v="2319/03/31 - 2319/04/06"/>
          <s v="2319/04/07 - 2319/04/13"/>
          <s v="2319/04/14 - 2319/04/20"/>
          <s v="2319/04/21 - 2319/04/27"/>
          <s v="2319/04/28 - 2319/05/04"/>
          <s v="2319/05/05 - 2319/05/11"/>
          <s v="2319/05/12 - 2319/05/18"/>
          <s v="2319/05/19 - 2319/05/25"/>
          <s v="2319/05/26 - 2319/06/01"/>
          <s v="2319/06/02 - 2319/06/08"/>
          <s v="2319/06/09 - 2319/06/15"/>
          <s v="2319/06/16 - 2319/06/22"/>
          <s v="2319/06/23 - 2319/06/29"/>
          <s v="2319/06/30 - 2319/07/06"/>
          <s v="2319/07/07 - 2319/07/13"/>
          <s v="2319/07/14 - 2319/07/20"/>
          <s v="2319/07/21 - 2319/07/27"/>
          <s v="2319/07/28 - 2319/08/03"/>
          <s v="2319/08/04 - 2319/08/10"/>
          <s v="2319/08/11 - 2319/08/17"/>
          <s v="2319/08/18 - 2319/08/24"/>
          <s v="2319/08/25 - 2319/08/31"/>
          <s v="2319/09/01 - 2319/09/07"/>
          <s v="2319/09/08 - 2319/09/14"/>
          <s v="2319/09/15 - 2319/09/21"/>
          <s v="2319/09/22 - 2319/09/28"/>
          <s v="2319/09/29 - 2319/10/05"/>
          <s v="2319/10/06 - 2319/10/12"/>
          <s v="2319/10/13 - 2319/10/19"/>
          <s v="2319/10/20 - 2319/10/26"/>
          <s v="2319/10/27 - 2319/11/02"/>
          <s v="2319/11/03 - 2319/11/09"/>
          <s v="2319/11/10 - 2319/11/16"/>
          <s v="2319/11/17 - 2319/11/23"/>
          <s v="2319/11/24 - 2319/11/30"/>
          <s v="2319/12/01 - 2319/12/07"/>
          <s v="2319/12/08 - 2319/12/14"/>
          <s v="2319/12/15 - 2319/12/21"/>
          <s v="2319/12/22 - 2319/12/28"/>
          <s v="2319/12/29 - 2320/01/04"/>
          <s v="2320/01/05 - 2320/01/11"/>
          <s v="2320/01/12 - 2320/01/18"/>
          <s v="2320/01/19 - 2320/01/25"/>
          <s v="2320/01/26 - 2320/02/01"/>
          <s v="2320/02/02 - 2320/02/08"/>
          <s v="2320/02/09 - 2320/02/15"/>
          <s v="2320/02/16 - 2320/02/22"/>
          <s v="2320/02/23 - 2320/02/29"/>
          <s v="2320/03/01 - 2320/03/07"/>
          <s v="2320/03/08 - 2320/03/14"/>
          <s v="2320/03/15 - 2320/03/21"/>
          <s v="2320/03/22 - 2320/03/28"/>
          <s v="2320/03/29 - 2320/04/04"/>
          <s v="2320/04/05 - 2320/04/11"/>
          <s v="2320/04/12 - 2320/04/18"/>
          <s v="2320/04/19 - 2320/04/25"/>
          <s v="2320/04/26 - 2320/05/02"/>
          <s v="2320/05/03 - 2320/05/09"/>
          <s v="2320/05/10 - 2320/05/16"/>
          <s v="2320/05/17 - 2320/05/23"/>
          <s v="2320/05/24 - 2320/05/30"/>
          <s v="2320/05/31 - 2320/06/06"/>
          <s v="2320/06/07 - 2320/06/13"/>
          <s v="2320/06/14 - 2320/06/20"/>
          <s v="2320/06/21 - 2320/06/27"/>
          <s v="2320/06/28 - 2320/07/04"/>
          <s v="2320/07/05 - 2320/07/11"/>
          <s v="2320/07/12 - 2320/07/18"/>
          <s v="2320/07/19 - 2320/07/25"/>
          <s v="2320/07/26 - 2320/08/01"/>
          <s v="2320/08/02 - 2320/08/08"/>
          <s v="2320/08/09 - 2320/08/15"/>
          <s v="2320/08/16 - 2320/08/22"/>
          <s v="2320/08/23 - 2320/08/29"/>
          <s v="2320/08/30 - 2320/09/05"/>
          <s v="2320/09/06 - 2320/09/12"/>
          <s v="2320/09/13 - 2320/09/19"/>
          <s v="2320/09/20 - 2320/09/26"/>
          <s v="2320/09/27 - 2320/10/03"/>
          <s v="2320/10/04 - 2320/10/10"/>
          <s v="2320/10/11 - 2320/10/17"/>
          <s v="2320/10/18 - 2320/10/24"/>
          <s v="2320/10/25 - 2320/10/31"/>
          <s v="2320/11/01 - 2320/11/07"/>
          <s v="2320/11/08 - 2320/11/14"/>
          <s v="2320/11/15 - 2320/11/21"/>
          <s v="2320/11/22 - 2320/11/28"/>
          <s v="2320/11/29 - 2320/12/05"/>
          <s v="2320/12/06 - 2320/12/12"/>
          <s v="2320/12/13 - 2320/12/19"/>
          <s v="2320/12/20 - 2320/12/26"/>
          <s v="2320/12/27 - 2321/01/02"/>
          <s v="2321/01/03 - 2321/01/09"/>
          <s v="2321/01/10 - 2321/01/16"/>
          <s v="2321/01/17 - 2321/01/23"/>
          <s v="2321/01/24 - 2321/01/30"/>
          <s v="2321/01/31 - 2321/02/06"/>
          <s v="2321/02/07 - 2321/02/13"/>
          <s v="2321/02/14 - 2321/02/20"/>
          <s v="2321/02/21 - 2321/02/27"/>
          <s v="2321/02/28 - 2321/03/06"/>
          <s v="2321/03/07 - 2321/03/13"/>
          <s v="2321/03/14 - 2321/03/20"/>
          <s v="2321/03/21 - 2321/03/27"/>
          <s v="2321/03/28 - 2321/04/03"/>
          <s v="2321/04/04 - 2321/04/10"/>
          <s v="2321/04/11 - 2321/04/17"/>
          <s v="2321/04/18 - 2321/04/24"/>
          <s v="2321/04/25 - 2321/05/01"/>
          <s v="2321/05/02 - 2321/05/08"/>
          <s v="2321/05/09 - 2321/05/15"/>
          <s v="2321/05/16 - 2321/05/22"/>
          <s v="2321/05/23 - 2321/05/29"/>
          <s v="2321/05/30 - 2321/06/05"/>
          <s v="2321/06/06 - 2321/06/12"/>
          <s v="2321/06/13 - 2321/06/19"/>
          <s v="2321/06/20 - 2321/06/26"/>
          <s v="2321/06/27 - 2321/07/03"/>
          <s v="2321/07/04 - 2321/07/10"/>
          <s v="2321/07/11 - 2321/07/17"/>
          <s v="2321/07/18 - 2321/07/24"/>
          <s v="2321/07/25 - 2321/07/31"/>
          <s v="2321/08/01 - 2321/08/07"/>
          <s v="2321/08/08 - 2321/08/14"/>
          <s v="2321/08/15 - 2321/08/21"/>
          <s v="2321/08/22 - 2321/08/28"/>
          <s v="2321/08/29 - 2321/09/04"/>
          <s v="2321/09/05 - 2321/09/11"/>
          <s v="2321/09/12 - 2321/09/18"/>
          <s v="2321/09/19 - 2321/09/25"/>
          <s v="2321/09/26 - 2321/10/02"/>
          <s v="2321/10/03 - 2321/10/09"/>
          <s v="2321/10/10 - 2321/10/16"/>
          <s v="2321/10/17 - 2321/10/23"/>
          <s v="2321/10/24 - 2321/10/30"/>
          <s v="2321/10/31 - 2321/11/06"/>
          <s v="2321/11/07 - 2321/11/13"/>
          <s v="2321/11/14 - 2321/11/20"/>
          <s v="2321/11/21 - 2321/11/27"/>
          <s v="2321/11/28 - 2321/12/04"/>
          <s v="2321/12/05 - 2321/12/11"/>
          <s v="2321/12/12 - 2321/12/18"/>
          <s v="2321/12/19 - 2321/12/25"/>
          <s v="2321/12/26 - 2322/01/01"/>
          <s v="2322/01/02 - 2322/01/08"/>
          <s v="2322/01/09 - 2322/01/15"/>
          <s v="2322/01/16 - 2322/01/22"/>
          <s v="2322/01/23 - 2322/01/29"/>
          <s v="2322/01/30 - 2322/02/05"/>
          <s v="2322/02/06 - 2322/02/12"/>
          <s v="2322/02/13 - 2322/02/19"/>
          <s v="2322/02/20 - 2322/02/26"/>
          <s v="2322/02/27 - 2322/03/05"/>
          <s v="2322/03/06 - 2322/03/12"/>
          <s v="2322/03/13 - 2322/03/19"/>
          <s v="2322/03/20 - 2322/03/26"/>
          <s v="2322/03/27 - 2322/04/02"/>
          <s v="2322/04/03 - 2322/04/09"/>
          <s v="2322/04/10 - 2322/04/16"/>
          <s v="2322/04/17 - 2322/04/23"/>
          <s v="2322/04/24 - 2322/04/30"/>
          <s v="2322/05/01 - 2322/05/07"/>
          <s v="2322/05/08 - 2322/05/14"/>
          <s v="2322/05/15 - 2322/05/21"/>
          <s v="2322/05/22 - 2322/05/28"/>
          <s v="2322/05/29 - 2322/06/04"/>
          <s v="2322/06/05 - 2322/06/11"/>
          <s v="2322/06/12 - 2322/06/18"/>
          <s v="2322/06/19 - 2322/06/25"/>
          <s v="2322/06/26 - 2322/07/02"/>
          <s v="2322/07/03 - 2322/07/09"/>
          <s v="2322/07/10 - 2322/07/16"/>
          <s v="2322/07/17 - 2322/07/23"/>
          <s v="2322/07/24 - 2322/07/30"/>
          <s v="2322/07/31 - 2322/08/06"/>
          <s v="2322/08/07 - 2322/08/13"/>
          <s v="2322/08/14 - 2322/08/20"/>
          <s v="2322/08/21 - 2322/08/27"/>
          <s v="2322/08/28 - 2322/09/03"/>
          <s v="2322/09/04 - 2322/09/10"/>
          <s v="2322/09/11 - 2322/09/17"/>
          <s v="2322/09/18 - 2322/09/24"/>
          <s v="2322/09/25 - 2322/10/01"/>
          <s v="2322/10/02 - 2322/10/08"/>
          <s v="2322/10/09 - 2322/10/15"/>
          <s v="2322/10/16 - 2322/10/22"/>
          <s v="2322/10/23 - 2322/10/29"/>
          <s v="2322/10/30 - 2322/11/05"/>
          <s v="2322/11/06 - 2322/11/12"/>
          <s v="2322/11/13 - 2322/11/19"/>
          <s v="2322/11/20 - 2322/11/26"/>
          <s v="2322/11/27 - 2322/12/03"/>
          <s v="2322/12/04 - 2322/12/10"/>
          <s v="2322/12/11 - 2322/12/17"/>
          <s v="2322/12/18 - 2322/12/24"/>
          <s v="2322/12/25 - 2322/12/31"/>
          <s v="2323/01/01 - 2323/01/07"/>
          <s v="2323/01/08 - 2323/01/14"/>
          <s v="2323/01/15 - 2323/01/21"/>
          <s v="2323/01/22 - 2323/01/28"/>
          <s v="2323/01/29 - 2323/02/04"/>
          <s v="2323/02/05 - 2323/02/11"/>
          <s v="2323/02/12 - 2323/02/18"/>
          <s v="2323/02/19 - 2323/02/25"/>
          <s v="2323/02/26 - 2323/03/04"/>
          <s v="2323/03/05 - 2323/03/11"/>
          <s v="2323/03/12 - 2323/03/18"/>
          <s v="2323/03/19 - 2323/03/25"/>
          <s v="2323/03/26 - 2323/04/01"/>
          <s v="2323/04/02 - 2323/04/08"/>
          <s v="2323/04/09 - 2323/04/15"/>
          <s v="2323/04/16 - 2323/04/22"/>
          <s v="2323/04/23 - 2323/04/29"/>
          <s v="2323/04/30 - 2323/05/06"/>
          <s v="2323/05/07 - 2323/05/13"/>
          <s v="2323/05/14 - 2323/05/20"/>
          <s v="2323/05/21 - 2323/05/27"/>
          <s v="2323/05/28 - 2323/06/03"/>
          <s v="2323/06/04 - 2323/06/10"/>
          <s v="2323/06/11 - 2323/06/17"/>
          <s v="2323/06/18 - 2323/06/24"/>
          <s v="2323/06/25 - 2323/07/01"/>
          <s v="2323/07/02 - 2323/07/08"/>
          <s v="2323/07/09 - 2323/07/15"/>
          <s v="2323/07/16 - 2323/07/22"/>
          <s v="2323/07/23 - 2323/07/29"/>
          <s v="2323/07/30 - 2323/08/05"/>
          <s v="2323/08/06 - 2323/08/12"/>
          <s v="2323/08/13 - 2323/08/19"/>
          <s v="2323/08/20 - 2323/08/26"/>
          <s v="2323/08/27 - 2323/09/02"/>
          <s v="2323/09/03 - 2323/09/09"/>
          <s v="2323/09/10 - 2323/09/16"/>
          <s v="2323/09/17 - 2323/09/23"/>
          <s v="2323/09/24 - 2323/09/30"/>
          <s v="2323/10/01 - 2323/10/07"/>
          <s v="2323/10/08 - 2323/10/14"/>
          <s v="2323/10/15 - 2323/10/21"/>
          <s v="2323/10/22 - 2323/10/28"/>
          <s v="2323/10/29 - 2323/11/04"/>
          <s v="2323/11/05 - 2323/11/11"/>
          <s v="2323/11/12 - 2323/11/18"/>
          <s v="2323/11/19 - 2323/11/25"/>
          <s v="2323/11/26 - 2323/12/02"/>
          <s v="2323/12/03 - 2323/12/09"/>
          <s v="2323/12/10 - 2323/12/16"/>
          <s v="2323/12/17 - 2323/12/23"/>
          <s v="2323/12/24 - 2323/12/30"/>
          <s v="2323/12/31 - 2324/01/06"/>
          <s v="2324/01/07 - 2324/01/13"/>
          <s v="2324/01/14 - 2324/01/20"/>
          <s v="2324/01/21 - 2324/01/27"/>
          <s v="2324/01/28 - 2324/02/03"/>
          <s v="2324/02/04 - 2324/02/10"/>
          <s v="2324/02/11 - 2324/02/17"/>
          <s v="2324/02/18 - 2324/02/24"/>
          <s v="2324/02/25 - 2324/03/02"/>
          <s v="2324/03/03 - 2324/03/09"/>
          <s v="2324/03/10 - 2324/03/16"/>
          <s v="2324/03/17 - 2324/03/23"/>
          <s v="2324/03/24 - 2324/03/30"/>
          <s v="2324/03/31 - 2324/04/06"/>
          <s v="2324/04/07 - 2324/04/13"/>
          <s v="2324/04/14 - 2324/04/20"/>
          <s v="2324/04/21 - 2324/04/27"/>
          <s v="2324/04/28 - 2324/05/04"/>
          <s v="2324/05/05 - 2324/05/11"/>
          <s v="2324/05/12 - 2324/05/18"/>
          <s v="2324/05/19 - 2324/05/25"/>
          <s v="2324/05/26 - 2324/06/01"/>
          <s v="2324/06/02 - 2324/06/08"/>
          <s v="2324/06/09 - 2324/06/15"/>
          <s v="2324/06/16 - 2324/06/22"/>
          <s v="2324/06/23 - 2324/06/29"/>
          <s v="2324/06/30 - 2324/07/06"/>
          <s v="2324/07/07 - 2324/07/13"/>
          <s v="2324/07/14 - 2324/07/20"/>
          <s v="2324/07/21 - 2324/07/27"/>
          <s v="2324/07/28 - 2324/08/03"/>
          <s v="2324/08/04 - 2324/08/10"/>
          <s v="2324/08/11 - 2324/08/17"/>
          <s v="2324/08/18 - 2324/08/24"/>
          <s v="2324/08/25 - 2324/08/31"/>
          <s v="2324/09/01 - 2324/09/07"/>
          <s v="2324/09/08 - 2324/09/14"/>
          <s v="2324/09/15 - 2324/09/21"/>
          <s v="2324/09/22 - 2324/09/28"/>
          <s v="2324/09/29 - 2324/10/05"/>
          <s v="2324/10/06 - 2324/10/12"/>
          <s v="2324/10/13 - 2324/10/19"/>
          <s v="2324/10/20 - 2324/10/26"/>
          <s v="2324/10/27 - 2324/11/02"/>
          <s v="2324/11/03 - 2324/11/09"/>
          <s v="2324/11/10 - 2324/11/16"/>
          <s v="2324/11/17 - 2324/11/23"/>
          <s v="2324/11/24 - 2324/11/30"/>
          <s v="2324/12/01 - 2324/12/07"/>
          <s v="2324/12/08 - 2324/12/14"/>
          <s v="2324/12/15 - 2324/12/21"/>
          <s v="2324/12/22 - 2324/12/28"/>
          <s v="2324/12/29 - 2325/01/04"/>
          <s v="2325/01/05 - 2325/01/11"/>
          <s v="2325/01/12 - 2325/01/18"/>
          <s v="2325/01/19 - 2325/01/25"/>
          <s v="2325/01/26 - 2325/02/01"/>
          <s v="2325/02/02 - 2325/02/08"/>
          <s v="2325/02/09 - 2325/02/15"/>
          <s v="2325/02/16 - 2325/02/22"/>
          <s v="2325/02/23 - 2325/03/01"/>
          <s v="2325/03/02 - 2325/03/08"/>
          <s v="2325/03/09 - 2325/03/15"/>
          <s v="2325/03/16 - 2325/03/22"/>
          <s v="2325/03/23 - 2325/03/29"/>
          <s v="2325/03/30 - 2325/04/05"/>
          <s v="2325/04/06 - 2325/04/12"/>
          <s v="2325/04/13 - 2325/04/19"/>
          <s v="2325/04/20 - 2325/04/26"/>
          <s v="2325/04/27 - 2325/05/03"/>
          <s v="2325/05/04 - 2325/05/10"/>
          <s v="2325/05/11 - 2325/05/17"/>
          <s v="2325/05/18 - 2325/05/24"/>
          <s v="2325/05/25 - 2325/05/31"/>
          <s v="2325/06/01 - 2325/06/07"/>
          <s v="2325/06/08 - 2325/06/14"/>
          <s v="2325/06/15 - 2325/06/21"/>
          <s v="2325/06/22 - 2325/06/28"/>
          <s v="2325/06/29 - 2325/07/05"/>
          <s v="2325/07/06 - 2325/07/12"/>
          <s v="2325/07/13 - 2325/07/19"/>
          <s v="2325/07/20 - 2325/07/26"/>
          <s v="2325/07/27 - 2325/08/02"/>
          <s v="2325/08/03 - 2325/08/09"/>
          <s v="2325/08/10 - 2325/08/16"/>
          <s v="2325/08/17 - 2325/08/23"/>
          <s v="2325/08/24 - 2325/08/30"/>
          <s v="2325/08/31 - 2325/09/06"/>
          <s v="2325/09/07 - 2325/09/13"/>
          <s v="2325/09/14 - 2325/09/20"/>
          <s v="2325/09/21 - 2325/09/27"/>
          <s v="2325/09/28 - 2325/10/04"/>
          <s v="2325/10/05 - 2325/10/11"/>
          <s v="2325/10/12 - 2325/10/18"/>
          <s v="2325/10/19 - 2325/10/25"/>
          <s v="2325/10/26 - 2325/11/01"/>
          <s v="2325/11/02 - 2325/11/08"/>
          <s v="2325/11/09 - 2325/11/15"/>
          <s v="2325/11/16 - 2325/11/22"/>
          <s v="2325/11/23 - 2325/11/29"/>
          <s v="2325/11/30 - 2325/12/06"/>
          <s v="2325/12/07 - 2325/12/13"/>
          <s v="2325/12/14 - 2325/12/20"/>
          <s v="2325/12/21 - 2325/12/27"/>
          <s v="2325/12/28 - 2326/01/03"/>
          <s v="2326/01/04 - 2326/01/10"/>
          <s v="2326/01/11 - 2326/01/17"/>
          <s v="2326/01/18 - 2326/01/24"/>
          <s v="2326/01/25 - 2326/01/31"/>
          <s v="2326/02/01 - 2326/02/07"/>
          <s v="2326/02/08 - 2326/02/14"/>
          <s v="2326/02/15 - 2326/02/21"/>
          <s v="2326/02/22 - 2326/02/28"/>
          <s v="2326/03/01 - 2326/03/07"/>
          <s v="2326/03/08 - 2326/03/14"/>
          <s v="2326/03/15 - 2326/03/21"/>
          <s v="2326/03/22 - 2326/03/28"/>
          <s v="2326/03/29 - 2326/04/04"/>
          <s v="2326/04/05 - 2326/04/11"/>
          <s v="2326/04/12 - 2326/04/18"/>
          <s v="2326/04/19 - 2326/04/25"/>
          <s v="2326/04/26 - 2326/05/02"/>
          <s v="2326/05/03 - 2326/05/09"/>
          <s v="2326/05/10 - 2326/05/16"/>
          <s v="2326/05/17 - 2326/05/23"/>
          <s v="2326/05/24 - 2326/05/30"/>
          <s v="2326/05/31 - 2326/06/06"/>
          <s v="2326/06/07 - 2326/06/13"/>
          <s v="2326/06/14 - 2326/06/20"/>
          <s v="2326/06/21 - 2326/06/27"/>
          <s v="2326/06/28 - 2326/07/04"/>
          <s v="2326/07/05 - 2326/07/11"/>
          <s v="2326/07/12 - 2326/07/18"/>
          <s v="2326/07/19 - 2326/07/25"/>
          <s v="2326/07/26 - 2326/08/01"/>
          <s v="2326/08/02 - 2326/08/08"/>
          <s v="2326/08/09 - 2326/08/15"/>
          <s v="2326/08/16 - 2326/08/22"/>
          <s v="2326/08/23 - 2326/08/29"/>
          <s v="2326/08/30 - 2326/09/05"/>
          <s v="2326/09/06 - 2326/09/12"/>
          <s v="2326/09/13 - 2326/09/19"/>
          <s v="2326/09/20 - 2326/09/26"/>
          <s v="2326/09/27 - 2326/10/03"/>
          <s v="2326/10/04 - 2326/10/10"/>
          <s v="2326/10/11 - 2326/10/17"/>
          <s v="2326/10/18 - 2326/10/24"/>
          <s v="2326/10/25 - 2326/10/31"/>
          <s v="2326/11/01 - 2326/11/07"/>
          <s v="2326/11/08 - 2326/11/14"/>
          <s v="2326/11/15 - 2326/11/21"/>
          <s v="2326/11/22 - 2326/11/28"/>
          <s v="2326/11/29 - 2326/12/05"/>
          <s v="2326/12/06 - 2326/12/12"/>
          <s v="2326/12/13 - 2326/12/19"/>
          <s v="2326/12/20 - 2326/12/26"/>
          <s v="2326/12/27 - 2327/01/02"/>
          <s v="2327/01/03 - 2327/01/09"/>
          <s v="2327/01/10 - 2327/01/16"/>
          <s v="2327/01/17 - 2327/01/23"/>
          <s v="2327/01/24 - 2327/01/30"/>
          <s v="2327/01/31 - 2327/02/06"/>
          <s v="2327/02/07 - 2327/02/13"/>
          <s v="2327/02/14 - 2327/02/20"/>
          <s v="2327/02/21 - 2327/02/27"/>
          <s v="2327/02/28 - 2327/03/06"/>
          <s v="2327/03/07 - 2327/03/13"/>
          <s v="2327/03/14 - 2327/03/20"/>
          <s v="2327/03/21 - 2327/03/27"/>
          <s v="2327/03/28 - 2327/04/03"/>
          <s v="2327/04/04 - 2327/04/10"/>
          <s v="2327/04/11 - 2327/04/17"/>
          <s v="2327/04/18 - 2327/04/24"/>
          <s v="2327/04/25 - 2327/05/01"/>
          <s v="2327/05/02 - 2327/05/08"/>
          <s v="2327/05/09 - 2327/05/15"/>
          <s v="2327/05/16 - 2327/05/22"/>
          <s v="2327/05/23 - 2327/05/29"/>
          <s v="2327/05/30 - 2327/06/05"/>
          <s v="2327/06/06 - 2327/06/12"/>
          <s v="2327/06/13 - 2327/06/19"/>
          <s v="2327/06/20 - 2327/06/26"/>
          <s v="2327/06/27 - 2327/07/03"/>
          <s v="2327/07/04 - 2327/07/10"/>
          <s v="2327/07/11 - 2327/07/17"/>
          <s v="2327/07/18 - 2327/07/24"/>
          <s v="2327/07/25 - 2327/07/31"/>
          <s v="2327/08/01 - 2327/08/07"/>
          <s v="2327/08/08 - 2327/08/14"/>
          <s v="2327/08/15 - 2327/08/21"/>
          <s v="2327/08/22 - 2327/08/28"/>
          <s v="2327/08/29 - 2327/09/04"/>
          <s v="2327/09/05 - 2327/09/11"/>
          <s v="2327/09/12 - 2327/09/18"/>
          <s v="2327/09/19 - 2327/09/25"/>
          <s v="2327/09/26 - 2327/10/02"/>
          <s v="2327/10/03 - 2327/10/09"/>
          <s v="2327/10/10 - 2327/10/16"/>
          <s v="2327/10/17 - 2327/10/23"/>
          <s v="2327/10/24 - 2327/10/30"/>
          <s v="2327/10/31 - 2327/11/06"/>
          <s v="2327/11/07 - 2327/11/13"/>
          <s v="2327/11/14 - 2327/11/20"/>
          <s v="2327/11/21 - 2327/11/27"/>
          <s v="2327/11/28 - 2327/12/04"/>
          <s v="2327/12/05 - 2327/12/11"/>
          <s v="2327/12/12 - 2327/12/18"/>
          <s v="2327/12/19 - 2327/12/25"/>
          <s v="2327/12/26 - 2328/01/01"/>
          <s v="2328/01/02 - 2328/01/08"/>
          <s v="2328/01/09 - 2328/01/15"/>
          <s v="2328/01/16 - 2328/01/22"/>
          <s v="2328/01/23 - 2328/01/29"/>
          <s v="2328/01/30 - 2328/02/05"/>
          <s v="2328/02/06 - 2328/02/12"/>
          <s v="2328/02/13 - 2328/02/19"/>
          <s v="2328/02/20 - 2328/02/26"/>
          <s v="2328/02/27 - 2328/03/04"/>
          <s v="2328/03/05 - 2328/03/11"/>
          <s v="2328/03/12 - 2328/03/18"/>
          <s v="2328/03/19 - 2328/03/25"/>
          <s v="2328/03/26 - 2328/04/01"/>
          <s v="2328/04/02 - 2328/04/08"/>
          <s v="2328/04/09 - 2328/04/15"/>
          <s v="2328/04/16 - 2328/04/22"/>
          <s v="2328/04/23 - 2328/04/29"/>
          <s v="2328/04/30 - 2328/05/06"/>
          <s v="2328/05/07 - 2328/05/13"/>
          <s v="2328/05/14 - 2328/05/20"/>
          <s v="2328/05/21 - 2328/05/27"/>
          <s v="2328/05/28 - 2328/06/03"/>
          <s v="2328/06/04 - 2328/06/10"/>
          <s v="2328/06/11 - 2328/06/17"/>
          <s v="2328/06/18 - 2328/06/24"/>
          <s v="2328/06/25 - 2328/07/01"/>
          <s v="2328/07/02 - 2328/07/08"/>
          <s v="2328/07/09 - 2328/07/15"/>
          <s v="2328/07/16 - 2328/07/22"/>
          <s v="2328/07/23 - 2328/07/29"/>
          <s v="2328/07/30 - 2328/08/05"/>
          <s v="2328/08/06 - 2328/08/12"/>
          <s v="2328/08/13 - 2328/08/19"/>
          <s v="2328/08/20 - 2328/08/26"/>
          <s v="2328/08/27 - 2328/09/02"/>
          <s v="2328/09/03 - 2328/09/09"/>
          <s v="2328/09/10 - 2328/09/16"/>
          <s v="2328/09/17 - 2328/09/23"/>
          <s v="2328/09/24 - 2328/09/30"/>
          <s v="2328/10/01 - 2328/10/07"/>
          <s v="2328/10/08 - 2328/10/14"/>
          <s v="2328/10/15 - 2328/10/21"/>
          <s v="2328/10/22 - 2328/10/28"/>
          <s v="2328/10/29 - 2328/11/04"/>
          <s v="2328/11/05 - 2328/11/11"/>
          <s v="2328/11/12 - 2328/11/18"/>
          <s v="2328/11/19 - 2328/11/25"/>
          <s v="2328/11/26 - 2328/12/02"/>
          <s v="2328/12/03 - 2328/12/09"/>
          <s v="2328/12/10 - 2328/12/16"/>
          <s v="2328/12/17 - 2328/12/23"/>
          <s v="2328/12/24 - 2328/12/30"/>
          <s v="2328/12/31 - 2329/01/06"/>
          <s v="2329/01/07 - 2329/01/13"/>
          <s v="2329/01/14 - 2329/01/20"/>
          <s v="2329/01/21 - 2329/01/27"/>
          <s v="2329/01/28 - 2329/02/03"/>
          <s v="2329/02/04 - 2329/02/10"/>
          <s v="2329/02/11 - 2329/02/17"/>
          <s v="2329/02/18 - 2329/02/24"/>
          <s v="2329/02/25 - 2329/03/03"/>
          <s v="2329/03/04 - 2329/03/10"/>
          <s v="2329/03/11 - 2329/03/17"/>
          <s v="2329/03/18 - 2329/03/24"/>
          <s v="2329/03/25 - 2329/03/31"/>
          <s v="2329/04/01 - 2329/04/07"/>
          <s v="2329/04/08 - 2329/04/14"/>
          <s v="2329/04/15 - 2329/04/21"/>
          <s v="2329/04/22 - 2329/04/28"/>
          <s v="2329/04/29 - 2329/05/05"/>
          <s v="2329/05/06 - 2329/05/12"/>
          <s v="2329/05/13 - 2329/05/19"/>
          <s v="2329/05/20 - 2329/05/26"/>
          <s v="2329/05/27 - 2329/06/02"/>
          <s v="2329/06/03 - 2329/06/09"/>
          <s v="2329/06/10 - 2329/06/16"/>
          <s v="2329/06/17 - 2329/06/23"/>
          <s v="2329/06/24 - 2329/06/30"/>
          <s v="2329/07/01 - 2329/07/07"/>
          <s v="2329/07/08 - 2329/07/14"/>
          <s v="2329/07/15 - 2329/07/21"/>
          <s v="2329/07/22 - 2329/07/28"/>
          <s v="2329/07/29 - 2329/08/04"/>
          <s v="2329/08/05 - 2329/08/11"/>
          <s v="2329/08/12 - 2329/08/18"/>
          <s v="2329/08/19 - 2329/08/25"/>
          <s v="2329/08/26 - 2329/09/01"/>
          <s v="2329/09/02 - 2329/09/08"/>
          <s v="2329/09/09 - 2329/09/15"/>
          <s v="2329/09/16 - 2329/09/22"/>
          <s v="2329/09/23 - 2329/09/29"/>
          <s v="2329/09/30 - 2329/10/06"/>
          <s v="2329/10/07 - 2329/10/13"/>
          <s v="2329/10/14 - 2329/10/20"/>
          <s v="2329/10/21 - 2329/10/27"/>
          <s v="2329/10/28 - 2329/11/03"/>
          <s v="2329/11/04 - 2329/11/10"/>
          <s v="2329/11/11 - 2329/11/17"/>
          <s v="2329/11/18 - 2329/11/24"/>
          <s v="2329/11/25 - 2329/12/01"/>
          <s v="2329/12/02 - 2329/12/08"/>
          <s v="2329/12/09 - 2329/12/15"/>
          <s v="2329/12/16 - 2329/12/22"/>
          <s v="2329/12/23 - 2329/12/29"/>
          <s v="2329/12/30 - 2330/01/05"/>
          <s v="2330/01/06 - 2330/01/12"/>
          <s v="2330/01/13 - 2330/01/19"/>
          <s v="2330/01/20 - 2330/01/26"/>
          <s v="2330/01/27 - 2330/02/02"/>
          <s v="2330/02/03 - 2330/02/09"/>
          <s v="2330/02/10 - 2330/02/16"/>
          <s v="2330/02/17 - 2330/02/23"/>
          <s v="2330/02/24 - 2330/03/02"/>
          <s v="2330/03/03 - 2330/03/09"/>
          <s v="2330/03/10 - 2330/03/16"/>
          <s v="2330/03/17 - 2330/03/23"/>
          <s v="2330/03/24 - 2330/03/30"/>
          <s v="2330/03/31 - 2330/04/06"/>
          <s v="2330/04/07 - 2330/04/13"/>
          <s v="2330/04/14 - 2330/04/20"/>
          <s v="2330/04/21 - 2330/04/27"/>
          <s v="2330/04/28 - 2330/05/04"/>
          <s v="2330/05/05 - 2330/05/11"/>
          <s v="2330/05/12 - 2330/05/18"/>
          <s v="2330/05/19 - 2330/05/25"/>
          <s v="2330/05/26 - 2330/06/01"/>
          <s v="2330/06/02 - 2330/06/08"/>
          <s v="2330/06/09 - 2330/06/15"/>
          <s v="2330/06/16 - 2330/06/22"/>
          <s v="2330/06/23 - 2330/06/29"/>
          <s v="2330/06/30 - 2330/07/06"/>
          <s v="2330/07/07 - 2330/07/13"/>
          <s v="2330/07/14 - 2330/07/20"/>
          <s v="2330/07/21 - 2330/07/27"/>
          <s v="2330/07/28 - 2330/08/03"/>
          <s v="2330/08/04 - 2330/08/10"/>
          <s v="2330/08/11 - 2330/08/17"/>
          <s v="2330/08/18 - 2330/08/24"/>
          <s v="2330/08/25 - 2330/08/31"/>
          <s v="2330/09/01 - 2330/09/07"/>
          <s v="2330/09/08 - 2330/09/14"/>
          <s v="2330/09/15 - 2330/09/21"/>
          <s v="2330/09/22 - 2330/09/28"/>
          <s v="2330/09/29 - 2330/10/05"/>
          <s v="2330/10/06 - 2330/10/12"/>
          <s v="2330/10/13 - 2330/10/19"/>
          <s v="2330/10/20 - 2330/10/26"/>
          <s v="2330/10/27 - 2330/11/02"/>
          <s v="2330/11/03 - 2330/11/09"/>
          <s v="2330/11/10 - 2330/11/16"/>
          <s v="2330/11/17 - 2330/11/23"/>
          <s v="2330/11/24 - 2330/11/30"/>
          <s v="2330/12/01 - 2330/12/07"/>
          <s v="2330/12/08 - 2330/12/14"/>
          <s v="2330/12/15 - 2330/12/21"/>
          <s v="2330/12/22 - 2330/12/28"/>
          <s v="2330/12/29 - 2331/01/04"/>
          <s v="2331/01/05 - 2331/01/11"/>
          <s v="2331/01/12 - 2331/01/18"/>
          <s v="2331/01/19 - 2331/01/25"/>
          <s v="2331/01/26 - 2331/02/01"/>
          <s v="2331/02/02 - 2331/02/08"/>
          <s v="2331/02/09 - 2331/02/15"/>
          <s v="2331/02/16 - 2331/02/22"/>
          <s v="2331/02/23 - 2331/03/01"/>
          <s v="2331/03/02 - 2331/03/08"/>
          <s v="2331/03/09 - 2331/03/15"/>
          <s v="2331/03/16 - 2331/03/22"/>
          <s v="2331/03/23 - 2331/03/29"/>
          <s v="2331/03/30 - 2331/04/05"/>
          <s v="2331/04/06 - 2331/04/12"/>
          <s v="2331/04/13 - 2331/04/19"/>
          <s v="2331/04/20 - 2331/04/26"/>
          <s v="2331/04/27 - 2331/05/03"/>
          <s v="2331/05/04 - 2331/05/10"/>
          <s v="2331/05/11 - 2331/05/17"/>
          <s v="2331/05/18 - 2331/05/24"/>
          <s v="2331/05/25 - 2331/05/31"/>
          <s v="2331/06/01 - 2331/06/07"/>
          <s v="2331/06/08 - 2331/06/14"/>
          <s v="2331/06/15 - 2331/06/21"/>
          <s v="2331/06/22 - 2331/06/28"/>
          <s v="2331/06/29 - 2331/07/05"/>
          <s v="2331/07/06 - 2331/07/12"/>
          <s v="2331/07/13 - 2331/07/19"/>
          <s v="2331/07/20 - 2331/07/26"/>
          <s v="2331/07/27 - 2331/08/02"/>
          <s v="2331/08/03 - 2331/08/09"/>
          <s v="2331/08/10 - 2331/08/16"/>
          <s v="2331/08/17 - 2331/08/23"/>
          <s v="2331/08/24 - 2331/08/30"/>
          <s v="2331/08/31 - 2331/09/06"/>
          <s v="2331/09/07 - 2331/09/13"/>
          <s v="2331/09/14 - 2331/09/20"/>
          <s v="2331/09/21 - 2331/09/27"/>
          <s v="2331/09/28 - 2331/10/04"/>
          <s v="2331/10/05 - 2331/10/11"/>
          <s v="2331/10/12 - 2331/10/18"/>
          <s v="2331/10/19 - 2331/10/25"/>
          <s v="2331/10/26 - 2331/11/01"/>
          <s v="2331/11/02 - 2331/11/08"/>
          <s v="2331/11/09 - 2331/11/15"/>
          <s v="2331/11/16 - 2331/11/22"/>
          <s v="2331/11/23 - 2331/11/29"/>
          <s v="2331/11/30 - 2331/12/06"/>
          <s v="2331/12/07 - 2331/12/13"/>
          <s v="2331/12/14 - 2331/12/20"/>
          <s v="2331/12/21 - 2331/12/27"/>
          <s v="2331/12/28 - 2332/01/03"/>
          <s v="2332/01/04 - 2332/01/10"/>
          <s v="2332/01/11 - 2332/01/17"/>
          <s v="2332/01/18 - 2332/01/24"/>
          <s v="2332/01/25 - 2332/01/31"/>
          <s v="2332/02/01 - 2332/02/07"/>
          <s v="2332/02/08 - 2332/02/14"/>
          <s v="2332/02/15 - 2332/02/21"/>
          <s v="2332/02/22 - 2332/02/28"/>
          <s v="2332/02/29 - 2332/03/06"/>
          <s v="2332/03/07 - 2332/03/13"/>
          <s v="2332/03/14 - 2332/03/20"/>
          <s v="2332/03/21 - 2332/03/27"/>
          <s v="2332/03/28 - 2332/04/03"/>
          <s v="2332/04/04 - 2332/04/10"/>
          <s v="2332/04/11 - 2332/04/17"/>
          <s v="2332/04/18 - 2332/04/24"/>
          <s v="2332/04/25 - 2332/05/01"/>
          <s v="2332/05/02 - 2332/05/08"/>
          <s v="2332/05/09 - 2332/05/15"/>
          <s v="2332/05/16 - 2332/05/22"/>
          <s v="2332/05/23 - 2332/05/29"/>
          <s v="2332/05/30 - 2332/06/05"/>
          <s v="2332/06/06 - 2332/06/12"/>
          <s v="2332/06/13 - 2332/06/19"/>
          <s v="2332/06/20 - 2332/06/26"/>
          <s v="2332/06/27 - 2332/07/03"/>
          <s v="2332/07/04 - 2332/07/10"/>
          <s v="2332/07/11 - 2332/07/17"/>
          <s v="2332/07/18 - 2332/07/24"/>
          <s v="2332/07/25 - 2332/07/31"/>
          <s v="2332/08/01 - 2332/08/07"/>
          <s v="2332/08/08 - 2332/08/14"/>
          <s v="2332/08/15 - 2332/08/21"/>
          <s v="2332/08/22 - 2332/08/28"/>
          <s v="2332/08/29 - 2332/09/04"/>
          <s v="2332/09/05 - 2332/09/11"/>
          <s v="2332/09/12 - 2332/09/18"/>
          <s v="2332/09/19 - 2332/09/25"/>
          <s v="2332/09/26 - 2332/10/02"/>
          <s v="2332/10/03 - 2332/10/09"/>
          <s v="2332/10/10 - 2332/10/16"/>
          <s v="2332/10/17 - 2332/10/23"/>
          <s v="2332/10/24 - 2332/10/30"/>
          <s v="2332/10/31 - 2332/11/06"/>
          <s v="2332/11/07 - 2332/11/13"/>
          <s v="2332/11/14 - 2332/11/20"/>
          <s v="2332/11/21 - 2332/11/27"/>
          <s v="2332/11/28 - 2332/12/04"/>
          <s v="2332/12/05 - 2332/12/11"/>
          <s v="2332/12/12 - 2332/12/18"/>
          <s v="2332/12/19 - 2332/12/25"/>
          <s v="2332/12/26 - 2333/01/01"/>
          <s v="2333/01/02 - 2333/01/08"/>
          <s v="2333/01/09 - 2333/01/15"/>
          <s v="2333/01/16 - 2333/01/22"/>
          <s v="2333/01/23 - 2333/01/29"/>
          <s v="2333/01/30 - 2333/02/05"/>
          <s v="2333/02/06 - 2333/02/12"/>
          <s v="2333/02/13 - 2333/02/19"/>
          <s v="2333/02/20 - 2333/02/26"/>
          <s v="2333/02/27 - 2333/03/05"/>
          <s v="2333/03/06 - 2333/03/12"/>
          <s v="2333/03/13 - 2333/03/19"/>
          <s v="2333/03/20 - 2333/03/26"/>
          <s v="2333/03/27 - 2333/04/02"/>
          <s v="2333/04/03 - 2333/04/09"/>
          <s v="2333/04/10 - 2333/04/16"/>
          <s v="2333/04/17 - 2333/04/23"/>
          <s v="2333/04/24 - 2333/04/30"/>
          <s v="2333/05/01 - 2333/05/07"/>
          <s v="2333/05/08 - 2333/05/14"/>
          <s v="2333/05/15 - 2333/05/21"/>
          <s v="2333/05/22 - 2333/05/28"/>
          <s v="2333/05/29 - 2333/06/04"/>
          <s v="2333/06/05 - 2333/06/11"/>
          <s v="2333/06/12 - 2333/06/18"/>
          <s v="2333/06/19 - 2333/06/25"/>
          <s v="2333/06/26 - 2333/07/02"/>
          <s v="2333/07/03 - 2333/07/09"/>
          <s v="2333/07/10 - 2333/07/16"/>
          <s v="2333/07/17 - 2333/07/23"/>
          <s v="2333/07/24 - 2333/07/30"/>
          <s v="2333/07/31 - 2333/08/06"/>
          <s v="2333/08/07 - 2333/08/13"/>
          <s v="2333/08/14 - 2333/08/20"/>
          <s v="2333/08/21 - 2333/08/27"/>
          <s v="2333/08/28 - 2333/09/03"/>
          <s v="2333/09/04 - 2333/09/10"/>
          <s v="2333/09/11 - 2333/09/17"/>
          <s v="2333/09/18 - 2333/09/24"/>
          <s v="2333/09/25 - 2333/10/01"/>
          <s v="2333/10/02 - 2333/10/08"/>
          <s v="2333/10/09 - 2333/10/15"/>
          <s v="2333/10/16 - 2333/10/22"/>
          <s v="2333/10/23 - 2333/10/29"/>
          <s v="2333/10/30 - 2333/11/05"/>
          <s v="2333/11/06 - 2333/11/12"/>
          <s v="2333/11/13 - 2333/11/19"/>
          <s v="2333/11/20 - 2333/11/26"/>
          <s v="2333/11/27 - 2333/12/03"/>
          <s v="2333/12/04 - 2333/12/10"/>
          <s v="2333/12/11 - 2333/12/17"/>
          <s v="2333/12/18 - 2333/12/24"/>
          <s v="2333/12/25 - 2333/12/31"/>
          <s v="2334/01/01 - 2334/01/07"/>
          <s v="2334/01/08 - 2334/01/14"/>
          <s v="2334/01/15 - 2334/01/21"/>
          <s v="2334/01/22 - 2334/01/28"/>
          <s v="2334/01/29 - 2334/02/04"/>
          <s v="2334/02/05 - 2334/02/11"/>
          <s v="2334/02/12 - 2334/02/18"/>
          <s v="2334/02/19 - 2334/02/25"/>
          <s v="2334/02/26 - 2334/03/04"/>
          <s v="2334/03/05 - 2334/03/11"/>
          <s v="2334/03/12 - 2334/03/18"/>
          <s v="2334/03/19 - 2334/03/25"/>
          <s v="2334/03/26 - 2334/04/01"/>
          <s v="2334/04/02 - 2334/04/08"/>
          <s v="2334/04/09 - 2334/04/15"/>
          <s v="2334/04/16 - 2334/04/22"/>
          <s v="2334/04/23 - 2334/04/29"/>
          <s v="2334/04/30 - 2334/05/06"/>
          <s v="2334/05/07 - 2334/05/13"/>
          <s v="2334/05/14 - 2334/05/20"/>
          <s v="2334/05/21 - 2334/05/27"/>
          <s v="2334/05/28 - 2334/06/03"/>
          <s v="2334/06/04 - 2334/06/10"/>
          <s v="2334/06/11 - 2334/06/17"/>
          <s v="2334/06/18 - 2334/06/24"/>
          <s v="2334/06/25 - 2334/07/01"/>
          <s v="2334/07/02 - 2334/07/08"/>
          <s v="2334/07/09 - 2334/07/15"/>
          <s v="2334/07/16 - 2334/07/22"/>
          <s v="2334/07/23 - 2334/07/29"/>
          <s v="2334/07/30 - 2334/08/05"/>
          <s v="2334/08/06 - 2334/08/12"/>
          <s v="2334/08/13 - 2334/08/19"/>
          <s v="2334/08/20 - 2334/08/26"/>
          <s v="2334/08/27 - 2334/09/02"/>
          <s v="2334/09/03 - 2334/09/09"/>
          <s v="2334/09/10 - 2334/09/16"/>
          <s v="2334/09/17 - 2334/09/23"/>
          <s v="2334/09/24 - 2334/09/30"/>
          <s v="2334/10/01 - 2334/10/07"/>
          <s v="2334/10/08 - 2334/10/14"/>
          <s v="2334/10/15 - 2334/10/21"/>
          <s v="2334/10/22 - 2334/10/28"/>
          <s v="2334/10/29 - 2334/11/04"/>
          <s v="2334/11/05 - 2334/11/11"/>
          <s v="2334/11/12 - 2334/11/18"/>
          <s v="2334/11/19 - 2334/11/25"/>
          <s v="2334/11/26 - 2334/12/02"/>
          <s v="2334/12/03 - 2334/12/09"/>
          <s v="2334/12/10 - 2334/12/16"/>
          <s v="2334/12/17 - 2334/12/23"/>
          <s v="2334/12/24 - 2334/12/30"/>
          <s v="2334/12/31 - 2335/01/06"/>
          <s v="2335/01/07 - 2335/01/13"/>
          <s v="2335/01/14 - 2335/01/20"/>
          <s v="2335/01/21 - 2335/01/27"/>
          <s v="2335/01/28 - 2335/02/03"/>
          <s v="2335/02/04 - 2335/02/10"/>
          <s v="2335/02/11 - 2335/02/17"/>
          <s v="2335/02/18 - 2335/02/24"/>
          <s v="2335/02/25 - 2335/03/03"/>
          <s v="2335/03/04 - 2335/03/10"/>
          <s v="2335/03/11 - 2335/03/17"/>
          <s v="2335/03/18 - 2335/03/24"/>
          <s v="2335/03/25 - 2335/03/31"/>
          <s v="2335/04/01 - 2335/04/07"/>
          <s v="2335/04/08 - 2335/04/14"/>
          <s v="2335/04/15 - 2335/04/21"/>
          <s v="2335/04/22 - 2335/04/28"/>
          <s v="2335/04/29 - 2335/05/05"/>
          <s v="2335/05/06 - 2335/05/12"/>
          <s v="2335/05/13 - 2335/05/19"/>
          <s v="2335/05/20 - 2335/05/26"/>
          <s v="2335/05/27 - 2335/06/02"/>
          <s v="2335/06/03 - 2335/06/09"/>
          <s v="2335/06/10 - 2335/06/16"/>
          <s v="2335/06/17 - 2335/06/23"/>
          <s v="2335/06/24 - 2335/06/30"/>
          <s v="2335/07/01 - 2335/07/07"/>
          <s v="2335/07/08 - 2335/07/14"/>
          <s v="2335/07/15 - 2335/07/21"/>
          <s v="2335/07/22 - 2335/07/28"/>
          <s v="2335/07/29 - 2335/08/04"/>
          <s v="2335/08/05 - 2335/08/11"/>
          <s v="2335/08/12 - 2335/08/18"/>
          <s v="2335/08/19 - 2335/08/25"/>
          <s v="2335/08/26 - 2335/09/01"/>
          <s v="2335/09/02 - 2335/09/08"/>
          <s v="2335/09/09 - 2335/09/15"/>
          <s v="2335/09/16 - 2335/09/22"/>
          <s v="2335/09/23 - 2335/09/29"/>
          <s v="2335/09/30 - 2335/10/06"/>
          <s v="2335/10/07 - 2335/10/13"/>
          <s v="2335/10/14 - 2335/10/20"/>
          <s v="2335/10/21 - 2335/10/27"/>
          <s v="2335/10/28 - 2335/11/03"/>
          <s v="2335/11/04 - 2335/11/10"/>
          <s v="2335/11/11 - 2335/11/17"/>
          <s v="2335/11/18 - 2335/11/24"/>
          <s v="2335/11/25 - 2335/12/01"/>
          <s v="2335/12/02 - 2335/12/08"/>
          <s v="2335/12/09 - 2335/12/15"/>
          <s v="2335/12/16 - 2335/12/22"/>
          <s v="2335/12/23 - 2335/12/29"/>
          <s v="2335/12/30 - 2336/01/05"/>
          <s v="2336/01/06 - 2336/01/12"/>
          <s v="2336/01/13 - 2336/01/19"/>
          <s v="2336/01/20 - 2336/01/26"/>
          <s v="2336/01/27 - 2336/02/02"/>
          <s v="2336/02/03 - 2336/02/09"/>
          <s v="2336/02/10 - 2336/02/16"/>
          <s v="2336/02/17 - 2336/02/23"/>
          <s v="2336/02/24 - 2336/03/01"/>
          <s v="2336/03/02 - 2336/03/08"/>
          <s v="2336/03/09 - 2336/03/15"/>
          <s v="2336/03/16 - 2336/03/22"/>
          <s v="2336/03/23 - 2336/03/29"/>
          <s v="2336/03/30 - 2336/04/05"/>
          <s v="2336/04/06 - 2336/04/12"/>
          <s v="2336/04/13 - 2336/04/19"/>
          <s v="2336/04/20 - 2336/04/26"/>
          <s v="2336/04/27 - 2336/05/03"/>
          <s v="2336/05/04 - 2336/05/10"/>
          <s v="2336/05/11 - 2336/05/17"/>
          <s v="2336/05/18 - 2336/05/24"/>
          <s v="2336/05/25 - 2336/05/31"/>
          <s v="2336/06/01 - 2336/06/07"/>
          <s v="2336/06/08 - 2336/06/14"/>
          <s v="2336/06/15 - 2336/06/21"/>
          <s v="2336/06/22 - 2336/06/28"/>
          <s v="2336/06/29 - 2336/07/05"/>
          <s v="2336/07/06 - 2336/07/12"/>
          <s v="2336/07/13 - 2336/07/19"/>
          <s v="2336/07/20 - 2336/07/26"/>
          <s v="2336/07/27 - 2336/08/02"/>
          <s v="2336/08/03 - 2336/08/09"/>
          <s v="2336/08/10 - 2336/08/16"/>
          <s v="2336/08/17 - 2336/08/23"/>
          <s v="2336/08/24 - 2336/08/30"/>
          <s v="2336/08/31 - 2336/09/06"/>
          <s v="2336/09/07 - 2336/09/13"/>
          <s v="2336/09/14 - 2336/09/20"/>
          <s v="2336/09/21 - 2336/09/27"/>
          <s v="2336/09/28 - 2336/10/04"/>
          <s v="2336/10/05 - 2336/10/11"/>
          <s v="2336/10/12 - 2336/10/18"/>
          <s v="2336/10/19 - 2336/10/25"/>
          <s v="2336/10/26 - 2336/11/01"/>
          <s v="2336/11/02 - 2336/11/08"/>
          <s v="2336/11/09 - 2336/11/15"/>
          <s v="2336/11/16 - 2336/11/22"/>
          <s v="2336/11/23 - 2336/11/29"/>
          <s v="2336/11/30 - 2336/12/06"/>
          <s v="2336/12/07 - 2336/12/13"/>
          <s v="2336/12/14 - 2336/12/20"/>
          <s v="2336/12/21 - 2336/12/27"/>
          <s v="2336/12/28 - 2337/01/03"/>
          <s v="2337/01/04 - 2337/01/10"/>
          <s v="2337/01/11 - 2337/01/17"/>
          <s v="2337/01/18 - 2337/01/24"/>
          <s v="2337/01/25 - 2337/01/31"/>
          <s v="2337/02/01 - 2337/02/07"/>
          <s v="2337/02/08 - 2337/02/14"/>
          <s v="2337/02/15 - 2337/02/21"/>
          <s v="2337/02/22 - 2337/02/28"/>
          <s v="2337/03/01 - 2337/03/07"/>
          <s v="2337/03/08 - 2337/03/14"/>
          <s v="2337/03/15 - 2337/03/21"/>
          <s v="2337/03/22 - 2337/03/28"/>
          <s v="2337/03/29 - 2337/04/04"/>
          <s v="2337/04/05 - 2337/04/11"/>
          <s v="2337/04/12 - 2337/04/18"/>
          <s v="2337/04/19 - 2337/04/25"/>
          <s v="2337/04/26 - 2337/05/02"/>
          <s v="2337/05/03 - 2337/05/09"/>
          <s v="2337/05/10 - 2337/05/16"/>
          <s v="2337/05/17 - 2337/05/23"/>
          <s v="2337/05/24 - 2337/05/30"/>
          <s v="2337/05/31 - 2337/06/06"/>
          <s v="2337/06/07 - 2337/06/13"/>
          <s v="2337/06/14 - 2337/06/20"/>
          <s v="2337/06/21 - 2337/06/27"/>
          <s v="2337/06/28 - 2337/07/04"/>
          <s v="2337/07/05 - 2337/07/11"/>
          <s v="2337/07/12 - 2337/07/18"/>
          <s v="2337/07/19 - 2337/07/25"/>
          <s v="2337/07/26 - 2337/08/01"/>
          <s v="2337/08/02 - 2337/08/08"/>
          <s v="2337/08/09 - 2337/08/15"/>
          <s v="2337/08/16 - 2337/08/22"/>
          <s v="2337/08/23 - 2337/08/29"/>
          <s v="2337/08/30 - 2337/09/05"/>
          <s v="2337/09/06 - 2337/09/12"/>
          <s v="2337/09/13 - 2337/09/19"/>
          <s v="2337/09/20 - 2337/09/26"/>
          <s v="2337/09/27 - 2337/10/03"/>
          <s v="2337/10/04 - 2337/10/10"/>
          <s v="2337/10/11 - 2337/10/17"/>
          <s v="2337/10/18 - 2337/10/24"/>
          <s v="2337/10/25 - 2337/10/31"/>
          <s v="2337/11/01 - 2337/11/07"/>
          <s v="2337/11/08 - 2337/11/14"/>
          <s v="2337/11/15 - 2337/11/21"/>
          <s v="2337/11/22 - 2337/11/28"/>
          <s v="2337/11/29 - 2337/12/05"/>
          <s v="2337/12/06 - 2337/12/12"/>
          <s v="2337/12/13 - 2337/12/19"/>
          <s v="2337/12/20 - 2337/12/26"/>
          <s v="2337/12/27 - 2338/01/02"/>
          <s v="2338/01/03 - 2338/01/09"/>
          <s v="2338/01/10 - 2338/01/16"/>
          <s v="2338/01/17 - 2338/01/23"/>
          <s v="2338/01/24 - 2338/01/30"/>
          <s v="2338/01/31 - 2338/02/06"/>
          <s v="2338/02/07 - 2338/02/13"/>
          <s v="2338/02/14 - 2338/02/20"/>
          <s v="2338/02/21 - 2338/02/27"/>
          <s v="2338/02/28 - 2338/03/06"/>
          <s v="2338/03/07 - 2338/03/13"/>
          <s v="2338/03/14 - 2338/03/20"/>
          <s v="2338/03/21 - 2338/03/27"/>
          <s v="2338/03/28 - 2338/04/03"/>
          <s v="2338/04/04 - 2338/04/10"/>
          <s v="2338/04/11 - 2338/04/17"/>
          <s v="2338/04/18 - 2338/04/24"/>
          <s v="2338/04/25 - 2338/05/01"/>
          <s v="2338/05/02 - 2338/05/08"/>
          <s v="2338/05/09 - 2338/05/15"/>
          <s v="2338/05/16 - 2338/05/22"/>
          <s v="2338/05/23 - 2338/05/29"/>
          <s v="2338/05/30 - 2338/06/05"/>
          <s v="2338/06/06 - 2338/06/12"/>
          <s v="2338/06/13 - 2338/06/19"/>
          <s v="2338/06/20 - 2338/06/26"/>
          <s v="2338/06/27 - 2338/07/03"/>
          <s v="2338/07/04 - 2338/07/10"/>
          <s v="2338/07/11 - 2338/07/17"/>
          <s v="2338/07/18 - 2338/07/24"/>
          <s v="2338/07/25 - 2338/07/31"/>
          <s v="2338/08/01 - 2338/08/07"/>
          <s v="2338/08/08 - 2338/08/14"/>
          <s v="2338/08/15 - 2338/08/21"/>
          <s v="2338/08/22 - 2338/08/28"/>
          <s v="2338/08/29 - 2338/09/04"/>
          <s v="2338/09/05 - 2338/09/11"/>
          <s v="2338/09/12 - 2338/09/18"/>
          <s v="2338/09/19 - 2338/09/25"/>
          <s v="2338/09/26 - 2338/10/02"/>
          <s v="2338/10/03 - 2338/10/09"/>
          <s v="2338/10/10 - 2338/10/16"/>
          <s v="2338/10/17 - 2338/10/23"/>
          <s v="2338/10/24 - 2338/10/30"/>
          <s v="2338/10/31 - 2338/11/06"/>
          <s v="2338/11/07 - 2338/11/13"/>
          <s v="2338/11/14 - 2338/11/20"/>
          <s v="2338/11/21 - 2338/11/27"/>
          <s v="2338/11/28 - 2338/12/04"/>
          <s v="2338/12/05 - 2338/12/11"/>
          <s v="2338/12/12 - 2338/12/18"/>
          <s v="2338/12/19 - 2338/12/25"/>
          <s v="2338/12/26 - 2339/01/01"/>
          <s v="2339/01/02 - 2339/01/08"/>
          <s v="2339/01/09 - 2339/01/15"/>
          <s v="2339/01/16 - 2339/01/22"/>
          <s v="2339/01/23 - 2339/01/29"/>
          <s v="2339/01/30 - 2339/02/05"/>
          <s v="2339/02/06 - 2339/02/12"/>
          <s v="2339/02/13 - 2339/02/19"/>
          <s v="2339/02/20 - 2339/02/26"/>
          <s v="2339/02/27 - 2339/03/05"/>
          <s v="2339/03/06 - 2339/03/12"/>
          <s v="2339/03/13 - 2339/03/19"/>
          <s v="2339/03/20 - 2339/03/26"/>
          <s v="2339/03/27 - 2339/04/02"/>
          <s v="2339/04/03 - 2339/04/09"/>
          <s v="2339/04/10 - 2339/04/16"/>
          <s v="2339/04/17 - 2339/04/23"/>
          <s v="2339/04/24 - 2339/04/30"/>
          <s v="2339/05/01 - 2339/05/07"/>
          <s v="2339/05/08 - 2339/05/14"/>
          <s v="2339/05/15 - 2339/05/21"/>
          <s v="2339/05/22 - 2339/05/28"/>
          <s v="2339/05/29 - 2339/06/04"/>
          <s v="2339/06/05 - 2339/06/11"/>
          <s v="2339/06/12 - 2339/06/18"/>
          <s v="2339/06/19 - 2339/06/25"/>
          <s v="2339/06/26 - 2339/07/02"/>
          <s v="2339/07/03 - 2339/07/09"/>
          <s v="2339/07/10 - 2339/07/16"/>
          <s v="2339/07/17 - 2339/07/23"/>
          <s v="2339/07/24 - 2339/07/30"/>
          <s v="2339/07/31 - 2339/08/06"/>
          <s v="2339/08/07 - 2339/08/13"/>
          <s v="2339/08/14 - 2339/08/20"/>
          <s v="2339/08/21 - 2339/08/27"/>
          <s v="2339/08/28 - 2339/09/03"/>
          <s v="2339/09/04 - 2339/09/10"/>
          <s v="2339/09/11 - 2339/09/17"/>
          <s v="2339/09/18 - 2339/09/24"/>
          <s v="2339/09/25 - 2339/10/01"/>
          <s v="2339/10/02 - 2339/10/08"/>
          <s v="2339/10/09 - 2339/10/15"/>
          <s v="2339/10/16 - 2339/10/22"/>
          <s v="2339/10/23 - 2339/10/29"/>
          <s v="2339/10/30 - 2339/11/05"/>
          <s v="2339/11/06 - 2339/11/12"/>
          <s v="2339/11/13 - 2339/11/19"/>
          <s v="2339/11/20 - 2339/11/26"/>
          <s v="2339/11/27 - 2339/12/03"/>
          <s v="2339/12/04 - 2339/12/10"/>
          <s v="2339/12/11 - 2339/12/17"/>
          <s v="2339/12/18 - 2339/12/24"/>
          <s v="2339/12/25 - 2339/12/31"/>
          <s v="2340/01/01 - 2340/01/07"/>
          <s v="2340/01/08 - 2340/01/14"/>
          <s v="2340/01/15 - 2340/01/21"/>
          <s v="2340/01/22 - 2340/01/28"/>
          <s v="2340/01/29 - 2340/02/04"/>
          <s v="2340/02/05 - 2340/02/11"/>
          <s v="2340/02/12 - 2340/02/18"/>
          <s v="2340/02/19 - 2340/02/25"/>
          <s v="2340/02/26 - 2340/03/03"/>
          <s v="2340/03/04 - 2340/03/10"/>
          <s v="2340/03/11 - 2340/03/17"/>
          <s v="2340/03/18 - 2340/03/24"/>
          <s v="2340/03/25 - 2340/03/31"/>
          <s v="2340/04/01 - 2340/04/07"/>
          <s v="2340/04/08 - 2340/04/14"/>
          <s v="2340/04/15 - 2340/04/21"/>
          <s v="2340/04/22 - 2340/04/28"/>
          <s v="2340/04/29 - 2340/05/05"/>
          <s v="2340/05/06 - 2340/05/12"/>
          <s v="2340/05/13 - 2340/05/19"/>
          <s v="2340/05/20 - 2340/05/26"/>
          <s v="2340/05/27 - 2340/06/02"/>
          <s v="2340/06/03 - 2340/06/09"/>
          <s v="2340/06/10 - 2340/06/16"/>
          <s v="2340/06/17 - 2340/06/23"/>
          <s v="2340/06/24 - 2340/06/30"/>
          <s v="2340/07/01 - 2340/07/07"/>
          <s v="2340/07/08 - 2340/07/14"/>
          <s v="2340/07/15 - 2340/07/21"/>
          <s v="2340/07/22 - 2340/07/28"/>
          <s v="2340/07/29 - 2340/08/04"/>
          <s v="2340/08/05 - 2340/08/11"/>
          <s v="2340/08/12 - 2340/08/18"/>
          <s v="2340/08/19 - 2340/08/25"/>
          <s v="2340/08/26 - 2340/09/01"/>
          <s v="2340/09/02 - 2340/09/08"/>
          <s v="2340/09/09 - 2340/09/15"/>
          <s v="2340/09/16 - 2340/09/22"/>
          <s v="2340/09/23 - 2340/09/29"/>
          <s v="2340/09/30 - 2340/10/06"/>
          <s v="2340/10/07 - 2340/10/13"/>
          <s v="2340/10/14 - 2340/10/20"/>
          <s v="2340/10/21 - 2340/10/27"/>
          <s v="2340/10/28 - 2340/11/03"/>
          <s v="2340/11/04 - 2340/11/10"/>
          <s v="2340/11/11 - 2340/11/17"/>
          <s v="2340/11/18 - 2340/11/24"/>
          <s v="2340/11/25 - 2340/12/01"/>
          <s v="2340/12/02 - 2340/12/08"/>
          <s v="2340/12/09 - 2340/12/15"/>
          <s v="2340/12/16 - 2340/12/22"/>
          <s v="2340/12/23 - 2340/12/29"/>
          <s v="2340/12/30 - 2341/01/05"/>
          <s v="2341/01/06 - 2341/01/12"/>
          <s v="2341/01/13 - 2341/01/19"/>
          <s v="2341/01/20 - 2341/01/26"/>
          <s v="2341/01/27 - 2341/02/02"/>
          <s v="2341/02/03 - 2341/02/09"/>
          <s v="2341/02/10 - 2341/02/16"/>
          <s v="2341/02/17 - 2341/02/23"/>
          <s v="2341/02/24 - 2341/03/02"/>
          <s v="2341/03/03 - 2341/03/09"/>
          <s v="2341/03/10 - 2341/03/16"/>
          <s v="2341/03/17 - 2341/03/23"/>
          <s v="2341/03/24 - 2341/03/30"/>
          <s v="2341/03/31 - 2341/04/06"/>
          <s v="2341/04/07 - 2341/04/13"/>
          <s v="2341/04/14 - 2341/04/20"/>
          <s v="2341/04/21 - 2341/04/27"/>
          <s v="2341/04/28 - 2341/05/04"/>
          <s v="2341/05/05 - 2341/05/11"/>
          <s v="2341/05/12 - 2341/05/18"/>
          <s v="2341/05/19 - 2341/05/25"/>
          <s v="2341/05/26 - 2341/06/01"/>
          <s v="2341/06/02 - 2341/06/08"/>
          <s v="2341/06/09 - 2341/06/15"/>
          <s v="2341/06/16 - 2341/06/22"/>
          <s v="2341/06/23 - 2341/06/29"/>
          <s v="2341/06/30 - 2341/07/06"/>
          <s v="2341/07/07 - 2341/07/13"/>
          <s v="2341/07/14 - 2341/07/20"/>
          <s v="2341/07/21 - 2341/07/27"/>
          <s v="2341/07/28 - 2341/08/03"/>
          <s v="2341/08/04 - 2341/08/10"/>
          <s v="2341/08/11 - 2341/08/17"/>
          <s v="2341/08/18 - 2341/08/24"/>
          <s v="2341/08/25 - 2341/08/31"/>
          <s v="2341/09/01 - 2341/09/07"/>
          <s v="2341/09/08 - 2341/09/14"/>
          <s v="2341/09/15 - 2341/09/21"/>
          <s v="2341/09/22 - 2341/09/28"/>
          <s v="2341/09/29 - 2341/10/05"/>
          <s v="2341/10/06 - 2341/10/12"/>
          <s v="2341/10/13 - 2341/10/19"/>
          <s v="2341/10/20 - 2341/10/26"/>
          <s v="2341/10/27 - 2341/11/02"/>
          <s v="2341/11/03 - 2341/11/09"/>
          <s v="2341/11/10 - 2341/11/16"/>
          <s v="2341/11/17 - 2341/11/23"/>
          <s v="2341/11/24 - 2341/11/30"/>
          <s v="2341/12/01 - 2341/12/07"/>
          <s v="2341/12/08 - 2341/12/14"/>
          <s v="2341/12/15 - 2341/12/21"/>
          <s v="2341/12/22 - 2341/12/28"/>
          <s v="2341/12/29 - 2342/01/04"/>
          <s v="2342/01/05 - 2342/01/11"/>
          <s v="2342/01/12 - 2342/01/18"/>
          <s v="2342/01/19 - 2342/01/25"/>
          <s v="2342/01/26 - 2342/02/01"/>
          <s v="2342/02/02 - 2342/02/08"/>
          <s v="2342/02/09 - 2342/02/15"/>
          <s v="2342/02/16 - 2342/02/22"/>
          <s v="2342/02/23 - 2342/03/01"/>
          <s v="2342/03/02 - 2342/03/08"/>
          <s v="2342/03/09 - 2342/03/15"/>
          <s v="2342/03/16 - 2342/03/22"/>
          <s v="2342/03/23 - 2342/03/29"/>
          <s v="2342/03/30 - 2342/04/05"/>
          <s v="2342/04/06 - 2342/04/12"/>
          <s v="2342/04/13 - 2342/04/19"/>
          <s v="2342/04/20 - 2342/04/26"/>
          <s v="2342/04/27 - 2342/05/03"/>
          <s v="2342/05/04 - 2342/05/10"/>
          <s v="2342/05/11 - 2342/05/17"/>
          <s v="2342/05/18 - 2342/05/24"/>
          <s v="2342/05/25 - 2342/05/31"/>
          <s v="2342/06/01 - 2342/06/07"/>
          <s v="2342/06/08 - 2342/06/14"/>
          <s v="2342/06/15 - 2342/06/21"/>
          <s v="2342/06/22 - 2342/06/28"/>
          <s v="2342/06/29 - 2342/07/05"/>
          <s v="2342/07/06 - 2342/07/12"/>
          <s v="2342/07/13 - 2342/07/19"/>
          <s v="2342/07/20 - 2342/07/26"/>
          <s v="2342/07/27 - 2342/08/02"/>
          <s v="2342/08/03 - 2342/08/09"/>
          <s v="2342/08/10 - 2342/08/16"/>
          <s v="2342/08/17 - 2342/08/23"/>
          <s v="2342/08/24 - 2342/08/30"/>
          <s v="2342/08/31 - 2342/09/06"/>
          <s v="2342/09/07 - 2342/09/13"/>
          <s v="2342/09/14 - 2342/09/20"/>
          <s v="2342/09/21 - 2342/09/27"/>
          <s v="2342/09/28 - 2342/10/04"/>
          <s v="2342/10/05 - 2342/10/11"/>
          <s v="2342/10/12 - 2342/10/18"/>
          <s v="2342/10/19 - 2342/10/25"/>
          <s v="2342/10/26 - 2342/11/01"/>
          <s v="2342/11/02 - 2342/11/08"/>
          <s v="2342/11/09 - 2342/11/15"/>
          <s v="2342/11/16 - 2342/11/22"/>
          <s v="2342/11/23 - 2342/11/29"/>
          <s v="2342/11/30 - 2342/12/06"/>
          <s v="2342/12/07 - 2342/12/13"/>
          <s v="2342/12/14 - 2342/12/20"/>
          <s v="2342/12/21 - 2342/12/27"/>
          <s v="2342/12/28 - 2343/01/03"/>
          <s v="2343/01/04 - 2343/01/10"/>
          <s v="2343/01/11 - 2343/01/17"/>
          <s v="2343/01/18 - 2343/01/24"/>
          <s v="2343/01/25 - 2343/01/31"/>
          <s v="2343/02/01 - 2343/02/07"/>
          <s v="2343/02/08 - 2343/02/14"/>
          <s v="2343/02/15 - 2343/02/21"/>
          <s v="2343/02/22 - 2343/02/28"/>
          <s v="2343/03/01 - 2343/03/07"/>
          <s v="2343/03/08 - 2343/03/14"/>
          <s v="2343/03/15 - 2343/03/21"/>
          <s v="2343/03/22 - 2343/03/28"/>
          <s v="2343/03/29 - 2343/04/04"/>
          <s v="2343/04/05 - 2343/04/11"/>
          <s v="2343/04/12 - 2343/04/18"/>
          <s v="2343/04/19 - 2343/04/25"/>
          <s v="2343/04/26 - 2343/05/02"/>
          <s v="2343/05/03 - 2343/05/09"/>
          <s v="2343/05/10 - 2343/05/16"/>
          <s v="2343/05/17 - 2343/05/23"/>
          <s v="2343/05/24 - 2343/05/30"/>
          <s v="2343/05/31 - 2343/06/06"/>
          <s v="2343/06/07 - 2343/06/13"/>
          <s v="2343/06/14 - 2343/06/20"/>
          <s v="2343/06/21 - 2343/06/27"/>
          <s v="2343/06/28 - 2343/07/04"/>
          <s v="2343/07/05 - 2343/07/11"/>
          <s v="2343/07/12 - 2343/07/18"/>
          <s v="2343/07/19 - 2343/07/25"/>
          <s v="2343/07/26 - 2343/08/01"/>
          <s v="2343/08/02 - 2343/08/08"/>
          <s v="2343/08/09 - 2343/08/15"/>
          <s v="2343/08/16 - 2343/08/22"/>
          <s v="2343/08/23 - 2343/08/29"/>
          <s v="2343/08/30 - 2343/09/05"/>
          <s v="2343/09/06 - 2343/09/12"/>
          <s v="2343/09/13 - 2343/09/19"/>
          <s v="2343/09/20 - 2343/09/26"/>
          <s v="2343/09/27 - 2343/10/03"/>
          <s v="2343/10/04 - 2343/10/10"/>
          <s v="2343/10/11 - 2343/10/17"/>
          <s v="2343/10/18 - 2343/10/24"/>
          <s v="2343/10/25 - 2343/10/31"/>
          <s v="2343/11/01 - 2343/11/07"/>
          <s v="2343/11/08 - 2343/11/14"/>
          <s v="2343/11/15 - 2343/11/21"/>
          <s v="2343/11/22 - 2343/11/28"/>
          <s v="2343/11/29 - 2343/12/05"/>
          <s v="2343/12/06 - 2343/12/12"/>
          <s v="2343/12/13 - 2343/12/19"/>
          <s v="2343/12/20 - 2343/12/26"/>
          <s v="2343/12/27 - 2344/01/02"/>
          <s v="2344/01/03 - 2344/01/09"/>
          <s v="2344/01/10 - 2344/01/16"/>
          <s v="2344/01/17 - 2344/01/23"/>
          <s v="2344/01/24 - 2344/01/30"/>
          <s v="2344/01/31 - 2344/02/06"/>
          <s v="2344/02/07 - 2344/02/13"/>
          <s v="2344/02/14 - 2344/02/20"/>
          <s v="2344/02/21 - 2344/02/27"/>
          <s v="2344/02/28 - 2344/03/05"/>
          <s v="2344/03/06 - 2344/03/12"/>
          <s v="2344/03/13 - 2344/03/19"/>
          <s v="2344/03/20 - 2344/03/26"/>
          <s v="2344/03/27 - 2344/04/02"/>
          <s v="2344/04/03 - 2344/04/09"/>
          <s v="2344/04/10 - 2344/04/16"/>
          <s v="2344/04/17 - 2344/04/23"/>
          <s v="2344/04/24 - 2344/04/30"/>
          <s v="2344/05/01 - 2344/05/07"/>
          <s v="2344/05/08 - 2344/05/14"/>
          <s v="2344/05/15 - 2344/05/21"/>
          <s v="2344/05/22 - 2344/05/28"/>
          <s v="2344/05/29 - 2344/06/04"/>
          <s v="2344/06/05 - 2344/06/11"/>
          <s v="2344/06/12 - 2344/06/18"/>
          <s v="2344/06/19 - 2344/06/25"/>
          <s v="2344/06/26 - 2344/07/02"/>
          <s v="2344/07/03 - 2344/07/09"/>
          <s v="2344/07/10 - 2344/07/16"/>
          <s v="2344/07/17 - 2344/07/23"/>
          <s v="2344/07/24 - 2344/07/30"/>
          <s v="2344/07/31 - 2344/08/06"/>
          <s v="2344/08/07 - 2344/08/13"/>
          <s v="2344/08/14 - 2344/08/20"/>
          <s v="2344/08/21 - 2344/08/27"/>
          <s v="2344/08/28 - 2344/09/03"/>
          <s v="2344/09/04 - 2344/09/10"/>
          <s v="2344/09/11 - 2344/09/17"/>
          <s v="2344/09/18 - 2344/09/24"/>
          <s v="2344/09/25 - 2344/10/01"/>
          <s v="2344/10/02 - 2344/10/08"/>
          <s v="2344/10/09 - 2344/10/15"/>
          <s v="2344/10/16 - 2344/10/22"/>
          <s v="2344/10/23 - 2344/10/29"/>
          <s v="2344/10/30 - 2344/11/05"/>
          <s v="2344/11/06 - 2344/11/12"/>
          <s v="2344/11/13 - 2344/11/19"/>
          <s v="2344/11/20 - 2344/11/26"/>
          <s v="2344/11/27 - 2344/12/03"/>
          <s v="2344/12/04 - 2344/12/10"/>
          <s v="2344/12/11 - 2344/12/17"/>
          <s v="2344/12/18 - 2344/12/24"/>
          <s v="2344/12/25 - 2344/12/31"/>
          <s v="2345/01/01 - 2345/01/07"/>
          <s v="2345/01/08 - 2345/01/14"/>
          <s v="2345/01/15 - 2345/01/21"/>
          <s v="2345/01/22 - 2345/01/28"/>
          <s v="2345/01/29 - 2345/02/04"/>
          <s v="2345/02/05 - 2345/02/11"/>
          <s v="2345/02/12 - 2345/02/18"/>
          <s v="2345/02/19 - 2345/02/25"/>
          <s v="2345/02/26 - 2345/03/04"/>
          <s v="2345/03/05 - 2345/03/11"/>
          <s v="2345/03/12 - 2345/03/18"/>
          <s v="2345/03/19 - 2345/03/25"/>
          <s v="2345/03/26 - 2345/04/01"/>
          <s v="2345/04/02 - 2345/04/08"/>
          <s v="2345/04/09 - 2345/04/15"/>
          <s v="2345/04/16 - 2345/04/22"/>
          <s v="2345/04/23 - 2345/04/29"/>
          <s v="2345/04/30 - 2345/05/06"/>
          <s v="2345/05/07 - 2345/05/13"/>
          <s v="2345/05/14 - 2345/05/20"/>
          <s v="2345/05/21 - 2345/05/27"/>
          <s v="2345/05/28 - 2345/06/03"/>
          <s v="2345/06/04 - 2345/06/10"/>
          <s v="2345/06/11 - 2345/06/17"/>
          <s v="2345/06/18 - 2345/06/24"/>
          <s v="2345/06/25 - 2345/07/01"/>
          <s v="2345/07/02 - 2345/07/08"/>
          <s v="2345/07/09 - 2345/07/15"/>
          <s v="2345/07/16 - 2345/07/22"/>
          <s v="2345/07/23 - 2345/07/29"/>
          <s v="2345/07/30 - 2345/08/05"/>
          <s v="2345/08/06 - 2345/08/12"/>
          <s v="2345/08/13 - 2345/08/19"/>
          <s v="2345/08/20 - 2345/08/26"/>
          <s v="2345/08/27 - 2345/09/02"/>
          <s v="2345/09/03 - 2345/09/09"/>
          <s v="2345/09/10 - 2345/09/16"/>
          <s v="2345/09/17 - 2345/09/23"/>
          <s v="2345/09/24 - 2345/09/30"/>
          <s v="2345/10/01 - 2345/10/07"/>
          <s v="2345/10/08 - 2345/10/14"/>
          <s v="2345/10/15 - 2345/10/21"/>
          <s v="2345/10/22 - 2345/10/28"/>
          <s v="2345/10/29 - 2345/11/04"/>
          <s v="2345/11/05 - 2345/11/11"/>
          <s v="2345/11/12 - 2345/11/18"/>
          <s v="2345/11/19 - 2345/11/25"/>
          <s v="2345/11/26 - 2345/12/02"/>
          <s v="2345/12/03 - 2345/12/09"/>
          <s v="2345/12/10 - 2345/12/16"/>
          <s v="2345/12/17 - 2345/12/23"/>
          <s v="2345/12/24 - 2345/12/30"/>
          <s v="2345/12/31 - 2346/01/06"/>
          <s v="2346/01/07 - 2346/01/13"/>
          <s v="2346/01/14 - 2346/01/20"/>
          <s v="2346/01/21 - 2346/01/27"/>
          <s v="2346/01/28 - 2346/02/03"/>
          <s v="2346/02/04 - 2346/02/10"/>
          <s v="2346/02/11 - 2346/02/17"/>
          <s v="2346/02/18 - 2346/02/24"/>
          <s v="2346/02/25 - 2346/03/03"/>
          <s v="2346/03/04 - 2346/03/10"/>
          <s v="2346/03/11 - 2346/03/17"/>
          <s v="2346/03/18 - 2346/03/24"/>
          <s v="2346/03/25 - 2346/03/31"/>
          <s v="2346/04/01 - 2346/04/07"/>
          <s v="2346/04/08 - 2346/04/14"/>
          <s v="2346/04/15 - 2346/04/21"/>
          <s v="2346/04/22 - 2346/04/28"/>
          <s v="2346/04/29 - 2346/05/05"/>
          <s v="2346/05/06 - 2346/05/12"/>
          <s v="2346/05/13 - 2346/05/19"/>
          <s v="2346/05/20 - 2346/05/26"/>
          <s v="2346/05/27 - 2346/06/02"/>
          <s v="2346/06/03 - 2346/06/09"/>
          <s v="2346/06/10 - 2346/06/16"/>
          <s v="2346/06/17 - 2346/06/23"/>
          <s v="2346/06/24 - 2346/06/30"/>
          <s v="2346/07/01 - 2346/07/07"/>
          <s v="2346/07/08 - 2346/07/14"/>
          <s v="2346/07/15 - 2346/07/21"/>
          <s v="2346/07/22 - 2346/07/28"/>
          <s v="2346/07/29 - 2346/08/04"/>
          <s v="2346/08/05 - 2346/08/11"/>
          <s v="2346/08/12 - 2346/08/18"/>
          <s v="2346/08/19 - 2346/08/25"/>
          <s v="2346/08/26 - 2346/09/01"/>
          <s v="2346/09/02 - 2346/09/08"/>
          <s v="2346/09/09 - 2346/09/15"/>
          <s v="2346/09/16 - 2346/09/22"/>
          <s v="2346/09/23 - 2346/09/29"/>
          <s v="2346/09/30 - 2346/10/06"/>
          <s v="2346/10/07 - 2346/10/13"/>
          <s v="2346/10/14 - 2346/10/20"/>
          <s v="2346/10/21 - 2346/10/27"/>
          <s v="2346/10/28 - 2346/11/03"/>
          <s v="2346/11/04 - 2346/11/10"/>
          <s v="2346/11/11 - 2346/11/17"/>
          <s v="2346/11/18 - 2346/11/24"/>
          <s v="2346/11/25 - 2346/12/01"/>
          <s v="2346/12/02 - 2346/12/08"/>
          <s v="2346/12/09 - 2346/12/15"/>
          <s v="2346/12/16 - 2346/12/22"/>
          <s v="2346/12/23 - 2346/12/29"/>
          <s v="2346/12/30 - 2347/01/05"/>
          <s v="2347/01/06 - 2347/01/12"/>
          <s v="2347/01/13 - 2347/01/19"/>
          <s v="2347/01/20 - 2347/01/26"/>
          <s v="2347/01/27 - 2347/02/02"/>
          <s v="2347/02/03 - 2347/02/09"/>
          <s v="2347/02/10 - 2347/02/16"/>
          <s v="2347/02/17 - 2347/02/23"/>
          <s v="2347/02/24 - 2347/03/02"/>
          <s v="2347/03/03 - 2347/03/09"/>
          <s v="2347/03/10 - 2347/03/16"/>
          <s v="2347/03/17 - 2347/03/23"/>
          <s v="2347/03/24 - 2347/03/30"/>
          <s v="2347/03/31 - 2347/04/06"/>
          <s v="2347/04/07 - 2347/04/13"/>
          <s v="2347/04/14 - 2347/04/20"/>
          <s v="2347/04/21 - 2347/04/27"/>
          <s v="2347/04/28 - 2347/05/04"/>
          <s v="2347/05/05 - 2347/05/11"/>
          <s v="2347/05/12 - 2347/05/18"/>
          <s v="2347/05/19 - 2347/05/25"/>
          <s v="2347/05/26 - 2347/06/01"/>
          <s v="2347/06/02 - 2347/06/08"/>
          <s v="2347/06/09 - 2347/06/15"/>
          <s v="2347/06/16 - 2347/06/22"/>
          <s v="2347/06/23 - 2347/06/29"/>
          <s v="2347/06/30 - 2347/07/06"/>
          <s v="2347/07/07 - 2347/07/13"/>
          <s v="2347/07/14 - 2347/07/20"/>
          <s v="2347/07/21 - 2347/07/27"/>
          <s v="2347/07/28 - 2347/08/03"/>
          <s v="2347/08/04 - 2347/08/10"/>
          <s v="2347/08/11 - 2347/08/17"/>
          <s v="2347/08/18 - 2347/08/24"/>
          <s v="2347/08/25 - 2347/08/31"/>
          <s v="2347/09/01 - 2347/09/07"/>
          <s v="2347/09/08 - 2347/09/14"/>
          <s v="2347/09/15 - 2347/09/21"/>
          <s v="2347/09/22 - 2347/09/28"/>
          <s v="2347/09/29 - 2347/10/05"/>
          <s v="2347/10/06 - 2347/10/12"/>
          <s v="2347/10/13 - 2347/10/19"/>
          <s v="2347/10/20 - 2347/10/26"/>
          <s v="2347/10/27 - 2347/11/02"/>
          <s v="2347/11/03 - 2347/11/09"/>
          <s v="2347/11/10 - 2347/11/16"/>
          <s v="2347/11/17 - 2347/11/23"/>
          <s v="2347/11/24 - 2347/11/30"/>
          <s v="2347/12/01 - 2347/12/07"/>
          <s v="2347/12/08 - 2347/12/14"/>
          <s v="2347/12/15 - 2347/12/21"/>
          <s v="2347/12/22 - 2347/12/28"/>
          <s v="2347/12/29 - 2348/01/04"/>
          <s v="2348/01/05 - 2348/01/11"/>
          <s v="2348/01/12 - 2348/01/18"/>
          <s v="2348/01/19 - 2348/01/25"/>
          <s v="2348/01/26 - 2348/02/01"/>
          <s v="2348/02/02 - 2348/02/08"/>
          <s v="2348/02/09 - 2348/02/15"/>
          <s v="2348/02/16 - 2348/02/22"/>
          <s v="2348/02/23 - 2348/02/29"/>
          <s v="2348/03/01 - 2348/03/07"/>
          <s v="2348/03/08 - 2348/03/14"/>
          <s v="2348/03/15 - 2348/03/21"/>
          <s v="2348/03/22 - 2348/03/28"/>
          <s v="2348/03/29 - 2348/04/04"/>
          <s v="2348/04/05 - 2348/04/11"/>
          <s v="2348/04/12 - 2348/04/18"/>
          <s v="2348/04/19 - 2348/04/25"/>
          <s v="2348/04/26 - 2348/05/02"/>
          <s v="2348/05/03 - 2348/05/09"/>
          <s v="2348/05/10 - 2348/05/16"/>
          <s v="2348/05/17 - 2348/05/23"/>
          <s v="2348/05/24 - 2348/05/30"/>
          <s v="2348/05/31 - 2348/06/06"/>
          <s v="2348/06/07 - 2348/06/13"/>
          <s v="2348/06/14 - 2348/06/20"/>
          <s v="2348/06/21 - 2348/06/27"/>
          <s v="2348/06/28 - 2348/07/04"/>
          <s v="2348/07/05 - 2348/07/11"/>
          <s v="2348/07/12 - 2348/07/18"/>
          <s v="2348/07/19 - 2348/07/25"/>
          <s v="2348/07/26 - 2348/08/01"/>
          <s v="2348/08/02 - 2348/08/08"/>
          <s v="2348/08/09 - 2348/08/15"/>
          <s v="2348/08/16 - 2348/08/22"/>
          <s v="2348/08/23 - 2348/08/29"/>
          <s v="2348/08/30 - 2348/09/05"/>
          <s v="2348/09/06 - 2348/09/12"/>
          <s v="2348/09/13 - 2348/09/19"/>
          <s v="2348/09/20 - 2348/09/26"/>
          <s v="2348/09/27 - 2348/10/03"/>
          <s v="2348/10/04 - 2348/10/10"/>
          <s v="2348/10/11 - 2348/10/17"/>
          <s v="2348/10/18 - 2348/10/24"/>
          <s v="2348/10/25 - 2348/10/31"/>
          <s v="2348/11/01 - 2348/11/07"/>
          <s v="2348/11/08 - 2348/11/14"/>
          <s v="2348/11/15 - 2348/11/21"/>
          <s v="2348/11/22 - 2348/11/28"/>
          <s v="2348/11/29 - 2348/12/05"/>
          <s v="2348/12/06 - 2348/12/12"/>
          <s v="2348/12/13 - 2348/12/19"/>
          <s v="2348/12/20 - 2348/12/26"/>
          <s v="2348/12/27 - 2349/01/02"/>
          <s v="2349/01/03 - 2349/01/09"/>
          <s v="2349/01/10 - 2349/01/16"/>
          <s v="2349/01/17 - 2349/01/23"/>
          <s v="2349/01/24 - 2349/01/30"/>
          <s v="2349/01/31 - 2349/02/06"/>
          <s v="2349/02/07 - 2349/02/13"/>
          <s v="2349/02/14 - 2349/02/20"/>
          <s v="2349/02/21 - 2349/02/27"/>
          <s v="2349/02/28 - 2349/03/06"/>
          <s v="2349/03/07 - 2349/03/13"/>
          <s v="2349/03/14 - 2349/03/20"/>
          <s v="2349/03/21 - 2349/03/27"/>
          <s v="2349/03/28 - 2349/04/03"/>
          <s v="2349/04/04 - 2349/04/10"/>
          <s v="2349/04/11 - 2349/04/17"/>
          <s v="2349/04/18 - 2349/04/24"/>
          <s v="2349/04/25 - 2349/05/01"/>
          <s v="2349/05/02 - 2349/05/08"/>
          <s v="2349/05/09 - 2349/05/15"/>
          <s v="2349/05/16 - 2349/05/22"/>
          <s v="2349/05/23 - 2349/05/29"/>
          <s v="2349/05/30 - 2349/06/05"/>
          <s v="2349/06/06 - 2349/06/12"/>
          <s v="2349/06/13 - 2349/06/19"/>
          <s v="2349/06/20 - 2349/06/26"/>
          <s v="2349/06/27 - 2349/07/03"/>
          <s v="2349/07/04 - 2349/07/10"/>
          <s v="2349/07/11 - 2349/07/17"/>
          <s v="2349/07/18 - 2349/07/24"/>
          <s v="2349/07/25 - 2349/07/31"/>
          <s v="2349/08/01 - 2349/08/07"/>
          <s v="2349/08/08 - 2349/08/14"/>
          <s v="2349/08/15 - 2349/08/21"/>
          <s v="2349/08/22 - 2349/08/28"/>
          <s v="2349/08/29 - 2349/09/04"/>
          <s v="2349/09/05 - 2349/09/11"/>
          <s v="2349/09/12 - 2349/09/18"/>
          <s v="2349/09/19 - 2349/09/25"/>
          <s v="2349/09/26 - 2349/10/02"/>
          <s v="2349/10/03 - 2349/10/09"/>
          <s v="2349/10/10 - 2349/10/16"/>
          <s v="2349/10/17 - 2349/10/23"/>
          <s v="2349/10/24 - 2349/10/30"/>
          <s v="2349/10/31 - 2349/11/06"/>
          <s v="2349/11/07 - 2349/11/13"/>
          <s v="2349/11/14 - 2349/11/20"/>
          <s v="2349/11/21 - 2349/11/27"/>
          <s v="2349/11/28 - 2349/12/04"/>
          <s v="2349/12/05 - 2349/12/11"/>
          <s v="2349/12/12 - 2349/12/18"/>
          <s v="2349/12/19 - 2349/12/25"/>
          <s v="2349/12/26 - 2350/01/01"/>
          <s v="2350/01/02 - 2350/01/08"/>
          <s v="2350/01/09 - 2350/01/15"/>
          <s v="2350/01/16 - 2350/01/22"/>
          <s v="2350/01/23 - 2350/01/29"/>
          <s v="2350/01/30 - 2350/02/05"/>
          <s v="2350/02/06 - 2350/02/12"/>
          <s v="2350/02/13 - 2350/02/19"/>
          <s v="2350/02/20 - 2350/02/26"/>
          <s v="2350/02/27 - 2350/03/05"/>
          <s v="2350/03/06 - 2350/03/12"/>
          <s v="2350/03/13 - 2350/03/19"/>
          <s v="2350/03/20 - 2350/03/26"/>
          <s v="2350/03/27 - 2350/04/02"/>
          <s v="2350/04/03 - 2350/04/09"/>
          <s v="2350/04/10 - 2350/04/16"/>
          <s v="2350/04/17 - 2350/04/23"/>
          <s v="2350/04/24 - 2350/04/30"/>
          <s v="2350/05/01 - 2350/05/07"/>
          <s v="2350/05/08 - 2350/05/14"/>
          <s v="2350/05/15 - 2350/05/21"/>
          <s v="2350/05/22 - 2350/05/28"/>
          <s v="2350/05/29 - 2350/06/04"/>
          <s v="2350/06/05 - 2350/06/11"/>
          <s v="2350/06/12 - 2350/06/18"/>
          <s v="2350/06/19 - 2350/06/25"/>
          <s v="2350/06/26 - 2350/07/02"/>
          <s v="2350/07/03 - 2350/07/09"/>
          <s v="2350/07/10 - 2350/07/16"/>
          <s v="2350/07/17 - 2350/07/23"/>
          <s v="2350/07/24 - 2350/07/30"/>
          <s v="2350/07/31 - 2350/08/06"/>
          <s v="2350/08/07 - 2350/08/13"/>
          <s v="2350/08/14 - 2350/08/20"/>
          <s v="2350/08/21 - 2350/08/27"/>
          <s v="2350/08/28 - 2350/09/03"/>
          <s v="2350/09/04 - 2350/09/10"/>
          <s v="2350/09/11 - 2350/09/17"/>
          <s v="2350/09/18 - 2350/09/24"/>
          <s v="2350/09/25 - 2350/10/01"/>
          <s v="2350/10/02 - 2350/10/08"/>
          <s v="2350/10/09 - 2350/10/15"/>
          <s v="2350/10/16 - 2350/10/22"/>
          <s v="2350/10/23 - 2350/10/29"/>
          <s v="2350/10/30 - 2350/11/05"/>
          <s v="2350/11/06 - 2350/11/12"/>
          <s v="2350/11/13 - 2350/11/19"/>
          <s v="2350/11/20 - 2350/11/26"/>
          <s v="2350/11/27 - 2350/12/03"/>
          <s v="2350/12/04 - 2350/12/10"/>
          <s v="2350/12/11 - 2350/12/17"/>
          <s v="2350/12/18 - 2350/12/24"/>
          <s v="2350/12/25 - 2350/12/31"/>
          <s v="2351/01/01 - 2351/01/07"/>
          <s v="2351/01/08 - 2351/01/14"/>
          <s v="2351/01/15 - 2351/01/21"/>
          <s v="2351/01/22 - 2351/01/28"/>
          <s v="2351/01/29 - 2351/02/04"/>
          <s v="2351/02/05 - 2351/02/11"/>
          <s v="2351/02/12 - 2351/02/18"/>
          <s v="2351/02/19 - 2351/02/25"/>
          <s v="2351/02/26 - 2351/03/04"/>
          <s v="2351/03/05 - 2351/03/11"/>
          <s v="2351/03/12 - 2351/03/18"/>
          <s v="2351/03/19 - 2351/03/25"/>
          <s v="2351/03/26 - 2351/04/01"/>
          <s v="2351/04/02 - 2351/04/08"/>
          <s v="2351/04/09 - 2351/04/15"/>
          <s v="2351/04/16 - 2351/04/22"/>
          <s v="2351/04/23 - 2351/04/29"/>
          <s v="2351/04/30 - 2351/05/06"/>
          <s v="2351/05/07 - 2351/05/13"/>
          <s v="2351/05/14 - 2351/05/20"/>
          <s v="2351/05/21 - 2351/05/27"/>
          <s v="2351/05/28 - 2351/06/03"/>
          <s v="2351/06/04 - 2351/06/10"/>
          <s v="2351/06/11 - 2351/06/17"/>
          <s v="2351/06/18 - 2351/06/24"/>
          <s v="2351/06/25 - 2351/07/01"/>
          <s v="2351/07/02 - 2351/07/08"/>
          <s v="2351/07/09 - 2351/07/15"/>
          <s v="2351/07/16 - 2351/07/22"/>
          <s v="2351/07/23 - 2351/07/29"/>
          <s v="2351/07/30 - 2351/08/05"/>
          <s v="2351/08/06 - 2351/08/12"/>
          <s v="2351/08/13 - 2351/08/19"/>
          <s v="2351/08/20 - 2351/08/26"/>
          <s v="2351/08/27 - 2351/09/02"/>
          <s v="2351/09/03 - 2351/09/09"/>
          <s v="2351/09/10 - 2351/09/16"/>
          <s v="2351/09/17 - 2351/09/23"/>
          <s v="2351/09/24 - 2351/09/30"/>
          <s v="2351/10/01 - 2351/10/07"/>
          <s v="2351/10/08 - 2351/10/14"/>
          <s v="2351/10/15 - 2351/10/21"/>
          <s v="2351/10/22 - 2351/10/28"/>
          <s v="2351/10/29 - 2351/11/04"/>
          <s v="2351/11/05 - 2351/11/11"/>
          <s v="2351/11/12 - 2351/11/18"/>
          <s v="2351/11/19 - 2351/11/25"/>
          <s v="2351/11/26 - 2351/12/02"/>
          <s v="2351/12/03 - 2351/12/09"/>
          <s v="2351/12/10 - 2351/12/16"/>
          <s v="2351/12/17 - 2351/12/23"/>
          <s v="2351/12/24 - 2351/12/30"/>
          <s v="2351/12/31 - 2352/01/06"/>
          <s v="2352/01/07 - 2352/01/13"/>
          <s v="2352/01/14 - 2352/01/20"/>
          <s v="2352/01/21 - 2352/01/27"/>
          <s v="2352/01/28 - 2352/02/03"/>
          <s v="2352/02/04 - 2352/02/10"/>
          <s v="2352/02/11 - 2352/02/17"/>
          <s v="2352/02/18 - 2352/02/24"/>
          <s v="2352/02/25 - 2352/03/02"/>
          <s v="2352/03/03 - 2352/03/09"/>
          <s v="2352/03/10 - 2352/03/16"/>
          <s v="2352/03/17 - 2352/03/23"/>
          <s v="2352/03/24 - 2352/03/30"/>
          <s v="2352/03/31 - 2352/04/06"/>
          <s v="2352/04/07 - 2352/04/13"/>
          <s v="2352/04/14 - 2352/04/20"/>
          <s v="2352/04/21 - 2352/04/27"/>
          <s v="2352/04/28 - 2352/05/04"/>
          <s v="2352/05/05 - 2352/05/11"/>
          <s v="2352/05/12 - 2352/05/18"/>
          <s v="2352/05/19 - 2352/05/25"/>
          <s v="2352/05/26 - 2352/06/01"/>
          <s v="2352/06/02 - 2352/06/08"/>
          <s v="2352/06/09 - 2352/06/15"/>
          <s v="2352/06/16 - 2352/06/22"/>
          <s v="2352/06/23 - 2352/06/29"/>
          <s v="2352/06/30 - 2352/07/06"/>
          <s v="2352/07/07 - 2352/07/13"/>
          <s v="2352/07/14 - 2352/07/20"/>
          <s v="2352/07/21 - 2352/07/27"/>
          <s v="2352/07/28 - 2352/08/03"/>
          <s v="2352/08/04 - 2352/08/10"/>
          <s v="2352/08/11 - 2352/08/17"/>
          <s v="2352/08/18 - 2352/08/24"/>
          <s v="2352/08/25 - 2352/08/31"/>
          <s v="2352/09/01 - 2352/09/07"/>
          <s v="2352/09/08 - 2352/09/14"/>
          <s v="2352/09/15 - 2352/09/21"/>
          <s v="2352/09/22 - 2352/09/28"/>
          <s v="2352/09/29 - 2352/10/05"/>
          <s v="2352/10/06 - 2352/10/12"/>
          <s v="2352/10/13 - 2352/10/19"/>
          <s v="2352/10/20 - 2352/10/26"/>
          <s v="2352/10/27 - 2352/11/02"/>
          <s v="2352/11/03 - 2352/11/09"/>
          <s v="2352/11/10 - 2352/11/16"/>
          <s v="2352/11/17 - 2352/11/23"/>
          <s v="2352/11/24 - 2352/11/30"/>
          <s v="2352/12/01 - 2352/12/07"/>
          <s v="2352/12/08 - 2352/12/14"/>
          <s v="2352/12/15 - 2352/12/21"/>
          <s v="2352/12/22 - 2352/12/28"/>
          <s v="2352/12/29 - 2353/01/04"/>
          <s v="2353/01/05 - 2353/01/11"/>
          <s v="2353/01/12 - 2353/01/18"/>
          <s v="2353/01/19 - 2353/01/25"/>
          <s v="2353/01/26 - 2353/02/01"/>
          <s v="2353/02/02 - 2353/02/08"/>
          <s v="2353/02/09 - 2353/02/15"/>
          <s v="2353/02/16 - 2353/02/22"/>
          <s v="2353/02/23 - 2353/03/01"/>
          <s v="2353/03/02 - 2353/03/08"/>
          <s v="2353/03/09 - 2353/03/15"/>
          <s v="2353/03/16 - 2353/03/22"/>
          <s v="2353/03/23 - 2353/03/29"/>
          <s v="2353/03/30 - 2353/04/05"/>
          <s v="2353/04/06 - 2353/04/12"/>
          <s v="2353/04/13 - 2353/04/19"/>
          <s v="2353/04/20 - 2353/04/26"/>
          <s v="2353/04/27 - 2353/05/03"/>
          <s v="2353/05/04 - 2353/05/10"/>
          <s v="2353/05/11 - 2353/05/17"/>
          <s v="2353/05/18 - 2353/05/24"/>
          <s v="2353/05/25 - 2353/05/31"/>
          <s v="2353/06/01 - 2353/06/07"/>
          <s v="2353/06/08 - 2353/06/14"/>
          <s v="2353/06/15 - 2353/06/21"/>
          <s v="2353/06/22 - 2353/06/28"/>
          <s v="2353/06/29 - 2353/07/05"/>
          <s v="2353/07/06 - 2353/07/12"/>
          <s v="2353/07/13 - 2353/07/19"/>
          <s v="2353/07/20 - 2353/07/26"/>
          <s v="2353/07/27 - 2353/08/02"/>
          <s v="2353/08/03 - 2353/08/09"/>
          <s v="2353/08/10 - 2353/08/16"/>
          <s v="2353/08/17 - 2353/08/23"/>
          <s v="2353/08/24 - 2353/08/30"/>
          <s v="2353/08/31 - 2353/09/06"/>
          <s v="2353/09/07 - 2353/09/13"/>
          <s v="2353/09/14 - 2353/09/20"/>
          <s v="2353/09/21 - 2353/09/27"/>
          <s v="2353/09/28 - 2353/10/04"/>
          <s v="2353/10/05 - 2353/10/11"/>
          <s v="2353/10/12 - 2353/10/18"/>
          <s v="2353/10/19 - 2353/10/25"/>
          <s v="2353/10/26 - 2353/11/01"/>
          <s v="2353/11/02 - 2353/11/08"/>
          <s v="2353/11/09 - 2353/11/15"/>
          <s v="2353/11/16 - 2353/11/22"/>
          <s v="2353/11/23 - 2353/11/29"/>
          <s v="2353/11/30 - 2353/12/06"/>
          <s v="2353/12/07 - 2353/12/13"/>
          <s v="2353/12/14 - 2353/12/20"/>
          <s v="2353/12/21 - 2353/12/27"/>
          <s v="2353/12/28 - 2354/01/03"/>
          <s v="2354/01/04 - 2354/01/10"/>
          <s v="2354/01/11 - 2354/01/17"/>
          <s v="2354/01/18 - 2354/01/24"/>
          <s v="2354/01/25 - 2354/01/31"/>
          <s v="2354/02/01 - 2354/02/07"/>
          <s v="2354/02/08 - 2354/02/14"/>
          <s v="2354/02/15 - 2354/02/21"/>
          <s v="2354/02/22 - 2354/02/28"/>
          <s v="2354/03/01 - 2354/03/07"/>
          <s v="2354/03/08 - 2354/03/14"/>
          <s v="2354/03/15 - 2354/03/21"/>
          <s v="2354/03/22 - 2354/03/28"/>
          <s v="2354/03/29 - 2354/04/04"/>
          <s v="2354/04/05 - 2354/04/11"/>
          <s v="2354/04/12 - 2354/04/18"/>
          <s v="2354/04/19 - 2354/04/25"/>
          <s v="2354/04/26 - 2354/05/02"/>
          <s v="2354/05/03 - 2354/05/09"/>
          <s v="2354/05/10 - 2354/05/16"/>
          <s v="2354/05/17 - 2354/05/23"/>
          <s v="2354/05/24 - 2354/05/30"/>
          <s v="2354/05/31 - 2354/06/06"/>
          <s v="2354/06/07 - 2354/06/13"/>
          <s v="2354/06/14 - 2354/06/20"/>
          <s v="2354/06/21 - 2354/06/27"/>
          <s v="2354/06/28 - 2354/07/04"/>
          <s v="2354/07/05 - 2354/07/11"/>
          <s v="2354/07/12 - 2354/07/18"/>
          <s v="2354/07/19 - 2354/07/25"/>
          <s v="2354/07/26 - 2354/08/01"/>
          <s v="2354/08/02 - 2354/08/08"/>
          <s v="2354/08/09 - 2354/08/15"/>
          <s v="2354/08/16 - 2354/08/22"/>
          <s v="2354/08/23 - 2354/08/29"/>
          <s v="2354/08/30 - 2354/09/05"/>
          <s v="2354/09/06 - 2354/09/12"/>
          <s v="2354/09/13 - 2354/09/19"/>
          <s v="2354/09/20 - 2354/09/26"/>
          <s v="2354/09/27 - 2354/10/03"/>
          <s v="2354/10/04 - 2354/10/10"/>
          <s v="2354/10/11 - 2354/10/17"/>
          <s v="2354/10/18 - 2354/10/24"/>
          <s v="2354/10/25 - 2354/10/31"/>
          <s v="2354/11/01 - 2354/11/07"/>
          <s v="2354/11/08 - 2354/11/14"/>
          <s v="2354/11/15 - 2354/11/21"/>
          <s v="2354/11/22 - 2354/11/28"/>
          <s v="2354/11/29 - 2354/12/05"/>
          <s v="2354/12/06 - 2354/12/12"/>
          <s v="2354/12/13 - 2354/12/19"/>
          <s v="2354/12/20 - 2354/12/26"/>
          <s v="2354/12/27 - 2355/01/02"/>
          <s v="2355/01/03 - 2355/01/09"/>
          <s v="2355/01/10 - 2355/01/16"/>
          <s v="2355/01/17 - 2355/01/23"/>
          <s v="2355/01/24 - 2355/01/30"/>
          <s v="2355/01/31 - 2355/02/06"/>
          <s v="2355/02/07 - 2355/02/13"/>
          <s v="2355/02/14 - 2355/02/20"/>
          <s v="2355/02/21 - 2355/02/27"/>
          <s v="2355/02/28 - 2355/03/06"/>
          <s v="2355/03/07 - 2355/03/13"/>
          <s v="2355/03/14 - 2355/03/20"/>
          <s v="2355/03/21 - 2355/03/27"/>
          <s v="2355/03/28 - 2355/04/03"/>
          <s v="2355/04/04 - 2355/04/10"/>
          <s v="2355/04/11 - 2355/04/17"/>
          <s v="2355/04/18 - 2355/04/24"/>
          <s v="2355/04/25 - 2355/05/01"/>
          <s v="2355/05/02 - 2355/05/08"/>
          <s v="2355/05/09 - 2355/05/15"/>
          <s v="2355/05/16 - 2355/05/22"/>
          <s v="2355/05/23 - 2355/05/29"/>
          <s v="2355/05/30 - 2355/06/05"/>
          <s v="2355/06/06 - 2355/06/12"/>
          <s v="2355/06/13 - 2355/06/19"/>
          <s v="2355/06/20 - 2355/06/26"/>
          <s v="2355/06/27 - 2355/07/03"/>
          <s v="2355/07/04 - 2355/07/10"/>
          <s v="2355/07/11 - 2355/07/17"/>
          <s v="2355/07/18 - 2355/07/24"/>
          <s v="2355/07/25 - 2355/07/31"/>
          <s v="2355/08/01 - 2355/08/07"/>
          <s v="2355/08/08 - 2355/08/14"/>
          <s v="2355/08/15 - 2355/08/21"/>
          <s v="2355/08/22 - 2355/08/28"/>
          <s v="2355/08/29 - 2355/09/04"/>
          <s v="2355/09/05 - 2355/09/11"/>
          <s v="2355/09/12 - 2355/09/18"/>
          <s v="2355/09/19 - 2355/09/25"/>
          <s v="2355/09/26 - 2355/10/02"/>
          <s v="2355/10/03 - 2355/10/09"/>
          <s v="2355/10/10 - 2355/10/16"/>
          <s v="2355/10/17 - 2355/10/23"/>
          <s v="2355/10/24 - 2355/10/30"/>
          <s v="2355/10/31 - 2355/11/06"/>
          <s v="2355/11/07 - 2355/11/13"/>
          <s v="2355/11/14 - 2355/11/20"/>
          <s v="2355/11/21 - 2355/11/27"/>
          <s v="2355/11/28 - 2355/12/04"/>
          <s v="2355/12/05 - 2355/12/11"/>
          <s v="2355/12/12 - 2355/12/18"/>
          <s v="2355/12/19 - 2355/12/25"/>
          <s v="2355/12/26 - 2356/01/01"/>
          <s v="2356/01/02 - 2356/01/08"/>
          <s v="2356/01/09 - 2356/01/15"/>
          <s v="2356/01/16 - 2356/01/22"/>
          <s v="2356/01/23 - 2356/01/29"/>
          <s v="2356/01/30 - 2356/02/05"/>
          <s v="2356/02/06 - 2356/02/12"/>
          <s v="2356/02/13 - 2356/02/19"/>
          <s v="2356/02/20 - 2356/02/26"/>
          <s v="2356/02/27 - 2356/03/04"/>
          <s v="2356/03/05 - 2356/03/11"/>
          <s v="2356/03/12 - 2356/03/18"/>
          <s v="2356/03/19 - 2356/03/25"/>
          <s v="2356/03/26 - 2356/04/01"/>
          <s v="2356/04/02 - 2356/04/08"/>
          <s v="2356/04/09 - 2356/04/15"/>
          <s v="2356/04/16 - 2356/04/22"/>
          <s v="2356/04/23 - 2356/04/29"/>
          <s v="2356/04/30 - 2356/05/06"/>
          <s v="2356/05/07 - 2356/05/13"/>
          <s v="2356/05/14 - 2356/05/20"/>
          <s v="2356/05/21 - 2356/05/27"/>
          <s v="2356/05/28 - 2356/06/03"/>
          <s v="2356/06/04 - 2356/06/10"/>
          <s v="2356/06/11 - 2356/06/17"/>
          <s v="2356/06/18 - 2356/06/24"/>
          <s v="2356/06/25 - 2356/07/01"/>
          <s v="2356/07/02 - 2356/07/08"/>
          <s v="2356/07/09 - 2356/07/15"/>
          <s v="2356/07/16 - 2356/07/22"/>
          <s v="2356/07/23 - 2356/07/29"/>
          <s v="2356/07/30 - 2356/08/05"/>
          <s v="2356/08/06 - 2356/08/12"/>
          <s v="2356/08/13 - 2356/08/19"/>
          <s v="2356/08/20 - 2356/08/26"/>
          <s v="2356/08/27 - 2356/09/02"/>
          <s v="2356/09/03 - 2356/09/09"/>
          <s v="2356/09/10 - 2356/09/16"/>
          <s v="2356/09/17 - 2356/09/23"/>
          <s v="2356/09/24 - 2356/09/30"/>
          <s v="2356/10/01 - 2356/10/07"/>
          <s v="2356/10/08 - 2356/10/14"/>
          <s v="2356/10/15 - 2356/10/21"/>
          <s v="2356/10/22 - 2356/10/28"/>
          <s v="2356/10/29 - 2356/11/04"/>
          <s v="2356/11/05 - 2356/11/11"/>
          <s v="2356/11/12 - 2356/11/18"/>
          <s v="2356/11/19 - 2356/11/25"/>
          <s v="2356/11/26 - 2356/12/02"/>
          <s v="2356/12/03 - 2356/12/09"/>
          <s v="2356/12/10 - 2356/12/16"/>
          <s v="2356/12/17 - 2356/12/23"/>
          <s v="2356/12/24 - 2356/12/30"/>
          <s v="2356/12/31 - 2357/01/06"/>
          <s v="2357/01/07 - 2357/01/13"/>
          <s v="2357/01/14 - 2357/01/20"/>
          <s v="2357/01/21 - 2357/01/27"/>
          <s v="2357/01/28 - 2357/02/03"/>
          <s v="2357/02/04 - 2357/02/10"/>
          <s v="2357/02/11 - 2357/02/17"/>
          <s v="2357/02/18 - 2357/02/24"/>
          <s v="2357/02/25 - 2357/03/03"/>
          <s v="2357/03/04 - 2357/03/10"/>
          <s v="2357/03/11 - 2357/03/17"/>
          <s v="2357/03/18 - 2357/03/24"/>
          <s v="2357/03/25 - 2357/03/31"/>
          <s v="2357/04/01 - 2357/04/07"/>
          <s v="2357/04/08 - 2357/04/14"/>
          <s v="2357/04/15 - 2357/04/21"/>
          <s v="2357/04/22 - 2357/04/28"/>
          <s v="2357/04/29 - 2357/05/05"/>
          <s v="2357/05/06 - 2357/05/12"/>
          <s v="2357/05/13 - 2357/05/19"/>
          <s v="2357/05/20 - 2357/05/26"/>
          <s v="2357/05/27 - 2357/06/02"/>
          <s v="2357/06/03 - 2357/06/09"/>
          <s v="2357/06/10 - 2357/06/16"/>
          <s v="2357/06/17 - 2357/06/23"/>
          <s v="2357/06/24 - 2357/06/30"/>
          <s v="2357/07/01 - 2357/07/07"/>
          <s v="2357/07/08 - 2357/07/14"/>
          <s v="2357/07/15 - 2357/07/21"/>
          <s v="2357/07/22 - 2357/07/28"/>
          <s v="2357/07/29 - 2357/08/04"/>
          <s v="2357/08/05 - 2357/08/11"/>
          <s v="2357/08/12 - 2357/08/18"/>
          <s v="2357/08/19 - 2357/08/25"/>
          <s v="2357/08/26 - 2357/09/01"/>
          <s v="2357/09/02 - 2357/09/08"/>
          <s v="2357/09/09 - 2357/09/15"/>
          <s v="2357/09/16 - 2357/09/22"/>
          <s v="2357/09/23 - 2357/09/29"/>
          <s v="2357/09/30 - 2357/10/06"/>
          <s v="2357/10/07 - 2357/10/13"/>
          <s v="2357/10/14 - 2357/10/20"/>
          <s v="2357/10/21 - 2357/10/27"/>
          <s v="2357/10/28 - 2357/11/03"/>
          <s v="2357/11/04 - 2357/11/10"/>
          <s v="2357/11/11 - 2357/11/17"/>
          <s v="2357/11/18 - 2357/11/24"/>
          <s v="2357/11/25 - 2357/12/01"/>
          <s v="2357/12/02 - 2357/12/08"/>
          <s v="2357/12/09 - 2357/12/15"/>
          <s v="2357/12/16 - 2357/12/22"/>
          <s v="2357/12/23 - 2357/12/29"/>
          <s v="2357/12/30 - 2358/01/05"/>
          <s v="2358/01/06 - 2358/01/12"/>
          <s v="2358/01/13 - 2358/01/19"/>
          <s v="2358/01/20 - 2358/01/26"/>
          <s v="2358/01/27 - 2358/02/02"/>
          <s v="2358/02/03 - 2358/02/09"/>
          <s v="2358/02/10 - 2358/02/16"/>
          <s v="2358/02/17 - 2358/02/23"/>
          <s v="2358/02/24 - 2358/03/02"/>
          <s v="2358/03/03 - 2358/03/09"/>
          <s v="2358/03/10 - 2358/03/16"/>
          <s v="2358/03/17 - 2358/03/23"/>
          <s v="2358/03/24 - 2358/03/30"/>
          <s v="2358/03/31 - 2358/04/06"/>
          <s v="2358/04/07 - 2358/04/13"/>
          <s v="2358/04/14 - 2358/04/20"/>
          <s v="2358/04/21 - 2358/04/27"/>
          <s v="2358/04/28 - 2358/05/04"/>
          <s v="2358/05/05 - 2358/05/11"/>
          <s v="2358/05/12 - 2358/05/18"/>
          <s v="2358/05/19 - 2358/05/25"/>
          <s v="2358/05/26 - 2358/06/01"/>
          <s v="2358/06/02 - 2358/06/08"/>
          <s v="2358/06/09 - 2358/06/15"/>
          <s v="2358/06/16 - 2358/06/22"/>
          <s v="2358/06/23 - 2358/06/29"/>
          <s v="2358/06/30 - 2358/07/06"/>
          <s v="2358/07/07 - 2358/07/13"/>
          <s v="2358/07/14 - 2358/07/20"/>
          <s v="2358/07/21 - 2358/07/27"/>
          <s v="2358/07/28 - 2358/08/03"/>
          <s v="2358/08/04 - 2358/08/10"/>
          <s v="2358/08/11 - 2358/08/17"/>
          <s v="2358/08/18 - 2358/08/24"/>
          <s v="2358/08/25 - 2358/08/31"/>
          <s v="2358/09/01 - 2358/09/07"/>
          <s v="2358/09/08 - 2358/09/14"/>
          <s v="2358/09/15 - 2358/09/21"/>
          <s v="2358/09/22 - 2358/09/28"/>
          <s v="2358/09/29 - 2358/10/05"/>
          <s v="2358/10/06 - 2358/10/12"/>
          <s v="2358/10/13 - 2358/10/19"/>
          <s v="2358/10/20 - 2358/10/26"/>
          <s v="2358/10/27 - 2358/11/02"/>
          <s v="2358/11/03 - 2358/11/09"/>
          <s v="2358/11/10 - 2358/11/16"/>
          <s v="2358/11/17 - 2358/11/23"/>
          <s v="2358/11/24 - 2358/11/30"/>
          <s v="2358/12/01 - 2358/12/07"/>
          <s v="2358/12/08 - 2358/12/14"/>
          <s v="2358/12/15 - 2358/12/21"/>
          <s v="2358/12/22 - 2358/12/28"/>
          <s v="2358/12/29 - 2359/01/04"/>
          <s v="2359/01/05 - 2359/01/11"/>
          <s v="2359/01/12 - 2359/01/18"/>
          <s v="2359/01/19 - 2359/01/25"/>
          <s v="2359/01/26 - 2359/02/01"/>
          <s v="2359/02/02 - 2359/02/08"/>
          <s v="2359/02/09 - 2359/02/15"/>
          <s v="2359/02/16 - 2359/02/22"/>
          <s v="2359/02/23 - 2359/03/01"/>
          <s v="2359/03/02 - 2359/03/08"/>
          <s v="2359/03/09 - 2359/03/15"/>
          <s v="2359/03/16 - 2359/03/22"/>
          <s v="2359/03/23 - 2359/03/29"/>
          <s v="2359/03/30 - 2359/04/05"/>
          <s v="2359/04/06 - 2359/04/12"/>
          <s v="2359/04/13 - 2359/04/19"/>
          <s v="2359/04/20 - 2359/04/26"/>
          <s v="2359/04/27 - 2359/05/03"/>
          <s v="2359/05/04 - 2359/05/10"/>
          <s v="2359/05/11 - 2359/05/17"/>
          <s v="2359/05/18 - 2359/05/24"/>
          <s v="2359/05/25 - 2359/05/31"/>
          <s v="2359/06/01 - 2359/06/07"/>
          <s v="2359/06/08 - 2359/06/14"/>
          <s v="2359/06/15 - 2359/06/21"/>
          <s v="2359/06/22 - 2359/06/28"/>
          <s v="2359/06/29 - 2359/07/05"/>
          <s v="2359/07/06 - 2359/07/12"/>
          <s v="2359/07/13 - 2359/07/19"/>
          <s v="2359/07/20 - 2359/07/26"/>
          <s v="2359/07/27 - 2359/08/02"/>
          <s v="2359/08/03 - 2359/08/09"/>
          <s v="2359/08/10 - 2359/08/16"/>
          <s v="2359/08/17 - 2359/08/23"/>
          <s v="2359/08/24 - 2359/08/30"/>
          <s v="2359/08/31 - 2359/09/06"/>
          <s v="2359/09/07 - 2359/09/13"/>
          <s v="2359/09/14 - 2359/09/20"/>
          <s v="2359/09/21 - 2359/09/27"/>
          <s v="2359/09/28 - 2359/10/04"/>
          <s v="2359/10/05 - 2359/10/11"/>
          <s v="2359/10/12 - 2359/10/18"/>
          <s v="2359/10/19 - 2359/10/25"/>
          <s v="2359/10/26 - 2359/11/01"/>
          <s v="2359/11/02 - 2359/11/08"/>
          <s v="2359/11/09 - 2359/11/15"/>
          <s v="2359/11/16 - 2359/11/22"/>
          <s v="2359/11/23 - 2359/11/29"/>
          <s v="2359/11/30 - 2359/12/06"/>
          <s v="2359/12/07 - 2359/12/13"/>
          <s v="2359/12/14 - 2359/12/20"/>
          <s v="2359/12/21 - 2359/12/27"/>
          <s v="2359/12/28 - 2360/01/03"/>
          <s v="2360/01/04 - 2360/01/10"/>
          <s v="2360/01/11 - 2360/01/17"/>
          <s v="2360/01/18 - 2360/01/24"/>
          <s v="2360/01/25 - 2360/01/31"/>
          <s v="2360/02/01 - 2360/02/07"/>
          <s v="2360/02/08 - 2360/02/14"/>
          <s v="2360/02/15 - 2360/02/21"/>
          <s v="2360/02/22 - 2360/02/28"/>
          <s v="2360/02/29 - 2360/03/06"/>
          <s v="2360/03/07 - 2360/03/13"/>
          <s v="2360/03/14 - 2360/03/20"/>
          <s v="2360/03/21 - 2360/03/27"/>
          <s v="2360/03/28 - 2360/04/03"/>
          <s v="2360/04/04 - 2360/04/10"/>
          <s v="2360/04/11 - 2360/04/17"/>
          <s v="2360/04/18 - 2360/04/24"/>
          <s v="2360/04/25 - 2360/05/01"/>
          <s v="2360/05/02 - 2360/05/08"/>
          <s v="2360/05/09 - 2360/05/15"/>
          <s v="2360/05/16 - 2360/05/22"/>
          <s v="2360/05/23 - 2360/05/29"/>
          <s v="2360/05/30 - 2360/06/05"/>
          <s v="2360/06/06 - 2360/06/12"/>
          <s v="2360/06/13 - 2360/06/19"/>
          <s v="2360/06/20 - 2360/06/26"/>
          <s v="2360/06/27 - 2360/07/03"/>
          <s v="2360/07/04 - 2360/07/10"/>
          <s v="2360/07/11 - 2360/07/17"/>
          <s v="2360/07/18 - 2360/07/24"/>
          <s v="2360/07/25 - 2360/07/31"/>
          <s v="2360/08/01 - 2360/08/07"/>
          <s v="2360/08/08 - 2360/08/14"/>
          <s v="2360/08/15 - 2360/08/21"/>
          <s v="2360/08/22 - 2360/08/28"/>
          <s v="2360/08/29 - 2360/09/04"/>
          <s v="2360/09/05 - 2360/09/11"/>
          <s v="2360/09/12 - 2360/09/18"/>
          <s v="2360/09/19 - 2360/09/25"/>
          <s v="2360/09/26 - 2360/10/02"/>
          <s v="2360/10/03 - 2360/10/09"/>
          <s v="2360/10/10 - 2360/10/16"/>
          <s v="2360/10/17 - 2360/10/23"/>
          <s v="2360/10/24 - 2360/10/30"/>
          <s v="2360/10/31 - 2360/11/06"/>
          <s v="2360/11/07 - 2360/11/13"/>
          <s v="2360/11/14 - 2360/11/20"/>
          <s v="2360/11/21 - 2360/11/27"/>
          <s v="2360/11/28 - 2360/12/04"/>
          <s v="2360/12/05 - 2360/12/11"/>
          <s v="2360/12/12 - 2360/12/18"/>
          <s v="2360/12/19 - 2360/12/25"/>
          <s v="2360/12/26 - 2361/01/01"/>
          <s v="2361/01/02 - 2361/01/08"/>
          <s v="2361/01/09 - 2361/01/15"/>
          <s v="2361/01/16 - 2361/01/22"/>
          <s v="2361/01/23 - 2361/01/29"/>
          <s v="2361/01/30 - 2361/02/05"/>
          <s v="2361/02/06 - 2361/02/12"/>
          <s v="2361/02/13 - 2361/02/19"/>
          <s v="2361/02/20 - 2361/02/26"/>
          <s v="2361/02/27 - 2361/03/05"/>
          <s v="2361/03/06 - 2361/03/12"/>
          <s v="2361/03/13 - 2361/03/19"/>
          <s v="2361/03/20 - 2361/03/26"/>
          <s v="2361/03/27 - 2361/04/02"/>
          <s v="2361/04/03 - 2361/04/09"/>
          <s v="2361/04/10 - 2361/04/16"/>
          <s v="2361/04/17 - 2361/04/23"/>
          <s v="2361/04/24 - 2361/04/30"/>
          <s v="2361/05/01 - 2361/05/07"/>
          <s v="2361/05/08 - 2361/05/14"/>
          <s v="2361/05/15 - 2361/05/21"/>
          <s v="2361/05/22 - 2361/05/28"/>
          <s v="2361/05/29 - 2361/06/04"/>
          <s v="2361/06/05 - 2361/06/11"/>
          <s v="2361/06/12 - 2361/06/18"/>
          <s v="2361/06/19 - 2361/06/25"/>
          <s v="2361/06/26 - 2361/07/02"/>
          <s v="2361/07/03 - 2361/07/09"/>
          <s v="2361/07/10 - 2361/07/16"/>
          <s v="2361/07/17 - 2361/07/23"/>
          <s v="2361/07/24 - 2361/07/30"/>
          <s v="2361/07/31 - 2361/08/06"/>
          <s v="2361/08/07 - 2361/08/13"/>
          <s v="2361/08/14 - 2361/08/20"/>
          <s v="2361/08/21 - 2361/08/27"/>
          <s v="2361/08/28 - 2361/09/03"/>
          <s v="2361/09/04 - 2361/09/10"/>
          <s v="2361/09/11 - 2361/09/17"/>
          <s v="2361/09/18 - 2361/09/24"/>
          <s v="2361/09/25 - 2361/10/01"/>
          <s v="2361/10/02 - 2361/10/08"/>
          <s v="2361/10/09 - 2361/10/15"/>
          <s v="2361/10/16 - 2361/10/22"/>
          <s v="2361/10/23 - 2361/10/29"/>
          <s v="2361/10/30 - 2361/11/05"/>
          <s v="2361/11/06 - 2361/11/12"/>
          <s v="2361/11/13 - 2361/11/19"/>
          <s v="2361/11/20 - 2361/11/26"/>
          <s v="2361/11/27 - 2361/12/03"/>
          <s v="2361/12/04 - 2361/12/10"/>
          <s v="2361/12/11 - 2361/12/17"/>
          <s v="2361/12/18 - 2361/12/24"/>
          <s v="2361/12/25 - 2361/12/31"/>
          <s v="2362/01/01 - 2362/01/07"/>
          <s v="2362/01/08 - 2362/01/14"/>
          <s v="2362/01/15 - 2362/01/21"/>
          <s v="2362/01/22 - 2362/01/28"/>
          <s v="2362/01/29 - 2362/02/04"/>
          <s v="2362/02/05 - 2362/02/11"/>
          <s v="2362/02/12 - 2362/02/18"/>
          <s v="2362/02/19 - 2362/02/25"/>
          <s v="2362/02/26 - 2362/03/04"/>
          <s v="2362/03/05 - 2362/03/11"/>
          <s v="2362/03/12 - 2362/03/18"/>
          <s v="2362/03/19 - 2362/03/25"/>
          <s v="2362/03/26 - 2362/04/01"/>
          <s v="2362/04/02 - 2362/04/08"/>
          <s v="2362/04/09 - 2362/04/15"/>
          <s v="2362/04/16 - 2362/04/22"/>
          <s v="2362/04/23 - 2362/04/29"/>
          <s v="2362/04/30 - 2362/05/06"/>
          <s v="2362/05/07 - 2362/05/13"/>
          <s v="2362/05/14 - 2362/05/20"/>
          <s v="2362/05/21 - 2362/05/27"/>
          <s v="2362/05/28 - 2362/06/03"/>
          <s v="2362/06/04 - 2362/06/10"/>
          <s v="2362/06/11 - 2362/06/17"/>
          <s v="2362/06/18 - 2362/06/24"/>
          <s v="2362/06/25 - 2362/07/01"/>
          <s v="2362/07/02 - 2362/07/08"/>
          <s v="2362/07/09 - 2362/07/15"/>
          <s v="2362/07/16 - 2362/07/22"/>
          <s v="2362/07/23 - 2362/07/29"/>
          <s v="2362/07/30 - 2362/08/05"/>
          <s v="2362/08/06 - 2362/08/12"/>
          <s v="2362/08/13 - 2362/08/19"/>
          <s v="2362/08/20 - 2362/08/26"/>
          <s v="2362/08/27 - 2362/09/02"/>
          <s v="2362/09/03 - 2362/09/09"/>
          <s v="2362/09/10 - 2362/09/16"/>
          <s v="2362/09/17 - 2362/09/23"/>
          <s v="2362/09/24 - 2362/09/30"/>
          <s v="2362/10/01 - 2362/10/07"/>
          <s v="2362/10/08 - 2362/10/14"/>
          <s v="2362/10/15 - 2362/10/21"/>
          <s v="2362/10/22 - 2362/10/28"/>
          <s v="2362/10/29 - 2362/11/04"/>
          <s v="2362/11/05 - 2362/11/11"/>
          <s v="2362/11/12 - 2362/11/18"/>
          <s v="2362/11/19 - 2362/11/25"/>
          <s v="2362/11/26 - 2362/12/02"/>
          <s v="2362/12/03 - 2362/12/09"/>
          <s v="2362/12/10 - 2362/12/16"/>
          <s v="2362/12/17 - 2362/12/23"/>
          <s v="2362/12/24 - 2362/12/30"/>
          <s v="2362/12/31 - 2363/01/06"/>
          <s v="2363/01/07 - 2363/01/13"/>
          <s v="2363/01/14 - 2363/01/20"/>
          <s v="2363/01/21 - 2363/01/27"/>
          <s v="2363/01/28 - 2363/02/03"/>
          <s v="2363/02/04 - 2363/02/10"/>
          <s v="2363/02/11 - 2363/02/17"/>
          <s v="2363/02/18 - 2363/02/24"/>
          <s v="2363/02/25 - 2363/03/03"/>
          <s v="2363/03/04 - 2363/03/10"/>
          <s v="2363/03/11 - 2363/03/17"/>
          <s v="2363/03/18 - 2363/03/24"/>
          <s v="2363/03/25 - 2363/03/31"/>
          <s v="2363/04/01 - 2363/04/07"/>
          <s v="2363/04/08 - 2363/04/14"/>
          <s v="2363/04/15 - 2363/04/21"/>
          <s v="2363/04/22 - 2363/04/28"/>
          <s v="2363/04/29 - 2363/05/05"/>
          <s v="2363/05/06 - 2363/05/12"/>
          <s v="2363/05/13 - 2363/05/19"/>
          <s v="2363/05/20 - 2363/05/26"/>
          <s v="2363/05/27 - 2363/06/02"/>
          <s v="2363/06/03 - 2363/06/09"/>
          <s v="2363/06/10 - 2363/06/16"/>
          <s v="2363/06/17 - 2363/06/23"/>
          <s v="2363/06/24 - 2363/06/30"/>
          <s v="2363/07/01 - 2363/07/07"/>
          <s v="2363/07/08 - 2363/07/14"/>
          <s v="2363/07/15 - 2363/07/21"/>
          <s v="2363/07/22 - 2363/07/28"/>
          <s v="2363/07/29 - 2363/08/04"/>
          <s v="2363/08/05 - 2363/08/11"/>
          <s v="2363/08/12 - 2363/08/18"/>
          <s v="2363/08/19 - 2363/08/25"/>
          <s v="2363/08/26 - 2363/09/01"/>
          <s v="2363/09/02 - 2363/09/08"/>
          <s v="2363/09/09 - 2363/09/15"/>
          <s v="2363/09/16 - 2363/09/22"/>
          <s v="2363/09/23 - 2363/09/29"/>
          <s v="2363/09/30 - 2363/10/06"/>
          <s v="2363/10/07 - 2363/10/13"/>
          <s v="2363/10/14 - 2363/10/20"/>
          <s v="2363/10/21 - 2363/10/27"/>
          <s v="2363/10/28 - 2363/11/03"/>
          <s v="2363/11/04 - 2363/11/10"/>
          <s v="2363/11/11 - 2363/11/17"/>
          <s v="2363/11/18 - 2363/11/24"/>
          <s v="2363/11/25 - 2363/12/01"/>
          <s v="2363/12/02 - 2363/12/08"/>
          <s v="2363/12/09 - 2363/12/15"/>
          <s v="2363/12/16 - 2363/12/22"/>
          <s v="2363/12/23 - 2363/12/29"/>
          <s v="2363/12/30 - 2364/01/05"/>
          <s v="2364/01/06 - 2364/01/12"/>
          <s v="2364/01/13 - 2364/01/19"/>
          <s v="2364/01/20 - 2364/01/26"/>
          <s v="2364/01/27 - 2364/02/02"/>
          <s v="2364/02/03 - 2364/02/09"/>
          <s v="2364/02/10 - 2364/02/16"/>
          <s v="2364/02/17 - 2364/02/23"/>
          <s v="2364/02/24 - 2364/03/01"/>
          <s v="2364/03/02 - 2364/03/08"/>
          <s v="2364/03/09 - 2364/03/15"/>
          <s v="2364/03/16 - 2364/03/22"/>
          <s v="2364/03/23 - 2364/03/29"/>
          <s v="2364/03/30 - 2364/04/05"/>
          <s v="2364/04/06 - 2364/04/12"/>
          <s v="2364/04/13 - 2364/04/19"/>
          <s v="2364/04/20 - 2364/04/26"/>
          <s v="2364/04/27 - 2364/05/03"/>
          <s v="2364/05/04 - 2364/05/10"/>
          <s v="2364/05/11 - 2364/05/17"/>
          <s v="2364/05/18 - 2364/05/24"/>
          <s v="2364/05/25 - 2364/05/31"/>
          <s v="2364/06/01 - 2364/06/07"/>
          <s v="2364/06/08 - 2364/06/14"/>
          <s v="2364/06/15 - 2364/06/21"/>
          <s v="2364/06/22 - 2364/06/28"/>
          <s v="2364/06/29 - 2364/07/05"/>
          <s v="2364/07/06 - 2364/07/12"/>
          <s v="2364/07/13 - 2364/07/19"/>
          <s v="2364/07/20 - 2364/07/26"/>
          <s v="2364/07/27 - 2364/08/02"/>
          <s v="2364/08/03 - 2364/08/09"/>
          <s v="2364/08/10 - 2364/08/16"/>
          <s v="2364/08/17 - 2364/08/23"/>
          <s v="2364/08/24 - 2364/08/30"/>
          <s v="2364/08/31 - 2364/09/06"/>
          <s v="2364/09/07 - 2364/09/13"/>
          <s v="2364/09/14 - 2364/09/20"/>
          <s v="2364/09/21 - 2364/09/27"/>
          <s v="2364/09/28 - 2364/10/04"/>
          <s v="2364/10/05 - 2364/10/11"/>
          <s v="2364/10/12 - 2364/10/18"/>
          <s v="2364/10/19 - 2364/10/25"/>
          <s v="2364/10/26 - 2364/11/01"/>
          <s v="2364/11/02 - 2364/11/08"/>
          <s v="2364/11/09 - 2364/11/15"/>
          <s v="2364/11/16 - 2364/11/22"/>
          <s v="2364/11/23 - 2364/11/29"/>
          <s v="2364/11/30 - 2364/12/06"/>
          <s v="2364/12/07 - 2364/12/13"/>
          <s v="2364/12/14 - 2364/12/20"/>
          <s v="2364/12/21 - 2364/12/27"/>
          <s v="2364/12/28 - 2365/01/03"/>
          <s v="2365/01/04 - 2365/01/10"/>
          <s v="2365/01/11 - 2365/01/17"/>
          <s v="2365/01/18 - 2365/01/24"/>
          <s v="2365/01/25 - 2365/01/31"/>
          <s v="2365/02/01 - 2365/02/07"/>
          <s v="2365/02/08 - 2365/02/14"/>
          <s v="2365/02/15 - 2365/02/21"/>
          <s v="2365/02/22 - 2365/02/28"/>
          <s v="2365/03/01 - 2365/03/07"/>
          <s v="2365/03/08 - 2365/03/14"/>
          <s v="2365/03/15 - 2365/03/21"/>
          <s v="2365/03/22 - 2365/03/28"/>
          <s v="2365/03/29 - 2365/04/04"/>
          <s v="2365/04/05 - 2365/04/11"/>
          <s v="2365/04/12 - 2365/04/18"/>
          <s v="2365/04/19 - 2365/04/25"/>
          <s v="2365/04/26 - 2365/05/02"/>
          <s v="2365/05/03 - 2365/05/09"/>
          <s v="2365/05/10 - 2365/05/16"/>
          <s v="2365/05/17 - 2365/05/23"/>
          <s v="2365/05/24 - 2365/05/30"/>
          <s v="2365/05/31 - 2365/06/06"/>
          <s v="2365/06/07 - 2365/06/13"/>
          <s v="2365/06/14 - 2365/06/20"/>
          <s v="2365/06/21 - 2365/06/27"/>
          <s v="2365/06/28 - 2365/07/04"/>
          <s v="2365/07/05 - 2365/07/11"/>
          <s v="2365/07/12 - 2365/07/18"/>
          <s v="2365/07/19 - 2365/07/25"/>
          <s v="2365/07/26 - 2365/08/01"/>
          <s v="2365/08/02 - 2365/08/08"/>
          <s v="2365/08/09 - 2365/08/15"/>
          <s v="2365/08/16 - 2365/08/22"/>
          <s v="2365/08/23 - 2365/08/29"/>
          <s v="2365/08/30 - 2365/09/05"/>
          <s v="2365/09/06 - 2365/09/12"/>
          <s v="2365/09/13 - 2365/09/19"/>
          <s v="2365/09/20 - 2365/09/26"/>
          <s v="2365/09/27 - 2365/10/03"/>
          <s v="2365/10/04 - 2365/10/10"/>
          <s v="2365/10/11 - 2365/10/17"/>
          <s v="2365/10/18 - 2365/10/24"/>
          <s v="2365/10/25 - 2365/10/31"/>
          <s v="2365/11/01 - 2365/11/07"/>
          <s v="2365/11/08 - 2365/11/14"/>
          <s v="2365/11/15 - 2365/11/21"/>
          <s v="2365/11/22 - 2365/11/28"/>
          <s v="2365/11/29 - 2365/12/05"/>
          <s v="2365/12/06 - 2365/12/12"/>
          <s v="2365/12/13 - 2365/12/19"/>
          <s v="2365/12/20 - 2365/12/26"/>
          <s v="2365/12/27 - 2366/01/02"/>
          <s v="2366/01/03 - 2366/01/09"/>
          <s v="2366/01/10 - 2366/01/16"/>
          <s v="2366/01/17 - 2366/01/23"/>
          <s v="2366/01/24 - 2366/01/30"/>
          <s v="2366/01/31 - 2366/02/06"/>
          <s v="2366/02/07 - 2366/02/13"/>
          <s v="2366/02/14 - 2366/02/20"/>
          <s v="2366/02/21 - 2366/02/27"/>
          <s v="2366/02/28 - 2366/03/06"/>
          <s v="2366/03/07 - 2366/03/13"/>
          <s v="2366/03/14 - 2366/03/20"/>
          <s v="2366/03/21 - 2366/03/27"/>
          <s v="2366/03/28 - 2366/04/03"/>
          <s v="2366/04/04 - 2366/04/10"/>
          <s v="2366/04/11 - 2366/04/17"/>
          <s v="2366/04/18 - 2366/04/24"/>
          <s v="2366/04/25 - 2366/05/01"/>
          <s v="2366/05/02 - 2366/05/08"/>
          <s v="2366/05/09 - 2366/05/15"/>
          <s v="2366/05/16 - 2366/05/22"/>
          <s v="2366/05/23 - 2366/05/29"/>
          <s v="2366/05/30 - 2366/06/05"/>
          <s v="2366/06/06 - 2366/06/12"/>
          <s v="2366/06/13 - 2366/06/19"/>
          <s v="2366/06/20 - 2366/06/26"/>
          <s v="2366/06/27 - 2366/07/03"/>
          <s v="2366/07/04 - 2366/07/10"/>
          <s v="2366/07/11 - 2366/07/17"/>
          <s v="2366/07/18 - 2366/07/24"/>
          <s v="2366/07/25 - 2366/07/31"/>
          <s v="2366/08/01 - 2366/08/07"/>
          <s v="2366/08/08 - 2366/08/14"/>
          <s v="2366/08/15 - 2366/08/21"/>
          <s v="2366/08/22 - 2366/08/28"/>
          <s v="2366/08/29 - 2366/09/04"/>
          <s v="2366/09/05 - 2366/09/11"/>
          <s v="2366/09/12 - 2366/09/18"/>
          <s v="2366/09/19 - 2366/09/25"/>
          <s v="2366/09/26 - 2366/10/02"/>
          <s v="2366/10/03 - 2366/10/09"/>
          <s v="2366/10/10 - 2366/10/16"/>
          <s v="2366/10/17 - 2366/10/23"/>
          <s v="2366/10/24 - 2366/10/30"/>
          <s v="2366/10/31 - 2366/11/06"/>
          <s v="2366/11/07 - 2366/11/13"/>
          <s v="2366/11/14 - 2366/11/20"/>
          <s v="2366/11/21 - 2366/11/27"/>
          <s v="2366/11/28 - 2366/12/04"/>
          <s v="2366/12/05 - 2366/12/11"/>
          <s v="2366/12/12 - 2366/12/18"/>
          <s v="2366/12/19 - 2366/12/25"/>
          <s v="2366/12/26 - 2367/01/01"/>
          <s v="2367/01/02 - 2367/01/08"/>
          <s v="2367/01/09 - 2367/01/15"/>
          <s v="2367/01/16 - 2367/01/22"/>
          <s v="2367/01/23 - 2367/01/29"/>
          <s v="2367/01/30 - 2367/02/05"/>
          <s v="2367/02/06 - 2367/02/12"/>
          <s v="2367/02/13 - 2367/02/19"/>
          <s v="2367/02/20 - 2367/02/26"/>
          <s v="2367/02/27 - 2367/03/05"/>
          <s v="2367/03/06 - 2367/03/12"/>
          <s v="2367/03/13 - 2367/03/19"/>
          <s v="2367/03/20 - 2367/03/26"/>
          <s v="2367/03/27 - 2367/04/02"/>
          <s v="2367/04/03 - 2367/04/09"/>
          <s v="2367/04/10 - 2367/04/16"/>
          <s v="2367/04/17 - 2367/04/23"/>
          <s v="2367/04/24 - 2367/04/30"/>
          <s v="2367/05/01 - 2367/05/07"/>
          <s v="2367/05/08 - 2367/05/14"/>
          <s v="2367/05/15 - 2367/05/21"/>
          <s v="2367/05/22 - 2367/05/28"/>
          <s v="2367/05/29 - 2367/06/04"/>
          <s v="2367/06/05 - 2367/06/11"/>
          <s v="2367/06/12 - 2367/06/18"/>
          <s v="2367/06/19 - 2367/06/25"/>
          <s v="2367/06/26 - 2367/07/02"/>
          <s v="2367/07/03 - 2367/07/09"/>
          <s v="2367/07/10 - 2367/07/16"/>
          <s v="2367/07/17 - 2367/07/23"/>
          <s v="2367/07/24 - 2367/07/30"/>
          <s v="2367/07/31 - 2367/08/06"/>
          <s v="2367/08/07 - 2367/08/13"/>
          <s v="2367/08/14 - 2367/08/20"/>
          <s v="2367/08/21 - 2367/08/27"/>
          <s v="2367/08/28 - 2367/09/03"/>
          <s v="2367/09/04 - 2367/09/10"/>
          <s v="2367/09/11 - 2367/09/17"/>
          <s v="2367/09/18 - 2367/09/24"/>
          <s v="2367/09/25 - 2367/10/01"/>
          <s v="2367/10/02 - 2367/10/08"/>
          <s v="2367/10/09 - 2367/10/15"/>
          <s v="2367/10/16 - 2367/10/22"/>
          <s v="2367/10/23 - 2367/10/29"/>
          <s v="2367/10/30 - 2367/11/05"/>
          <s v="2367/11/06 - 2367/11/12"/>
          <s v="2367/11/13 - 2367/11/19"/>
          <s v="2367/11/20 - 2367/11/26"/>
          <s v="2367/11/27 - 2367/12/03"/>
          <s v="2367/12/04 - 2367/12/10"/>
          <s v="2367/12/11 - 2367/12/17"/>
          <s v="2367/12/18 - 2367/12/24"/>
          <s v="2367/12/25 - 2367/12/31"/>
          <s v="2368/01/01 - 2368/01/07"/>
          <s v="2368/01/08 - 2368/01/14"/>
          <s v="2368/01/15 - 2368/01/21"/>
          <s v="2368/01/22 - 2368/01/28"/>
          <s v="2368/01/29 - 2368/02/04"/>
          <s v="2368/02/05 - 2368/02/11"/>
          <s v="2368/02/12 - 2368/02/18"/>
          <s v="2368/02/19 - 2368/02/25"/>
          <s v="2368/02/26 - 2368/03/03"/>
          <s v="2368/03/04 - 2368/03/10"/>
          <s v="2368/03/11 - 2368/03/17"/>
          <s v="2368/03/18 - 2368/03/24"/>
          <s v="2368/03/25 - 2368/03/31"/>
          <s v="2368/04/01 - 2368/04/07"/>
          <s v="2368/04/08 - 2368/04/14"/>
          <s v="2368/04/15 - 2368/04/21"/>
          <s v="2368/04/22 - 2368/04/28"/>
          <s v="2368/04/29 - 2368/05/05"/>
          <s v="2368/05/06 - 2368/05/12"/>
          <s v="2368/05/13 - 2368/05/19"/>
          <s v="2368/05/20 - 2368/05/26"/>
          <s v="2368/05/27 - 2368/06/02"/>
          <s v="2368/06/03 - 2368/06/09"/>
          <s v="2368/06/10 - 2368/06/16"/>
          <s v="2368/06/17 - 2368/06/23"/>
          <s v="2368/06/24 - 2368/06/30"/>
          <s v="2368/07/01 - 2368/07/07"/>
          <s v="2368/07/08 - 2368/07/14"/>
          <s v="2368/07/15 - 2368/07/21"/>
          <s v="2368/07/22 - 2368/07/28"/>
          <s v="2368/07/29 - 2368/08/04"/>
          <s v="2368/08/05 - 2368/08/11"/>
          <s v="2368/08/12 - 2368/08/18"/>
          <s v="2368/08/19 - 2368/08/25"/>
          <s v="2368/08/26 - 2368/09/01"/>
          <s v="2368/09/02 - 2368/09/08"/>
          <s v="2368/09/09 - 2368/09/15"/>
          <s v="2368/09/16 - 2368/09/22"/>
          <s v="2368/09/23 - 2368/09/29"/>
          <s v="2368/09/30 - 2368/10/06"/>
          <s v="2368/10/07 - 2368/10/13"/>
          <s v="2368/10/14 - 2368/10/20"/>
          <s v="2368/10/21 - 2368/10/27"/>
          <s v="2368/10/28 - 2368/11/03"/>
          <s v="2368/11/04 - 2368/11/10"/>
          <s v="2368/11/11 - 2368/11/17"/>
          <s v="2368/11/18 - 2368/11/24"/>
          <s v="2368/11/25 - 2368/12/01"/>
          <s v="2368/12/02 - 2368/12/08"/>
          <s v="2368/12/09 - 2368/12/15"/>
          <s v="2368/12/16 - 2368/12/22"/>
          <s v="2368/12/23 - 2368/12/29"/>
          <s v="2368/12/30 - 2369/01/05"/>
          <s v="2369/01/06 - 2369/01/12"/>
          <s v="2369/01/13 - 2369/01/19"/>
          <s v="2369/01/20 - 2369/01/26"/>
          <s v="2369/01/27 - 2369/02/02"/>
          <s v="2369/02/03 - 2369/02/09"/>
          <s v="2369/02/10 - 2369/02/16"/>
          <s v="2369/02/17 - 2369/02/23"/>
          <s v="2369/02/24 - 2369/03/02"/>
          <s v="2369/03/03 - 2369/03/09"/>
          <s v="2369/03/10 - 2369/03/16"/>
          <s v="2369/03/17 - 2369/03/23"/>
          <s v="2369/03/24 - 2369/03/30"/>
          <s v="2369/03/31 - 2369/04/06"/>
          <s v="2369/04/07 - 2369/04/13"/>
          <s v="2369/04/14 - 2369/04/20"/>
          <s v="2369/04/21 - 2369/04/27"/>
          <s v="2369/04/28 - 2369/05/04"/>
          <s v="2369/05/05 - 2369/05/11"/>
          <s v="2369/05/12 - 2369/05/18"/>
          <s v="2369/05/19 - 2369/05/25"/>
          <s v="2369/05/26 - 2369/06/01"/>
          <s v="2369/06/02 - 2369/06/08"/>
          <s v="2369/06/09 - 2369/06/15"/>
          <s v="2369/06/16 - 2369/06/22"/>
          <s v="2369/06/23 - 2369/06/29"/>
          <s v="2369/06/30 - 2369/07/06"/>
          <s v="2369/07/07 - 2369/07/13"/>
          <s v="2369/07/14 - 2369/07/20"/>
          <s v="2369/07/21 - 2369/07/27"/>
          <s v="2369/07/28 - 2369/08/03"/>
          <s v="2369/08/04 - 2369/08/10"/>
          <s v="2369/08/11 - 2369/08/17"/>
          <s v="2369/08/18 - 2369/08/24"/>
          <s v="2369/08/25 - 2369/08/31"/>
          <s v="2369/09/01 - 2369/09/07"/>
          <s v="2369/09/08 - 2369/09/14"/>
          <s v="2369/09/15 - 2369/09/21"/>
          <s v="2369/09/22 - 2369/09/28"/>
          <s v="2369/09/29 - 2369/10/05"/>
          <s v="2369/10/06 - 2369/10/12"/>
          <s v="2369/10/13 - 2369/10/19"/>
          <s v="2369/10/20 - 2369/10/26"/>
          <s v="2369/10/27 - 2369/11/02"/>
          <s v="2369/11/03 - 2369/11/09"/>
          <s v="2369/11/10 - 2369/11/16"/>
          <s v="2369/11/17 - 2369/11/23"/>
          <s v="2369/11/24 - 2369/11/30"/>
          <s v="2369/12/01 - 2369/12/07"/>
          <s v="2369/12/08 - 2369/12/14"/>
          <s v="2369/12/15 - 2369/12/21"/>
          <s v="2369/12/22 - 2369/12/28"/>
          <s v="2369/12/29 - 2370/01/04"/>
          <s v="2370/01/05 - 2370/01/11"/>
          <s v="2370/01/12 - 2370/01/18"/>
          <s v="2370/01/19 - 2370/01/25"/>
          <s v="2370/01/26 - 2370/02/01"/>
          <s v="2370/02/02 - 2370/02/08"/>
          <s v="2370/02/09 - 2370/02/15"/>
          <s v="2370/02/16 - 2370/02/22"/>
          <s v="2370/02/23 - 2370/03/01"/>
          <s v="2370/03/02 - 2370/03/08"/>
          <s v="2370/03/09 - 2370/03/15"/>
          <s v="2370/03/16 - 2370/03/22"/>
          <s v="2370/03/23 - 2370/03/29"/>
          <s v="2370/03/30 - 2370/04/05"/>
          <s v="2370/04/06 - 2370/04/12"/>
          <s v="2370/04/13 - 2370/04/19"/>
          <s v="2370/04/20 - 2370/04/26"/>
          <s v="2370/04/27 - 2370/05/03"/>
          <s v="2370/05/04 - 2370/05/10"/>
          <s v="2370/05/11 - 2370/05/17"/>
          <s v="2370/05/18 - 2370/05/24"/>
          <s v="2370/05/25 - 2370/05/31"/>
          <s v="2370/06/01 - 2370/06/07"/>
          <s v="2370/06/08 - 2370/06/14"/>
          <s v="2370/06/15 - 2370/06/21"/>
          <s v="2370/06/22 - 2370/06/28"/>
          <s v="2370/06/29 - 2370/07/05"/>
          <s v="2370/07/06 - 2370/07/12"/>
          <s v="2370/07/13 - 2370/07/19"/>
          <s v="2370/07/20 - 2370/07/26"/>
          <s v="2370/07/27 - 2370/08/02"/>
          <s v="2370/08/03 - 2370/08/09"/>
          <s v="2370/08/10 - 2370/08/16"/>
          <s v="2370/08/17 - 2370/08/23"/>
          <s v="2370/08/24 - 2370/08/30"/>
          <s v="2370/08/31 - 2370/09/06"/>
          <s v="2370/09/07 - 2370/09/13"/>
          <s v="2370/09/14 - 2370/09/20"/>
          <s v="2370/09/21 - 2370/09/27"/>
          <s v="2370/09/28 - 2370/10/04"/>
          <s v="2370/10/05 - 2370/10/11"/>
          <s v="2370/10/12 - 2370/10/18"/>
          <s v="2370/10/19 - 2370/10/25"/>
          <s v="2370/10/26 - 2370/11/01"/>
          <s v="2370/11/02 - 2370/11/08"/>
          <s v="2370/11/09 - 2370/11/15"/>
          <s v="2370/11/16 - 2370/11/22"/>
          <s v="2370/11/23 - 2370/11/29"/>
          <s v="2370/11/30 - 2370/12/06"/>
          <s v="2370/12/07 - 2370/12/13"/>
          <s v="2370/12/14 - 2370/12/20"/>
          <s v="2370/12/21 - 2370/12/27"/>
          <s v="2370/12/28 - 2371/01/03"/>
          <s v="2371/01/04 - 2371/01/10"/>
          <s v="2371/01/11 - 2371/01/17"/>
          <s v="2371/01/18 - 2371/01/24"/>
          <s v="2371/01/25 - 2371/01/31"/>
          <s v="2371/02/01 - 2371/02/07"/>
          <s v="2371/02/08 - 2371/02/14"/>
          <s v="2371/02/15 - 2371/02/21"/>
          <s v="2371/02/22 - 2371/02/28"/>
          <s v="2371/03/01 - 2371/03/07"/>
          <s v="2371/03/08 - 2371/03/14"/>
          <s v="2371/03/15 - 2371/03/21"/>
          <s v="2371/03/22 - 2371/03/28"/>
          <s v="2371/03/29 - 2371/04/04"/>
          <s v="2371/04/05 - 2371/04/11"/>
          <s v="2371/04/12 - 2371/04/18"/>
          <s v="2371/04/19 - 2371/04/25"/>
          <s v="2371/04/26 - 2371/05/02"/>
          <s v="2371/05/03 - 2371/05/09"/>
          <s v="2371/05/10 - 2371/05/16"/>
          <s v="2371/05/17 - 2371/05/23"/>
          <s v="2371/05/24 - 2371/05/30"/>
          <s v="2371/05/31 - 2371/06/06"/>
          <s v="2371/06/07 - 2371/06/13"/>
          <s v="2371/06/14 - 2371/06/20"/>
          <s v="2371/06/21 - 2371/06/27"/>
          <s v="2371/06/28 - 2371/07/04"/>
          <s v="2371/07/05 - 2371/07/11"/>
          <s v="2371/07/12 - 2371/07/18"/>
          <s v="2371/07/19 - 2371/07/25"/>
          <s v="2371/07/26 - 2371/08/01"/>
          <s v="2371/08/02 - 2371/08/08"/>
          <s v="2371/08/09 - 2371/08/15"/>
          <s v="2371/08/16 - 2371/08/22"/>
          <s v="2371/08/23 - 2371/08/29"/>
          <s v="2371/08/30 - 2371/09/05"/>
          <s v="2371/09/06 - 2371/09/12"/>
          <s v="2371/09/13 - 2371/09/19"/>
          <s v="2371/09/20 - 2371/09/26"/>
          <s v="2371/09/27 - 2371/10/03"/>
          <s v="2371/10/04 - 2371/10/10"/>
          <s v="2371/10/11 - 2371/10/17"/>
          <s v="2371/10/18 - 2371/10/24"/>
          <s v="2371/10/25 - 2371/10/31"/>
          <s v="2371/11/01 - 2371/11/07"/>
          <s v="2371/11/08 - 2371/11/14"/>
          <s v="2371/11/15 - 2371/11/21"/>
          <s v="2371/11/22 - 2371/11/28"/>
          <s v="2371/11/29 - 2371/12/05"/>
          <s v="2371/12/06 - 2371/12/12"/>
          <s v="2371/12/13 - 2371/12/19"/>
          <s v="2371/12/20 - 2371/12/26"/>
          <s v="2371/12/27 - 2372/01/02"/>
          <s v="2372/01/03 - 2372/01/09"/>
          <s v="2372/01/10 - 2372/01/16"/>
          <s v="2372/01/17 - 2372/01/23"/>
          <s v="2372/01/24 - 2372/01/30"/>
          <s v="2372/01/31 - 2372/02/06"/>
          <s v="2372/02/07 - 2372/02/13"/>
          <s v="2372/02/14 - 2372/02/20"/>
          <s v="2372/02/21 - 2372/02/27"/>
          <s v="2372/02/28 - 2372/03/05"/>
          <s v="2372/03/06 - 2372/03/12"/>
          <s v="2372/03/13 - 2372/03/19"/>
          <s v="2372/03/20 - 2372/03/26"/>
          <s v="2372/03/27 - 2372/04/02"/>
          <s v="2372/04/03 - 2372/04/09"/>
          <s v="2372/04/10 - 2372/04/16"/>
          <s v="2372/04/17 - 2372/04/23"/>
          <s v="2372/04/24 - 2372/04/30"/>
          <s v="2372/05/01 - 2372/05/07"/>
          <s v="2372/05/08 - 2372/05/14"/>
          <s v="2372/05/15 - 2372/05/21"/>
          <s v="2372/05/22 - 2372/05/28"/>
          <s v="2372/05/29 - 2372/06/04"/>
          <s v="2372/06/05 - 2372/06/11"/>
          <s v="2372/06/12 - 2372/06/18"/>
          <s v="2372/06/19 - 2372/06/25"/>
          <s v="2372/06/26 - 2372/07/02"/>
          <s v="2372/07/03 - 2372/07/09"/>
          <s v="2372/07/10 - 2372/07/16"/>
          <s v="2372/07/17 - 2372/07/23"/>
          <s v="2372/07/24 - 2372/07/30"/>
          <s v="2372/07/31 - 2372/08/06"/>
          <s v="2372/08/07 - 2372/08/13"/>
          <s v="2372/08/14 - 2372/08/20"/>
          <s v="2372/08/21 - 2372/08/27"/>
          <s v="2372/08/28 - 2372/09/03"/>
          <s v="2372/09/04 - 2372/09/10"/>
          <s v="2372/09/11 - 2372/09/17"/>
          <s v="2372/09/18 - 2372/09/24"/>
          <s v="2372/09/25 - 2372/10/01"/>
          <s v="2372/10/02 - 2372/10/08"/>
          <s v="2372/10/09 - 2372/10/15"/>
          <s v="2372/10/16 - 2372/10/22"/>
          <s v="2372/10/23 - 2372/10/29"/>
          <s v="2372/10/30 - 2372/11/05"/>
          <s v="2372/11/06 - 2372/11/12"/>
          <s v="2372/11/13 - 2372/11/19"/>
          <s v="2372/11/20 - 2372/11/26"/>
          <s v="2372/11/27 - 2372/12/03"/>
          <s v="2372/12/04 - 2372/12/10"/>
          <s v="2372/12/11 - 2372/12/17"/>
          <s v="2372/12/18 - 2372/12/24"/>
          <s v="2372/12/25 - 2372/12/31"/>
          <s v="2373/01/01 - 2373/01/07"/>
          <s v="2373/01/08 - 2373/01/14"/>
          <s v="2373/01/15 - 2373/01/21"/>
          <s v="2373/01/22 - 2373/01/28"/>
          <s v="2373/01/29 - 2373/02/04"/>
          <s v="2373/02/05 - 2373/02/11"/>
          <s v="2373/02/12 - 2373/02/18"/>
          <s v="2373/02/19 - 2373/02/25"/>
          <s v="2373/02/26 - 2373/03/04"/>
          <s v="2373/03/05 - 2373/03/11"/>
          <s v="2373/03/12 - 2373/03/18"/>
          <s v="2373/03/19 - 2373/03/25"/>
          <s v="2373/03/26 - 2373/04/01"/>
          <s v="2373/04/02 - 2373/04/08"/>
          <s v="2373/04/09 - 2373/04/15"/>
          <s v="2373/04/16 - 2373/04/22"/>
          <s v="2373/04/23 - 2373/04/29"/>
          <s v="2373/04/30 - 2373/05/06"/>
          <s v="2373/05/07 - 2373/05/13"/>
          <s v="2373/05/14 - 2373/05/20"/>
          <s v="2373/05/21 - 2373/05/27"/>
          <s v="2373/05/28 - 2373/06/03"/>
          <s v="2373/06/04 - 2373/06/10"/>
          <s v="2373/06/11 - 2373/06/17"/>
          <s v="2373/06/18 - 2373/06/24"/>
          <s v="2373/06/25 - 2373/07/01"/>
          <s v="2373/07/02 - 2373/07/08"/>
          <s v="2373/07/09 - 2373/07/15"/>
          <s v="2373/07/16 - 2373/07/22"/>
          <s v="2373/07/23 - 2373/07/29"/>
          <s v="2373/07/30 - 2373/08/05"/>
          <s v="2373/08/06 - 2373/08/12"/>
          <s v="2373/08/13 - 2373/08/19"/>
          <s v="2373/08/20 - 2373/08/26"/>
          <s v="2373/08/27 - 2373/09/02"/>
          <s v="2373/09/03 - 2373/09/09"/>
          <s v="2373/09/10 - 2373/09/16"/>
          <s v="2373/09/17 - 2373/09/23"/>
          <s v="2373/09/24 - 2373/09/30"/>
          <s v="2373/10/01 - 2373/10/07"/>
          <s v="2373/10/08 - 2373/10/14"/>
          <s v="2373/10/15 - 2373/10/21"/>
          <s v="2373/10/22 - 2373/10/28"/>
          <s v="2373/10/29 - 2373/11/04"/>
          <s v="2373/11/05 - 2373/11/11"/>
          <s v="2373/11/12 - 2373/11/18"/>
          <s v="2373/11/19 - 2373/11/25"/>
          <s v="2373/11/26 - 2373/12/02"/>
          <s v="2373/12/03 - 2373/12/09"/>
          <s v="2373/12/10 - 2373/12/16"/>
          <s v="2373/12/17 - 2373/12/23"/>
          <s v="2373/12/24 - 2373/12/30"/>
          <s v="2373/12/31 - 2374/01/06"/>
          <s v="2374/01/07 - 2374/01/13"/>
          <s v="2374/01/14 - 2374/01/20"/>
          <s v="2374/01/21 - 2374/01/27"/>
          <s v="2374/01/28 - 2374/02/03"/>
          <s v="2374/02/04 - 2374/02/10"/>
          <s v="2374/02/11 - 2374/02/17"/>
          <s v="2374/02/18 - 2374/02/24"/>
          <s v="2374/02/25 - 2374/03/03"/>
          <s v="2374/03/04 - 2374/03/10"/>
          <s v="2374/03/11 - 2374/03/17"/>
          <s v="2374/03/18 - 2374/03/24"/>
          <s v="2374/03/25 - 2374/03/31"/>
          <s v="2374/04/01 - 2374/04/07"/>
          <s v="2374/04/08 - 2374/04/14"/>
          <s v="2374/04/15 - 2374/04/21"/>
          <s v="2374/04/22 - 2374/04/28"/>
          <s v="2374/04/29 - 2374/05/05"/>
          <s v="2374/05/06 - 2374/05/12"/>
          <s v="2374/05/13 - 2374/05/19"/>
          <s v="2374/05/20 - 2374/05/26"/>
          <s v="2374/05/27 - 2374/06/02"/>
          <s v="2374/06/03 - 2374/06/09"/>
          <s v="2374/06/10 - 2374/06/16"/>
          <s v="2374/06/17 - 2374/06/23"/>
          <s v="2374/06/24 - 2374/06/30"/>
          <s v="2374/07/01 - 2374/07/07"/>
          <s v="2374/07/08 - 2374/07/14"/>
          <s v="2374/07/15 - 2374/07/21"/>
          <s v="2374/07/22 - 2374/07/28"/>
          <s v="2374/07/29 - 2374/08/04"/>
          <s v="2374/08/05 - 2374/08/11"/>
          <s v="2374/08/12 - 2374/08/18"/>
          <s v="2374/08/19 - 2374/08/25"/>
          <s v="2374/08/26 - 2374/09/01"/>
          <s v="2374/09/02 - 2374/09/08"/>
          <s v="2374/09/09 - 2374/09/15"/>
          <s v="2374/09/16 - 2374/09/22"/>
          <s v="2374/09/23 - 2374/09/29"/>
          <s v="2374/09/30 - 2374/10/06"/>
          <s v="2374/10/07 - 2374/10/13"/>
          <s v="2374/10/14 - 2374/10/20"/>
          <s v="2374/10/21 - 2374/10/27"/>
          <s v="2374/10/28 - 2374/11/03"/>
          <s v="2374/11/04 - 2374/11/10"/>
          <s v="2374/11/11 - 2374/11/17"/>
          <s v="2374/11/18 - 2374/11/24"/>
          <s v="2374/11/25 - 2374/12/01"/>
          <s v="2374/12/02 - 2374/12/08"/>
          <s v="2374/12/09 - 2374/12/15"/>
          <s v="2374/12/16 - 2374/12/22"/>
          <s v="2374/12/23 - 2374/12/29"/>
          <s v="2374/12/30 - 2375/01/05"/>
          <s v="2375/01/06 - 2375/01/12"/>
          <s v="2375/01/13 - 2375/01/19"/>
          <s v="2375/01/20 - 2375/01/26"/>
          <s v="2375/01/27 - 2375/02/02"/>
          <s v="2375/02/03 - 2375/02/09"/>
          <s v="2375/02/10 - 2375/02/16"/>
          <s v="2375/02/17 - 2375/02/23"/>
          <s v="2375/02/24 - 2375/03/02"/>
          <s v="2375/03/03 - 2375/03/09"/>
          <s v="2375/03/10 - 2375/03/16"/>
          <s v="2375/03/17 - 2375/03/23"/>
          <s v="2375/03/24 - 2375/03/30"/>
          <s v="2375/03/31 - 2375/04/06"/>
          <s v="2375/04/07 - 2375/04/13"/>
          <s v="2375/04/14 - 2375/04/20"/>
          <s v="2375/04/21 - 2375/04/27"/>
          <s v="2375/04/28 - 2375/05/04"/>
          <s v="2375/05/05 - 2375/05/11"/>
          <s v="2375/05/12 - 2375/05/18"/>
          <s v="2375/05/19 - 2375/05/25"/>
          <s v="2375/05/26 - 2375/06/01"/>
          <s v="2375/06/02 - 2375/06/08"/>
          <s v="2375/06/09 - 2375/06/15"/>
          <s v="2375/06/16 - 2375/06/22"/>
          <s v="2375/06/23 - 2375/06/29"/>
          <s v="2375/06/30 - 2375/07/06"/>
          <s v="2375/07/07 - 2375/07/13"/>
          <s v="2375/07/14 - 2375/07/20"/>
          <s v="2375/07/21 - 2375/07/27"/>
          <s v="2375/07/28 - 2375/08/03"/>
          <s v="2375/08/04 - 2375/08/10"/>
          <s v="2375/08/11 - 2375/08/17"/>
          <s v="2375/08/18 - 2375/08/24"/>
          <s v="2375/08/25 - 2375/08/31"/>
          <s v="2375/09/01 - 2375/09/07"/>
          <s v="2375/09/08 - 2375/09/14"/>
          <s v="2375/09/15 - 2375/09/21"/>
          <s v="2375/09/22 - 2375/09/28"/>
          <s v="2375/09/29 - 2375/10/05"/>
          <s v="2375/10/06 - 2375/10/12"/>
          <s v="2375/10/13 - 2375/10/19"/>
          <s v="2375/10/20 - 2375/10/26"/>
          <s v="2375/10/27 - 2375/11/02"/>
          <s v="2375/11/03 - 2375/11/09"/>
          <s v="2375/11/10 - 2375/11/16"/>
          <s v="2375/11/17 - 2375/11/23"/>
          <s v="2375/11/24 - 2375/11/30"/>
          <s v="2375/12/01 - 2375/12/07"/>
          <s v="2375/12/08 - 2375/12/14"/>
          <s v="2375/12/15 - 2375/12/21"/>
          <s v="2375/12/22 - 2375/12/28"/>
          <s v="2375/12/29 - 2376/01/04"/>
          <s v="2376/01/05 - 2376/01/11"/>
          <s v="2376/01/12 - 2376/01/18"/>
          <s v="2376/01/19 - 2376/01/25"/>
          <s v="2376/01/26 - 2376/02/01"/>
          <s v="2376/02/02 - 2376/02/08"/>
          <s v="2376/02/09 - 2376/02/15"/>
          <s v="2376/02/16 - 2376/02/22"/>
          <s v="2376/02/23 - 2376/02/29"/>
          <s v="2376/03/01 - 2376/03/07"/>
          <s v="2376/03/08 - 2376/03/14"/>
          <s v="2376/03/15 - 2376/03/21"/>
          <s v="2376/03/22 - 2376/03/28"/>
          <s v="2376/03/29 - 2376/04/04"/>
          <s v="2376/04/05 - 2376/04/11"/>
          <s v="2376/04/12 - 2376/04/18"/>
          <s v="2376/04/19 - 2376/04/25"/>
          <s v="2376/04/26 - 2376/05/02"/>
          <s v="2376/05/03 - 2376/05/09"/>
          <s v="2376/05/10 - 2376/05/16"/>
          <s v="2376/05/17 - 2376/05/23"/>
          <s v="2376/05/24 - 2376/05/30"/>
          <s v="2376/05/31 - 2376/06/06"/>
          <s v="2376/06/07 - 2376/06/13"/>
          <s v="2376/06/14 - 2376/06/20"/>
          <s v="2376/06/21 - 2376/06/27"/>
          <s v="2376/06/28 - 2376/07/04"/>
          <s v="2376/07/05 - 2376/07/11"/>
          <s v="2376/07/12 - 2376/07/18"/>
          <s v="2376/07/19 - 2376/07/25"/>
          <s v="2376/07/26 - 2376/08/01"/>
          <s v="2376/08/02 - 2376/08/08"/>
          <s v="2376/08/09 - 2376/08/15"/>
          <s v="2376/08/16 - 2376/08/22"/>
          <s v="2376/08/23 - 2376/08/29"/>
          <s v="2376/08/30 - 2376/09/05"/>
          <s v="2376/09/06 - 2376/09/12"/>
          <s v="2376/09/13 - 2376/09/19"/>
          <s v="2376/09/20 - 2376/09/26"/>
          <s v="2376/09/27 - 2376/10/03"/>
          <s v="2376/10/04 - 2376/10/10"/>
          <s v="2376/10/11 - 2376/10/17"/>
          <s v="2376/10/18 - 2376/10/24"/>
          <s v="2376/10/25 - 2376/10/31"/>
          <s v="2376/11/01 - 2376/11/07"/>
          <s v="2376/11/08 - 2376/11/14"/>
          <s v="2376/11/15 - 2376/11/21"/>
          <s v="2376/11/22 - 2376/11/28"/>
          <s v="2376/11/29 - 2376/12/05"/>
          <s v="2376/12/06 - 2376/12/12"/>
          <s v="2376/12/13 - 2376/12/19"/>
          <s v="2376/12/20 - 2376/12/26"/>
          <s v="2376/12/27 - 2377/01/02"/>
          <s v="2377/01/03 - 2377/01/09"/>
          <s v="2377/01/10 - 2377/01/16"/>
          <s v="2377/01/17 - 2377/01/23"/>
          <s v="2377/01/24 - 2377/01/30"/>
          <s v="2377/01/31 - 2377/02/06"/>
          <s v="2377/02/07 - 2377/02/13"/>
          <s v="2377/02/14 - 2377/02/20"/>
          <s v="2377/02/21 - 2377/02/27"/>
          <s v="2377/02/28 - 2377/03/06"/>
          <s v="2377/03/07 - 2377/03/13"/>
          <s v="2377/03/14 - 2377/03/20"/>
          <s v="2377/03/21 - 2377/03/27"/>
          <s v="2377/03/28 - 2377/04/03"/>
          <s v="2377/04/04 - 2377/04/10"/>
          <s v="2377/04/11 - 2377/04/17"/>
          <s v="2377/04/18 - 2377/04/24"/>
          <s v="2377/04/25 - 2377/05/01"/>
          <s v="2377/05/02 - 2377/05/08"/>
          <s v="2377/05/09 - 2377/05/15"/>
          <s v="2377/05/16 - 2377/05/22"/>
          <s v="2377/05/23 - 2377/05/29"/>
          <s v="2377/05/30 - 2377/06/05"/>
          <s v="2377/06/06 - 2377/06/12"/>
          <s v="2377/06/13 - 2377/06/19"/>
          <s v="2377/06/20 - 2377/06/26"/>
          <s v="2377/06/27 - 2377/07/03"/>
          <s v="2377/07/04 - 2377/07/10"/>
          <s v="2377/07/11 - 2377/07/17"/>
          <s v="2377/07/18 - 2377/07/24"/>
          <s v="2377/07/25 - 2377/07/31"/>
          <s v="2377/08/01 - 2377/08/07"/>
          <s v="2377/08/08 - 2377/08/14"/>
          <s v="2377/08/15 - 2377/08/21"/>
          <s v="2377/08/22 - 2377/08/28"/>
          <s v="2377/08/29 - 2377/09/04"/>
          <s v="2377/09/05 - 2377/09/11"/>
          <s v="2377/09/12 - 2377/09/18"/>
          <s v="2377/09/19 - 2377/09/25"/>
          <s v="2377/09/26 - 2377/10/02"/>
          <s v="2377/10/03 - 2377/10/09"/>
          <s v="2377/10/10 - 2377/10/16"/>
          <s v="2377/10/17 - 2377/10/23"/>
          <s v="2377/10/24 - 2377/10/30"/>
          <s v="2377/10/31 - 2377/11/06"/>
          <s v="2377/11/07 - 2377/11/13"/>
          <s v="2377/11/14 - 2377/11/20"/>
          <s v="2377/11/21 - 2377/11/27"/>
          <s v="2377/11/28 - 2377/12/04"/>
          <s v="2377/12/05 - 2377/12/11"/>
          <s v="2377/12/12 - 2377/12/18"/>
          <s v="2377/12/19 - 2377/12/25"/>
          <s v="2377/12/26 - 2378/01/01"/>
          <s v="2378/01/02 - 2378/01/08"/>
          <s v="2378/01/09 - 2378/01/15"/>
          <s v="2378/01/16 - 2378/01/22"/>
          <s v="2378/01/23 - 2378/01/29"/>
          <s v="2378/01/30 - 2378/02/05"/>
          <s v="2378/02/06 - 2378/02/12"/>
          <s v="2378/02/13 - 2378/02/19"/>
          <s v="2378/02/20 - 2378/02/26"/>
          <s v="2378/02/27 - 2378/03/05"/>
          <s v="2378/03/06 - 2378/03/12"/>
          <s v="2378/03/13 - 2378/03/19"/>
          <s v="2378/03/20 - 2378/03/26"/>
          <s v="2378/03/27 - 2378/04/02"/>
          <s v="2378/04/03 - 2378/04/09"/>
          <s v="2378/04/10 - 2378/04/16"/>
          <s v="2378/04/17 - 2378/04/23"/>
          <s v="2378/04/24 - 2378/04/30"/>
          <s v="2378/05/01 - 2378/05/07"/>
          <s v="2378/05/08 - 2378/05/14"/>
          <s v="2378/05/15 - 2378/05/21"/>
          <s v="2378/05/22 - 2378/05/28"/>
          <s v="2378/05/29 - 2378/06/04"/>
          <s v="2378/06/05 - 2378/06/11"/>
          <s v="2378/06/12 - 2378/06/18"/>
          <s v="2378/06/19 - 2378/06/25"/>
          <s v="2378/06/26 - 2378/07/02"/>
          <s v="2378/07/03 - 2378/07/09"/>
          <s v="2378/07/10 - 2378/07/16"/>
          <s v="2378/07/17 - 2378/07/23"/>
          <s v="2378/07/24 - 2378/07/30"/>
          <s v="2378/07/31 - 2378/08/06"/>
          <s v="2378/08/07 - 2378/08/13"/>
          <s v="2378/08/14 - 2378/08/20"/>
          <s v="2378/08/21 - 2378/08/27"/>
          <s v="2378/08/28 - 2378/09/03"/>
          <s v="2378/09/04 - 2378/09/10"/>
          <s v="2378/09/11 - 2378/09/17"/>
          <s v="2378/09/18 - 2378/09/24"/>
          <s v="2378/09/25 - 2378/10/01"/>
          <s v="2378/10/02 - 2378/10/08"/>
          <s v="2378/10/09 - 2378/10/15"/>
          <s v="2378/10/16 - 2378/10/22"/>
          <s v="2378/10/23 - 2378/10/29"/>
          <s v="2378/10/30 - 2378/11/05"/>
          <s v="2378/11/06 - 2378/11/12"/>
          <s v="2378/11/13 - 2378/11/19"/>
          <s v="2378/11/20 - 2378/11/26"/>
          <s v="2378/11/27 - 2378/12/03"/>
          <s v="2378/12/04 - 2378/12/10"/>
          <s v="2378/12/11 - 2378/12/17"/>
          <s v="2378/12/18 - 2378/12/24"/>
          <s v="2378/12/25 - 2378/12/31"/>
          <s v="2379/01/01 - 2379/01/07"/>
          <s v="2379/01/08 - 2379/01/14"/>
          <s v="2379/01/15 - 2379/01/21"/>
          <s v="2379/01/22 - 2379/01/28"/>
          <s v="2379/01/29 - 2379/02/04"/>
          <s v="2379/02/05 - 2379/02/11"/>
          <s v="2379/02/12 - 2379/02/18"/>
          <s v="2379/02/19 - 2379/02/25"/>
          <s v="2379/02/26 - 2379/03/04"/>
          <s v="2379/03/05 - 2379/03/11"/>
          <s v="2379/03/12 - 2379/03/18"/>
          <s v="2379/03/19 - 2379/03/25"/>
          <s v="2379/03/26 - 2379/04/01"/>
          <s v="2379/04/02 - 2379/04/08"/>
          <s v="2379/04/09 - 2379/04/15"/>
          <s v="2379/04/16 - 2379/04/22"/>
          <s v="2379/04/23 - 2379/04/29"/>
          <s v="2379/04/30 - 2379/05/06"/>
          <s v="2379/05/07 - 2379/05/13"/>
          <s v="2379/05/14 - 2379/05/20"/>
          <s v="2379/05/21 - 2379/05/27"/>
          <s v="2379/05/28 - 2379/06/03"/>
          <s v="2379/06/04 - 2379/06/10"/>
          <s v="2379/06/11 - 2379/06/17"/>
          <s v="2379/06/18 - 2379/06/24"/>
          <s v="2379/06/25 - 2379/07/01"/>
          <s v="2379/07/02 - 2379/07/08"/>
          <s v="2379/07/09 - 2379/07/15"/>
          <s v="2379/07/16 - 2379/07/22"/>
          <s v="2379/07/23 - 2379/07/29"/>
          <s v="2379/07/30 - 2379/08/05"/>
          <s v="2379/08/06 - 2379/08/12"/>
          <s v="2379/08/13 - 2379/08/19"/>
          <s v="2379/08/20 - 2379/08/26"/>
          <s v="2379/08/27 - 2379/09/02"/>
          <s v="2379/09/03 - 2379/09/09"/>
          <s v="2379/09/10 - 2379/09/16"/>
          <s v="2379/09/17 - 2379/09/23"/>
          <s v="2379/09/24 - 2379/09/30"/>
          <s v="2379/10/01 - 2379/10/07"/>
          <s v="2379/10/08 - 2379/10/14"/>
          <s v="2379/10/15 - 2379/10/21"/>
          <s v="2379/10/22 - 2379/10/28"/>
          <s v="2379/10/29 - 2379/11/04"/>
          <s v="2379/11/05 - 2379/11/11"/>
          <s v="2379/11/12 - 2379/11/18"/>
          <s v="2379/11/19 - 2379/11/25"/>
          <s v="2379/11/26 - 2379/12/02"/>
          <s v="2379/12/03 - 2379/12/09"/>
          <s v="2379/12/10 - 2379/12/16"/>
          <s v="2379/12/17 - 2379/12/23"/>
          <s v="2379/12/24 - 2379/12/30"/>
          <s v="2379/12/31 - 2380/01/06"/>
          <s v="2380/01/07 - 2380/01/13"/>
          <s v="2380/01/14 - 2380/01/20"/>
          <s v="2380/01/21 - 2380/01/27"/>
          <s v="2380/01/28 - 2380/02/03"/>
          <s v="2380/02/04 - 2380/02/10"/>
          <s v="2380/02/11 - 2380/02/17"/>
          <s v="2380/02/18 - 2380/02/24"/>
          <s v="2380/02/25 - 2380/03/02"/>
          <s v="2380/03/03 - 2380/03/09"/>
          <s v="2380/03/10 - 2380/03/16"/>
          <s v="2380/03/17 - 2380/03/23"/>
          <s v="2380/03/24 - 2380/03/30"/>
          <s v="2380/03/31 - 2380/04/06"/>
          <s v="2380/04/07 - 2380/04/13"/>
          <s v="2380/04/14 - 2380/04/20"/>
          <s v="2380/04/21 - 2380/04/27"/>
          <s v="2380/04/28 - 2380/05/04"/>
          <s v="2380/05/05 - 2380/05/11"/>
          <s v="2380/05/12 - 2380/05/18"/>
          <s v="2380/05/19 - 2380/05/25"/>
          <s v="2380/05/26 - 2380/06/01"/>
          <s v="2380/06/02 - 2380/06/08"/>
          <s v="2380/06/09 - 2380/06/15"/>
          <s v="2380/06/16 - 2380/06/22"/>
          <s v="2380/06/23 - 2380/06/29"/>
          <s v="2380/06/30 - 2380/07/06"/>
          <s v="2380/07/07 - 2380/07/13"/>
          <s v="2380/07/14 - 2380/07/20"/>
          <s v="2380/07/21 - 2380/07/27"/>
          <s v="2380/07/28 - 2380/08/03"/>
          <s v="2380/08/04 - 2380/08/10"/>
          <s v="2380/08/11 - 2380/08/17"/>
          <s v="2380/08/18 - 2380/08/24"/>
          <s v="2380/08/25 - 2380/08/31"/>
          <s v="2380/09/01 - 2380/09/07"/>
          <s v="2380/09/08 - 2380/09/14"/>
          <s v="2380/09/15 - 2380/09/21"/>
          <s v="2380/09/22 - 2380/09/28"/>
          <s v="2380/09/29 - 2380/10/05"/>
          <s v="2380/10/06 - 2380/10/12"/>
          <s v="2380/10/13 - 2380/10/19"/>
          <s v="2380/10/20 - 2380/10/26"/>
          <s v="2380/10/27 - 2380/11/02"/>
          <s v="2380/11/03 - 2380/11/09"/>
          <s v="2380/11/10 - 2380/11/16"/>
          <s v="2380/11/17 - 2380/11/23"/>
          <s v="2380/11/24 - 2380/11/30"/>
          <s v="2380/12/01 - 2380/12/07"/>
          <s v="2380/12/08 - 2380/12/14"/>
          <s v="2380/12/15 - 2380/12/21"/>
          <s v="2380/12/22 - 2380/12/28"/>
          <s v="2380/12/29 - 2381/01/04"/>
          <s v="2381/01/05 - 2381/01/11"/>
          <s v="2381/01/12 - 2381/01/18"/>
          <s v="2381/01/19 - 2381/01/25"/>
          <s v="2381/01/26 - 2381/02/01"/>
          <s v="2381/02/02 - 2381/02/08"/>
          <s v="2381/02/09 - 2381/02/15"/>
          <s v="2381/02/16 - 2381/02/22"/>
          <s v="2381/02/23 - 2381/03/01"/>
          <s v="2381/03/02 - 2381/03/08"/>
          <s v="2381/03/09 - 2381/03/15"/>
          <s v="2381/03/16 - 2381/03/22"/>
          <s v="2381/03/23 - 2381/03/29"/>
          <s v="2381/03/30 - 2381/04/05"/>
          <s v="2381/04/06 - 2381/04/12"/>
          <s v="2381/04/13 - 2381/04/19"/>
          <s v="2381/04/20 - 2381/04/26"/>
          <s v="2381/04/27 - 2381/05/03"/>
          <s v="2381/05/04 - 2381/05/10"/>
          <s v="2381/05/11 - 2381/05/17"/>
          <s v="2381/05/18 - 2381/05/24"/>
          <s v="2381/05/25 - 2381/05/31"/>
          <s v="2381/06/01 - 2381/06/07"/>
          <s v="2381/06/08 - 2381/06/14"/>
          <s v="2381/06/15 - 2381/06/21"/>
          <s v="2381/06/22 - 2381/06/28"/>
          <s v="2381/06/29 - 2381/07/05"/>
          <s v="2381/07/06 - 2381/07/12"/>
          <s v="2381/07/13 - 2381/07/19"/>
          <s v="2381/07/20 - 2381/07/26"/>
          <s v="2381/07/27 - 2381/08/02"/>
          <s v="2381/08/03 - 2381/08/09"/>
          <s v="2381/08/10 - 2381/08/16"/>
          <s v="2381/08/17 - 2381/08/23"/>
          <s v="2381/08/24 - 2381/08/30"/>
          <s v="2381/08/31 - 2381/09/06"/>
          <s v="2381/09/07 - 2381/09/13"/>
          <s v="2381/09/14 - 2381/09/20"/>
          <s v="2381/09/21 - 2381/09/27"/>
          <s v="2381/09/28 - 2381/10/04"/>
          <s v="2381/10/05 - 2381/10/11"/>
          <s v="2381/10/12 - 2381/10/18"/>
          <s v="2381/10/19 - 2381/10/25"/>
          <s v="2381/10/26 - 2381/11/01"/>
          <s v="2381/11/02 - 2381/11/08"/>
          <s v="2381/11/09 - 2381/11/15"/>
          <s v="2381/11/16 - 2381/11/22"/>
          <s v="2381/11/23 - 2381/11/29"/>
          <s v="2381/11/30 - 2381/12/06"/>
          <s v="2381/12/07 - 2381/12/13"/>
          <s v="2381/12/14 - 2381/12/20"/>
          <s v="2381/12/21 - 2381/12/27"/>
          <s v="2381/12/28 - 2382/01/03"/>
          <s v="2382/01/04 - 2382/01/10"/>
          <s v="2382/01/11 - 2382/01/17"/>
          <s v="2382/01/18 - 2382/01/24"/>
          <s v="2382/01/25 - 2382/01/31"/>
          <s v="2382/02/01 - 2382/02/07"/>
          <s v="2382/02/08 - 2382/02/14"/>
          <s v="2382/02/15 - 2382/02/21"/>
          <s v="2382/02/22 - 2382/02/28"/>
          <s v="2382/03/01 - 2382/03/07"/>
          <s v="2382/03/08 - 2382/03/14"/>
          <s v="2382/03/15 - 2382/03/21"/>
          <s v="2382/03/22 - 2382/03/28"/>
          <s v="2382/03/29 - 2382/04/04"/>
          <s v="2382/04/05 - 2382/04/11"/>
          <s v="2382/04/12 - 2382/04/18"/>
          <s v="2382/04/19 - 2382/04/25"/>
          <s v="2382/04/26 - 2382/05/02"/>
          <s v="2382/05/03 - 2382/05/09"/>
          <s v="2382/05/10 - 2382/05/16"/>
          <s v="2382/05/17 - 2382/05/23"/>
          <s v="2382/05/24 - 2382/05/30"/>
          <s v="2382/05/31 - 2382/06/06"/>
          <s v="2382/06/07 - 2382/06/13"/>
          <s v="2382/06/14 - 2382/06/20"/>
          <s v="2382/06/21 - 2382/06/27"/>
          <s v="2382/06/28 - 2382/07/04"/>
          <s v="2382/07/05 - 2382/07/11"/>
          <s v="2382/07/12 - 2382/07/18"/>
          <s v="2382/07/19 - 2382/07/25"/>
          <s v="2382/07/26 - 2382/08/01"/>
          <s v="2382/08/02 - 2382/08/08"/>
          <s v="2382/08/09 - 2382/08/15"/>
          <s v="2382/08/16 - 2382/08/22"/>
          <s v="2382/08/23 - 2382/08/29"/>
          <s v="2382/08/30 - 2382/09/05"/>
          <s v="2382/09/06 - 2382/09/12"/>
          <s v="2382/09/13 - 2382/09/19"/>
          <s v="2382/09/20 - 2382/09/26"/>
          <s v="2382/09/27 - 2382/10/03"/>
          <s v="2382/10/04 - 2382/10/10"/>
          <s v="2382/10/11 - 2382/10/17"/>
          <s v="2382/10/18 - 2382/10/24"/>
          <s v="2382/10/25 - 2382/10/31"/>
          <s v="2382/11/01 - 2382/11/07"/>
          <s v="2382/11/08 - 2382/11/14"/>
          <s v="2382/11/15 - 2382/11/21"/>
          <s v="2382/11/22 - 2382/11/28"/>
          <s v="2382/11/29 - 2382/12/05"/>
          <s v="2382/12/06 - 2382/12/12"/>
          <s v="2382/12/13 - 2382/12/19"/>
          <s v="2382/12/20 - 2382/12/26"/>
          <s v="2382/12/27 - 2383/01/02"/>
          <s v="2383/01/03 - 2383/01/09"/>
          <s v="2383/01/10 - 2383/01/16"/>
          <s v="2383/01/17 - 2383/01/23"/>
          <s v="2383/01/24 - 2383/01/30"/>
          <s v="2383/01/31 - 2383/02/06"/>
          <s v="2383/02/07 - 2383/02/13"/>
          <s v="2383/02/14 - 2383/02/20"/>
          <s v="2383/02/21 - 2383/02/27"/>
          <s v="2383/02/28 - 2383/03/06"/>
          <s v="2383/03/07 - 2383/03/13"/>
          <s v="2383/03/14 - 2383/03/20"/>
          <s v="2383/03/21 - 2383/03/27"/>
          <s v="2383/03/28 - 2383/04/03"/>
          <s v="2383/04/04 - 2383/04/10"/>
          <s v="2383/04/11 - 2383/04/17"/>
          <s v="2383/04/18 - 2383/04/24"/>
          <s v="2383/04/25 - 2383/05/01"/>
          <s v="2383/05/02 - 2383/05/08"/>
          <s v="2383/05/09 - 2383/05/15"/>
          <s v="2383/05/16 - 2383/05/22"/>
          <s v="2383/05/23 - 2383/05/29"/>
          <s v="2383/05/30 - 2383/06/05"/>
          <s v="2383/06/06 - 2383/06/12"/>
          <s v="2383/06/13 - 2383/06/19"/>
          <s v="2383/06/20 - 2383/06/26"/>
          <s v="2383/06/27 - 2383/07/03"/>
          <s v="2383/07/04 - 2383/07/10"/>
          <s v="2383/07/11 - 2383/07/17"/>
          <s v="2383/07/18 - 2383/07/24"/>
          <s v="2383/07/25 - 2383/07/31"/>
          <s v="2383/08/01 - 2383/08/07"/>
          <s v="2383/08/08 - 2383/08/14"/>
          <s v="2383/08/15 - 2383/08/21"/>
          <s v="2383/08/22 - 2383/08/28"/>
          <s v="2383/08/29 - 2383/09/04"/>
          <s v="2383/09/05 - 2383/09/11"/>
          <s v="2383/09/12 - 2383/09/18"/>
          <s v="2383/09/19 - 2383/09/25"/>
          <s v="2383/09/26 - 2383/10/02"/>
          <s v="2383/10/03 - 2383/10/09"/>
          <s v="2383/10/10 - 2383/10/16"/>
          <s v="2383/10/17 - 2383/10/23"/>
          <s v="2383/10/24 - 2383/10/30"/>
          <s v="2383/10/31 - 2383/11/06"/>
          <s v="2383/11/07 - 2383/11/13"/>
          <s v="2383/11/14 - 2383/11/20"/>
          <s v="2383/11/21 - 2383/11/27"/>
          <s v="2383/11/28 - 2383/12/04"/>
          <s v="2383/12/05 - 2383/12/11"/>
          <s v="2383/12/12 - 2383/12/18"/>
          <s v="2383/12/19 - 2383/12/25"/>
          <s v="2383/12/26 - 2384/01/01"/>
          <s v="2384/01/02 - 2384/01/08"/>
          <s v="2384/01/09 - 2384/01/15"/>
          <s v="2384/01/16 - 2384/01/22"/>
          <s v="2384/01/23 - 2384/01/29"/>
          <s v="2384/01/30 - 2384/02/05"/>
          <s v="2384/02/06 - 2384/02/12"/>
          <s v="2384/02/13 - 2384/02/19"/>
          <s v="2384/02/20 - 2384/02/26"/>
          <s v="2384/02/27 - 2384/03/04"/>
          <s v="2384/03/05 - 2384/03/11"/>
          <s v="2384/03/12 - 2384/03/18"/>
          <s v="2384/03/19 - 2384/03/25"/>
          <s v="2384/03/26 - 2384/04/01"/>
          <s v="2384/04/02 - 2384/04/08"/>
          <s v="2384/04/09 - 2384/04/15"/>
          <s v="2384/04/16 - 2384/04/22"/>
          <s v="2384/04/23 - 2384/04/29"/>
          <s v="2384/04/30 - 2384/05/06"/>
          <s v="2384/05/07 - 2384/05/13"/>
          <s v="2384/05/14 - 2384/05/20"/>
          <s v="2384/05/21 - 2384/05/27"/>
          <s v="2384/05/28 - 2384/06/03"/>
          <s v="2384/06/04 - 2384/06/10"/>
          <s v="2384/06/11 - 2384/06/17"/>
          <s v="2384/06/18 - 2384/06/24"/>
          <s v="2384/06/25 - 2384/07/01"/>
          <s v="2384/07/02 - 2384/07/08"/>
          <s v="2384/07/09 - 2384/07/15"/>
          <s v="2384/07/16 - 2384/07/22"/>
          <s v="2384/07/23 - 2384/07/29"/>
          <s v="2384/07/30 - 2384/08/05"/>
          <s v="2384/08/06 - 2384/08/12"/>
          <s v="2384/08/13 - 2384/08/19"/>
          <s v="2384/08/20 - 2384/08/26"/>
          <s v="2384/08/27 - 2384/09/02"/>
          <s v="2384/09/03 - 2384/09/09"/>
          <s v="2384/09/10 - 2384/09/16"/>
          <s v="2384/09/17 - 2384/09/23"/>
          <s v="2384/09/24 - 2384/09/30"/>
          <s v="2384/10/01 - 2384/10/07"/>
          <s v="2384/10/08 - 2384/10/14"/>
          <s v="2384/10/15 - 2384/10/21"/>
          <s v="2384/10/22 - 2384/10/28"/>
          <s v="2384/10/29 - 2384/11/04"/>
          <s v="2384/11/05 - 2384/11/11"/>
          <s v="2384/11/12 - 2384/11/18"/>
          <s v="2384/11/19 - 2384/11/25"/>
          <s v="2384/11/26 - 2384/12/02"/>
          <s v="2384/12/03 - 2384/12/09"/>
          <s v="2384/12/10 - 2384/12/16"/>
          <s v="2384/12/17 - 2384/12/23"/>
          <s v="2384/12/24 - 2384/12/30"/>
          <s v="2384/12/31 - 2385/01/06"/>
          <s v="2385/01/07 - 2385/01/13"/>
          <s v="2385/01/14 - 2385/01/20"/>
          <s v="2385/01/21 - 2385/01/27"/>
          <s v="2385/01/28 - 2385/02/03"/>
          <s v="2385/02/04 - 2385/02/10"/>
          <s v="2385/02/11 - 2385/02/17"/>
          <s v="2385/02/18 - 2385/02/24"/>
          <s v="2385/02/25 - 2385/03/03"/>
          <s v="2385/03/04 - 2385/03/10"/>
          <s v="2385/03/11 - 2385/03/17"/>
          <s v="2385/03/18 - 2385/03/24"/>
          <s v="2385/03/25 - 2385/03/31"/>
          <s v="2385/04/01 - 2385/04/07"/>
          <s v="2385/04/08 - 2385/04/14"/>
          <s v="2385/04/15 - 2385/04/21"/>
          <s v="2385/04/22 - 2385/04/28"/>
          <s v="2385/04/29 - 2385/05/05"/>
          <s v="2385/05/06 - 2385/05/12"/>
          <s v="2385/05/13 - 2385/05/19"/>
          <s v="2385/05/20 - 2385/05/26"/>
          <s v="2385/05/27 - 2385/06/02"/>
          <s v="2385/06/03 - 2385/06/09"/>
          <s v="2385/06/10 - 2385/06/16"/>
          <s v="2385/06/17 - 2385/06/23"/>
          <s v="2385/06/24 - 2385/06/30"/>
          <s v="2385/07/01 - 2385/07/07"/>
          <s v="2385/07/08 - 2385/07/14"/>
          <s v="2385/07/15 - 2385/07/21"/>
          <s v="2385/07/22 - 2385/07/28"/>
          <s v="2385/07/29 - 2385/08/04"/>
          <s v="2385/08/05 - 2385/08/11"/>
          <s v="2385/08/12 - 2385/08/18"/>
          <s v="2385/08/19 - 2385/08/25"/>
          <s v="2385/08/26 - 2385/09/01"/>
          <s v="2385/09/02 - 2385/09/08"/>
          <s v="2385/09/09 - 2385/09/15"/>
          <s v="2385/09/16 - 2385/09/22"/>
          <s v="2385/09/23 - 2385/09/29"/>
          <s v="2385/09/30 - 2385/10/06"/>
          <s v="2385/10/07 - 2385/10/13"/>
          <s v="2385/10/14 - 2385/10/20"/>
          <s v="2385/10/21 - 2385/10/27"/>
          <s v="2385/10/28 - 2385/11/03"/>
          <s v="2385/11/04 - 2385/11/10"/>
          <s v="2385/11/11 - 2385/11/17"/>
          <s v="2385/11/18 - 2385/11/24"/>
          <s v="2385/11/25 - 2385/12/01"/>
          <s v="2385/12/02 - 2385/12/08"/>
          <s v="2385/12/09 - 2385/12/15"/>
          <s v="2385/12/16 - 2385/12/22"/>
          <s v="2385/12/23 - 2385/12/29"/>
          <s v="2385/12/30 - 2386/01/05"/>
          <s v="2386/01/06 - 2386/01/12"/>
          <s v="2386/01/13 - 2386/01/19"/>
          <s v="2386/01/20 - 2386/01/26"/>
          <s v="2386/01/27 - 2386/02/02"/>
          <s v="2386/02/03 - 2386/02/09"/>
          <s v="2386/02/10 - 2386/02/16"/>
          <s v="2386/02/17 - 2386/02/23"/>
          <s v="2386/02/24 - 2386/03/02"/>
          <s v="2386/03/03 - 2386/03/09"/>
          <s v="2386/03/10 - 2386/03/16"/>
          <s v="2386/03/17 - 2386/03/23"/>
          <s v="2386/03/24 - 2386/03/30"/>
          <s v="2386/03/31 - 2386/04/06"/>
          <s v="2386/04/07 - 2386/04/13"/>
          <s v="2386/04/14 - 2386/04/20"/>
          <s v="2386/04/21 - 2386/04/27"/>
          <s v="2386/04/28 - 2386/05/04"/>
          <s v="2386/05/05 - 2386/05/11"/>
          <s v="2386/05/12 - 2386/05/18"/>
          <s v="2386/05/19 - 2386/05/25"/>
          <s v="2386/05/26 - 2386/06/01"/>
          <s v="2386/06/02 - 2386/06/08"/>
          <s v="2386/06/09 - 2386/06/15"/>
          <s v="2386/06/16 - 2386/06/22"/>
          <s v="2386/06/23 - 2386/06/29"/>
          <s v="2386/06/30 - 2386/07/06"/>
          <s v="2386/07/07 - 2386/07/13"/>
          <s v="2386/07/14 - 2386/07/20"/>
          <s v="2386/07/21 - 2386/07/27"/>
          <s v="2386/07/28 - 2386/08/03"/>
          <s v="2386/08/04 - 2386/08/10"/>
          <s v="2386/08/11 - 2386/08/17"/>
          <s v="2386/08/18 - 2386/08/24"/>
          <s v="2386/08/25 - 2386/08/31"/>
          <s v="2386/09/01 - 2386/09/07"/>
          <s v="2386/09/08 - 2386/09/14"/>
          <s v="2386/09/15 - 2386/09/21"/>
          <s v="2386/09/22 - 2386/09/28"/>
          <s v="2386/09/29 - 2386/10/05"/>
          <s v="2386/10/06 - 2386/10/12"/>
          <s v="2386/10/13 - 2386/10/19"/>
          <s v="2386/10/20 - 2386/10/26"/>
          <s v="2386/10/27 - 2386/11/02"/>
          <s v="2386/11/03 - 2386/11/09"/>
          <s v="2386/11/10 - 2386/11/16"/>
          <s v="2386/11/17 - 2386/11/23"/>
          <s v="2386/11/24 - 2386/11/30"/>
          <s v="2386/12/01 - 2386/12/07"/>
          <s v="2386/12/08 - 2386/12/14"/>
          <s v="2386/12/15 - 2386/12/21"/>
          <s v="2386/12/22 - 2386/12/28"/>
          <s v="2386/12/29 - 2387/01/04"/>
          <s v="2387/01/05 - 2387/01/11"/>
          <s v="2387/01/12 - 2387/01/18"/>
          <s v="2387/01/19 - 2387/01/25"/>
          <s v="2387/01/26 - 2387/02/01"/>
          <s v="2387/02/02 - 2387/02/08"/>
          <s v="2387/02/09 - 2387/02/15"/>
          <s v="2387/02/16 - 2387/02/22"/>
          <s v="2387/02/23 - 2387/03/01"/>
          <s v="2387/03/02 - 2387/03/08"/>
          <s v="2387/03/09 - 2387/03/15"/>
          <s v="2387/03/16 - 2387/03/22"/>
          <s v="2387/03/23 - 2387/03/29"/>
          <s v="2387/03/30 - 2387/04/05"/>
          <s v="2387/04/06 - 2387/04/12"/>
          <s v="2387/04/13 - 2387/04/19"/>
          <s v="2387/04/20 - 2387/04/26"/>
          <s v="2387/04/27 - 2387/05/03"/>
          <s v="2387/05/04 - 2387/05/10"/>
          <s v="2387/05/11 - 2387/05/17"/>
          <s v="2387/05/18 - 2387/05/24"/>
          <s v="2387/05/25 - 2387/05/31"/>
          <s v="2387/06/01 - 2387/06/07"/>
          <s v="2387/06/08 - 2387/06/14"/>
          <s v="2387/06/15 - 2387/06/21"/>
          <s v="2387/06/22 - 2387/06/28"/>
          <s v="2387/06/29 - 2387/07/05"/>
          <s v="2387/07/06 - 2387/07/12"/>
          <s v="2387/07/13 - 2387/07/19"/>
          <s v="2387/07/20 - 2387/07/26"/>
          <s v="2387/07/27 - 2387/08/02"/>
          <s v="2387/08/03 - 2387/08/09"/>
          <s v="2387/08/10 - 2387/08/16"/>
          <s v="2387/08/17 - 2387/08/23"/>
          <s v="2387/08/24 - 2387/08/30"/>
          <s v="2387/08/31 - 2387/09/06"/>
          <s v="2387/09/07 - 2387/09/13"/>
          <s v="2387/09/14 - 2387/09/20"/>
          <s v="2387/09/21 - 2387/09/27"/>
          <s v="2387/09/28 - 2387/10/04"/>
          <s v="2387/10/05 - 2387/10/11"/>
          <s v="2387/10/12 - 2387/10/18"/>
          <s v="2387/10/19 - 2387/10/25"/>
          <s v="2387/10/26 - 2387/11/01"/>
          <s v="2387/11/02 - 2387/11/08"/>
          <s v="2387/11/09 - 2387/11/15"/>
          <s v="2387/11/16 - 2387/11/22"/>
          <s v="2387/11/23 - 2387/11/29"/>
          <s v="2387/11/30 - 2387/12/06"/>
          <s v="2387/12/07 - 2387/12/13"/>
          <s v="2387/12/14 - 2387/12/20"/>
          <s v="2387/12/21 - 2387/12/27"/>
          <s v="2387/12/28 - 2388/01/03"/>
          <s v="2388/01/04 - 2388/01/10"/>
          <s v="2388/01/11 - 2388/01/17"/>
          <s v="2388/01/18 - 2388/01/24"/>
          <s v="2388/01/25 - 2388/01/31"/>
          <s v="2388/02/01 - 2388/02/07"/>
          <s v="2388/02/08 - 2388/02/14"/>
          <s v="2388/02/15 - 2388/02/21"/>
          <s v="2388/02/22 - 2388/02/28"/>
          <s v="2388/02/29 - 2388/03/06"/>
          <s v="2388/03/07 - 2388/03/13"/>
          <s v="2388/03/14 - 2388/03/20"/>
          <s v="2388/03/21 - 2388/03/27"/>
          <s v="2388/03/28 - 2388/04/03"/>
          <s v="2388/04/04 - 2388/04/10"/>
          <s v="2388/04/11 - 2388/04/17"/>
          <s v="2388/04/18 - 2388/04/24"/>
          <s v="2388/04/25 - 2388/05/01"/>
          <s v="2388/05/02 - 2388/05/08"/>
          <s v="2388/05/09 - 2388/05/15"/>
          <s v="2388/05/16 - 2388/05/22"/>
          <s v="2388/05/23 - 2388/05/29"/>
          <s v="2388/05/30 - 2388/06/05"/>
          <s v="2388/06/06 - 2388/06/12"/>
          <s v="2388/06/13 - 2388/06/19"/>
          <s v="2388/06/20 - 2388/06/26"/>
          <s v="2388/06/27 - 2388/07/03"/>
          <s v="2388/07/04 - 2388/07/10"/>
          <s v="2388/07/11 - 2388/07/17"/>
          <s v="2388/07/18 - 2388/07/24"/>
          <s v="2388/07/25 - 2388/07/31"/>
          <s v="2388/08/01 - 2388/08/07"/>
          <s v="2388/08/08 - 2388/08/14"/>
          <s v="2388/08/15 - 2388/08/21"/>
          <s v="2388/08/22 - 2388/08/28"/>
          <s v="2388/08/29 - 2388/09/04"/>
          <s v="2388/09/05 - 2388/09/11"/>
          <s v="2388/09/12 - 2388/09/18"/>
          <s v="2388/09/19 - 2388/09/25"/>
          <s v="2388/09/26 - 2388/10/02"/>
          <s v="2388/10/03 - 2388/10/09"/>
          <s v="2388/10/10 - 2388/10/16"/>
          <s v="2388/10/17 - 2388/10/23"/>
          <s v="2388/10/24 - 2388/10/30"/>
          <s v="2388/10/31 - 2388/11/06"/>
          <s v="2388/11/07 - 2388/11/13"/>
          <s v="2388/11/14 - 2388/11/20"/>
          <s v="2388/11/21 - 2388/11/27"/>
          <s v="2388/11/28 - 2388/12/04"/>
          <s v="2388/12/05 - 2388/12/11"/>
          <s v="2388/12/12 - 2388/12/18"/>
          <s v="2388/12/19 - 2388/12/25"/>
          <s v="2388/12/26 - 2389/01/01"/>
          <s v="2389/01/02 - 2389/01/08"/>
          <s v="2389/01/09 - 2389/01/15"/>
          <s v="2389/01/16 - 2389/01/22"/>
          <s v="2389/01/23 - 2389/01/29"/>
          <s v="2389/01/30 - 2389/02/05"/>
          <s v="2389/02/06 - 2389/02/12"/>
          <s v="2389/02/13 - 2389/02/19"/>
          <s v="2389/02/20 - 2389/02/26"/>
          <s v="2389/02/27 - 2389/03/05"/>
          <s v="2389/03/06 - 2389/03/12"/>
          <s v="2389/03/13 - 2389/03/19"/>
          <s v="2389/03/20 - 2389/03/26"/>
          <s v="2389/03/27 - 2389/04/02"/>
          <s v="2389/04/03 - 2389/04/09"/>
          <s v="2389/04/10 - 2389/04/16"/>
          <s v="2389/04/17 - 2389/04/23"/>
          <s v="2389/04/24 - 2389/04/30"/>
          <s v="2389/05/01 - 2389/05/07"/>
          <s v="2389/05/08 - 2389/05/14"/>
          <s v="2389/05/15 - 2389/05/21"/>
          <s v="2389/05/22 - 2389/05/28"/>
          <s v="2389/05/29 - 2389/06/04"/>
          <s v="2389/06/05 - 2389/06/11"/>
          <s v="2389/06/12 - 2389/06/18"/>
          <s v="2389/06/19 - 2389/06/25"/>
          <s v="2389/06/26 - 2389/07/02"/>
          <s v="2389/07/03 - 2389/07/09"/>
          <s v="2389/07/10 - 2389/07/16"/>
          <s v="2389/07/17 - 2389/07/23"/>
          <s v="2389/07/24 - 2389/07/30"/>
          <s v="2389/07/31 - 2389/08/06"/>
          <s v="2389/08/07 - 2389/08/13"/>
          <s v="2389/08/14 - 2389/08/20"/>
          <s v="2389/08/21 - 2389/08/27"/>
          <s v="2389/08/28 - 2389/09/03"/>
          <s v="2389/09/04 - 2389/09/10"/>
          <s v="2389/09/11 - 2389/09/17"/>
          <s v="2389/09/18 - 2389/09/24"/>
          <s v="2389/09/25 - 2389/10/01"/>
          <s v="2389/10/02 - 2389/10/08"/>
          <s v="2389/10/09 - 2389/10/15"/>
          <s v="2389/10/16 - 2389/10/22"/>
          <s v="2389/10/23 - 2389/10/29"/>
          <s v="2389/10/30 - 2389/11/05"/>
          <s v="2389/11/06 - 2389/11/12"/>
          <s v="2389/11/13 - 2389/11/19"/>
          <s v="2389/11/20 - 2389/11/26"/>
          <s v="2389/11/27 - 2389/12/03"/>
          <s v="2389/12/04 - 2389/12/10"/>
          <s v="2389/12/11 - 2389/12/17"/>
          <s v="2389/12/18 - 2389/12/24"/>
          <s v="2389/12/25 - 2389/12/31"/>
          <s v="2390/01/01 - 2390/01/07"/>
          <s v="2390/01/08 - 2390/01/14"/>
          <s v="2390/01/15 - 2390/01/21"/>
          <s v="2390/01/22 - 2390/01/28"/>
          <s v="2390/01/29 - 2390/02/04"/>
          <s v="2390/02/05 - 2390/02/11"/>
          <s v="2390/02/12 - 2390/02/18"/>
          <s v="2390/02/19 - 2390/02/25"/>
          <s v="2390/02/26 - 2390/03/04"/>
          <s v="2390/03/05 - 2390/03/11"/>
          <s v="2390/03/12 - 2390/03/18"/>
          <s v="2390/03/19 - 2390/03/25"/>
          <s v="2390/03/26 - 2390/04/01"/>
          <s v="2390/04/02 - 2390/04/08"/>
          <s v="2390/04/09 - 2390/04/15"/>
          <s v="2390/04/16 - 2390/04/22"/>
          <s v="2390/04/23 - 2390/04/29"/>
          <s v="2390/04/30 - 2390/05/06"/>
          <s v="2390/05/07 - 2390/05/13"/>
          <s v="2390/05/14 - 2390/05/20"/>
          <s v="2390/05/21 - 2390/05/27"/>
          <s v="2390/05/28 - 2390/06/03"/>
          <s v="2390/06/04 - 2390/06/10"/>
          <s v="2390/06/11 - 2390/06/17"/>
          <s v="2390/06/18 - 2390/06/24"/>
          <s v="2390/06/25 - 2390/07/01"/>
          <s v="2390/07/02 - 2390/07/08"/>
          <s v="2390/07/09 - 2390/07/15"/>
          <s v="2390/07/16 - 2390/07/22"/>
          <s v="2390/07/23 - 2390/07/29"/>
          <s v="2390/07/30 - 2390/08/05"/>
          <s v="2390/08/06 - 2390/08/12"/>
          <s v="2390/08/13 - 2390/08/19"/>
          <s v="2390/08/20 - 2390/08/26"/>
          <s v="2390/08/27 - 2390/09/02"/>
          <s v="2390/09/03 - 2390/09/09"/>
          <s v="2390/09/10 - 2390/09/16"/>
          <s v="2390/09/17 - 2390/09/23"/>
          <s v="2390/09/24 - 2390/09/30"/>
          <s v="2390/10/01 - 2390/10/07"/>
          <s v="2390/10/08 - 2390/10/14"/>
          <s v="2390/10/15 - 2390/10/21"/>
          <s v="2390/10/22 - 2390/10/28"/>
          <s v="2390/10/29 - 2390/11/04"/>
          <s v="2390/11/05 - 2390/11/11"/>
          <s v="2390/11/12 - 2390/11/18"/>
          <s v="2390/11/19 - 2390/11/25"/>
          <s v="2390/11/26 - 2390/12/02"/>
          <s v="2390/12/03 - 2390/12/09"/>
          <s v="2390/12/10 - 2390/12/16"/>
          <s v="2390/12/17 - 2390/12/23"/>
          <s v="2390/12/24 - 2390/12/30"/>
          <s v="2390/12/31 - 2391/01/06"/>
          <s v="2391/01/07 - 2391/01/13"/>
          <s v="2391/01/14 - 2391/01/20"/>
          <s v="2391/01/21 - 2391/01/27"/>
          <s v="2391/01/28 - 2391/02/03"/>
          <s v="2391/02/04 - 2391/02/10"/>
          <s v="2391/02/11 - 2391/02/17"/>
          <s v="2391/02/18 - 2391/02/24"/>
          <s v="2391/02/25 - 2391/03/03"/>
          <s v="2391/03/04 - 2391/03/10"/>
          <s v="2391/03/11 - 2391/03/17"/>
          <s v="2391/03/18 - 2391/03/24"/>
          <s v="2391/03/25 - 2391/03/31"/>
          <s v="2391/04/01 - 2391/04/07"/>
          <s v="2391/04/08 - 2391/04/14"/>
          <s v="2391/04/15 - 2391/04/21"/>
          <s v="2391/04/22 - 2391/04/28"/>
          <s v="2391/04/29 - 2391/05/05"/>
          <s v="2391/05/06 - 2391/05/12"/>
          <s v="2391/05/13 - 2391/05/19"/>
          <s v="2391/05/20 - 2391/05/26"/>
          <s v="2391/05/27 - 2391/06/02"/>
          <s v="2391/06/03 - 2391/06/09"/>
          <s v="2391/06/10 - 2391/06/16"/>
          <s v="2391/06/17 - 2391/06/23"/>
          <s v="2391/06/24 - 2391/06/30"/>
          <s v="2391/07/01 - 2391/07/07"/>
          <s v="2391/07/08 - 2391/07/14"/>
          <s v="2391/07/15 - 2391/07/21"/>
          <s v="2391/07/22 - 2391/07/28"/>
          <s v="2391/07/29 - 2391/08/04"/>
          <s v="2391/08/05 - 2391/08/11"/>
          <s v="2391/08/12 - 2391/08/18"/>
          <s v="2391/08/19 - 2391/08/25"/>
          <s v="2391/08/26 - 2391/09/01"/>
          <s v="2391/09/02 - 2391/09/08"/>
          <s v="2391/09/09 - 2391/09/15"/>
          <s v="2391/09/16 - 2391/09/22"/>
          <s v="2391/09/23 - 2391/09/29"/>
          <s v="2391/09/30 - 2391/10/06"/>
          <s v="2391/10/07 - 2391/10/13"/>
          <s v="2391/10/14 - 2391/10/20"/>
          <s v="2391/10/21 - 2391/10/27"/>
          <s v="2391/10/28 - 2391/11/03"/>
          <s v="2391/11/04 - 2391/11/10"/>
          <s v="2391/11/11 - 2391/11/17"/>
          <s v="2391/11/18 - 2391/11/24"/>
          <s v="2391/11/25 - 2391/12/01"/>
          <s v="2391/12/02 - 2391/12/08"/>
          <s v="2391/12/09 - 2391/12/15"/>
          <s v="2391/12/16 - 2391/12/22"/>
          <s v="2391/12/23 - 2391/12/29"/>
          <s v="2391/12/30 - 2392/01/05"/>
          <s v="2392/01/06 - 2392/01/12"/>
          <s v="2392/01/13 - 2392/01/19"/>
          <s v="2392/01/20 - 2392/01/26"/>
          <s v="2392/01/27 - 2392/02/02"/>
          <s v="2392/02/03 - 2392/02/09"/>
          <s v="2392/02/10 - 2392/02/16"/>
          <s v="2392/02/17 - 2392/02/23"/>
          <s v="2392/02/24 - 2392/03/01"/>
          <s v="2392/03/02 - 2392/03/08"/>
          <s v="2392/03/09 - 2392/03/15"/>
          <s v="2392/03/16 - 2392/03/22"/>
          <s v="2392/03/23 - 2392/03/29"/>
          <s v="2392/03/30 - 2392/04/05"/>
          <s v="2392/04/06 - 2392/04/12"/>
          <s v="2392/04/13 - 2392/04/19"/>
          <s v="2392/04/20 - 2392/04/26"/>
          <s v="2392/04/27 - 2392/05/03"/>
          <s v="2392/05/04 - 2392/05/10"/>
          <s v="2392/05/11 - 2392/05/17"/>
          <s v="2392/05/18 - 2392/05/24"/>
          <s v="2392/05/25 - 2392/05/31"/>
          <s v="2392/06/01 - 2392/06/07"/>
          <s v="2392/06/08 - 2392/06/14"/>
          <s v="2392/06/15 - 2392/06/21"/>
          <s v="2392/06/22 - 2392/06/28"/>
          <s v="2392/06/29 - 2392/07/05"/>
          <s v="2392/07/06 - 2392/07/12"/>
          <s v="2392/07/13 - 2392/07/19"/>
          <s v="2392/07/20 - 2392/07/26"/>
          <s v="2392/07/27 - 2392/08/02"/>
          <s v="2392/08/03 - 2392/08/09"/>
          <s v="2392/08/10 - 2392/08/16"/>
          <s v="2392/08/17 - 2392/08/23"/>
          <s v="2392/08/24 - 2392/08/30"/>
          <s v="2392/08/31 - 2392/09/06"/>
          <s v="2392/09/07 - 2392/09/13"/>
          <s v="2392/09/14 - 2392/09/20"/>
          <s v="2392/09/21 - 2392/09/27"/>
          <s v="2392/09/28 - 2392/10/04"/>
          <s v="2392/10/05 - 2392/10/11"/>
          <s v="2392/10/12 - 2392/10/18"/>
          <s v="2392/10/19 - 2392/10/25"/>
          <s v="2392/10/26 - 2392/11/01"/>
          <s v="2392/11/02 - 2392/11/08"/>
          <s v="2392/11/09 - 2392/11/15"/>
          <s v="2392/11/16 - 2392/11/22"/>
          <s v="2392/11/23 - 2392/11/29"/>
          <s v="2392/11/30 - 2392/12/06"/>
          <s v="2392/12/07 - 2392/12/13"/>
          <s v="2392/12/14 - 2392/12/20"/>
          <s v="2392/12/21 - 2392/12/27"/>
          <s v="2392/12/28 - 2393/01/03"/>
          <s v="2393/01/04 - 2393/01/10"/>
          <s v="2393/01/11 - 2393/01/17"/>
          <s v="2393/01/18 - 2393/01/24"/>
          <s v="2393/01/25 - 2393/01/31"/>
          <s v="2393/02/01 - 2393/02/07"/>
          <s v="2393/02/08 - 2393/02/14"/>
          <s v="2393/02/15 - 2393/02/21"/>
          <s v="2393/02/22 - 2393/02/28"/>
          <s v="2393/03/01 - 2393/03/07"/>
          <s v="2393/03/08 - 2393/03/14"/>
          <s v="2393/03/15 - 2393/03/21"/>
          <s v="2393/03/22 - 2393/03/28"/>
          <s v="2393/03/29 - 2393/04/04"/>
          <s v="2393/04/05 - 2393/04/11"/>
          <s v="2393/04/12 - 2393/04/18"/>
          <s v="2393/04/19 - 2393/04/25"/>
          <s v="2393/04/26 - 2393/05/02"/>
          <s v="2393/05/03 - 2393/05/09"/>
          <s v="2393/05/10 - 2393/05/16"/>
          <s v="2393/05/17 - 2393/05/23"/>
          <s v="2393/05/24 - 2393/05/30"/>
          <s v="2393/05/31 - 2393/06/06"/>
          <s v="2393/06/07 - 2393/06/13"/>
          <s v="2393/06/14 - 2393/06/20"/>
          <s v="2393/06/21 - 2393/06/27"/>
          <s v="2393/06/28 - 2393/07/04"/>
          <s v="2393/07/05 - 2393/07/11"/>
          <s v="2393/07/12 - 2393/07/18"/>
          <s v="2393/07/19 - 2393/07/25"/>
          <s v="2393/07/26 - 2393/08/01"/>
          <s v="2393/08/02 - 2393/08/08"/>
          <s v="2393/08/09 - 2393/08/15"/>
          <s v="2393/08/16 - 2393/08/22"/>
          <s v="2393/08/23 - 2393/08/29"/>
          <s v="2393/08/30 - 2393/09/05"/>
          <s v="2393/09/06 - 2393/09/12"/>
          <s v="2393/09/13 - 2393/09/19"/>
          <s v="2393/09/20 - 2393/09/26"/>
          <s v="2393/09/27 - 2393/10/03"/>
          <s v="2393/10/04 - 2393/10/10"/>
          <s v="2393/10/11 - 2393/10/17"/>
          <s v="2393/10/18 - 2393/10/24"/>
          <s v="2393/10/25 - 2393/10/31"/>
          <s v="2393/11/01 - 2393/11/07"/>
          <s v="2393/11/08 - 2393/11/14"/>
          <s v="2393/11/15 - 2393/11/21"/>
          <s v="2393/11/22 - 2393/11/28"/>
          <s v="2393/11/29 - 2393/12/05"/>
          <s v="2393/12/06 - 2393/12/12"/>
          <s v="2393/12/13 - 2393/12/19"/>
          <s v="2393/12/20 - 2393/12/26"/>
          <s v="2393/12/27 - 2394/01/02"/>
          <s v="2394/01/03 - 2394/01/09"/>
          <s v="2394/01/10 - 2394/01/16"/>
          <s v="2394/01/17 - 2394/01/23"/>
          <s v="2394/01/24 - 2394/01/30"/>
          <s v="2394/01/31 - 2394/02/06"/>
          <s v="2394/02/07 - 2394/02/13"/>
          <s v="2394/02/14 - 2394/02/20"/>
          <s v="2394/02/21 - 2394/02/27"/>
          <s v="2394/02/28 - 2394/03/06"/>
          <s v="2394/03/07 - 2394/03/13"/>
          <s v="2394/03/14 - 2394/03/20"/>
          <s v="2394/03/21 - 2394/03/27"/>
          <s v="2394/03/28 - 2394/04/03"/>
          <s v="2394/04/04 - 2394/04/10"/>
          <s v="2394/04/11 - 2394/04/17"/>
          <s v="2394/04/18 - 2394/04/24"/>
          <s v="2394/04/25 - 2394/05/01"/>
          <s v="2394/05/02 - 2394/05/08"/>
          <s v="2394/05/09 - 2394/05/15"/>
          <s v="2394/05/16 - 2394/05/22"/>
          <s v="2394/05/23 - 2394/05/29"/>
          <s v="2394/05/30 - 2394/06/05"/>
          <s v="2394/06/06 - 2394/06/12"/>
          <s v="2394/06/13 - 2394/06/19"/>
          <s v="2394/06/20 - 2394/06/26"/>
          <s v="2394/06/27 - 2394/07/03"/>
          <s v="2394/07/04 - 2394/07/10"/>
          <s v="2394/07/11 - 2394/07/17"/>
          <s v="2394/07/18 - 2394/07/24"/>
          <s v="2394/07/25 - 2394/07/31"/>
          <s v="2394/08/01 - 2394/08/07"/>
          <s v="2394/08/08 - 2394/08/14"/>
          <s v="2394/08/15 - 2394/08/21"/>
          <s v="2394/08/22 - 2394/08/28"/>
          <s v="2394/08/29 - 2394/09/04"/>
          <s v="2394/09/05 - 2394/09/11"/>
          <s v="2394/09/12 - 2394/09/18"/>
          <s v="2394/09/19 - 2394/09/25"/>
          <s v="2394/09/26 - 2394/10/02"/>
          <s v="2394/10/03 - 2394/10/09"/>
          <s v="2394/10/10 - 2394/10/16"/>
          <s v="2394/10/17 - 2394/10/23"/>
          <s v="2394/10/24 - 2394/10/30"/>
          <s v="2394/10/31 - 2394/11/06"/>
          <s v="2394/11/07 - 2394/11/13"/>
          <s v="2394/11/14 - 2394/11/20"/>
          <s v="2394/11/21 - 2394/11/27"/>
          <s v="2394/11/28 - 2394/12/04"/>
          <s v="2394/12/05 - 2394/12/11"/>
          <s v="2394/12/12 - 2394/12/18"/>
          <s v="2394/12/19 - 2394/12/25"/>
          <s v="2394/12/26 - 2395/01/01"/>
          <s v="2395/01/02 - 2395/01/08"/>
          <s v="2395/01/09 - 2395/01/15"/>
          <s v="2395/01/16 - 2395/01/22"/>
          <s v="2395/01/23 - 2395/01/29"/>
          <s v="2395/01/30 - 2395/02/05"/>
          <s v="2395/02/06 - 2395/02/12"/>
          <s v="2395/02/13 - 2395/02/19"/>
          <s v="2395/02/20 - 2395/02/26"/>
          <s v="2395/02/27 - 2395/03/05"/>
          <s v="2395/03/06 - 2395/03/12"/>
          <s v="2395/03/13 - 2395/03/19"/>
          <s v="2395/03/20 - 2395/03/26"/>
          <s v="2395/03/27 - 2395/04/02"/>
          <s v="2395/04/03 - 2395/04/09"/>
          <s v="2395/04/10 - 2395/04/16"/>
          <s v="2395/04/17 - 2395/04/23"/>
          <s v="2395/04/24 - 2395/04/30"/>
          <s v="2395/05/01 - 2395/05/07"/>
          <s v="2395/05/08 - 2395/05/14"/>
          <s v="2395/05/15 - 2395/05/21"/>
          <s v="2395/05/22 - 2395/05/28"/>
          <s v="2395/05/29 - 2395/06/04"/>
          <s v="2395/06/05 - 2395/06/11"/>
          <s v="2395/06/12 - 2395/06/18"/>
          <s v="2395/06/19 - 2395/06/25"/>
          <s v="2395/06/26 - 2395/07/02"/>
          <s v="2395/07/03 - 2395/07/09"/>
          <s v="2395/07/10 - 2395/07/16"/>
          <s v="2395/07/17 - 2395/07/23"/>
          <s v="2395/07/24 - 2395/07/30"/>
          <s v="2395/07/31 - 2395/08/06"/>
          <s v="2395/08/07 - 2395/08/13"/>
          <s v="2395/08/14 - 2395/08/20"/>
          <s v="2395/08/21 - 2395/08/27"/>
          <s v="2395/08/28 - 2395/09/03"/>
          <s v="2395/09/04 - 2395/09/10"/>
          <s v="2395/09/11 - 2395/09/17"/>
          <s v="2395/09/18 - 2395/09/24"/>
          <s v="2395/09/25 - 2395/10/01"/>
          <s v="2395/10/02 - 2395/10/08"/>
          <s v="2395/10/09 - 2395/10/15"/>
          <s v="2395/10/16 - 2395/10/22"/>
          <s v="2395/10/23 - 2395/10/29"/>
          <s v="2395/10/30 - 2395/11/05"/>
          <s v="2395/11/06 - 2395/11/12"/>
          <s v="2395/11/13 - 2395/11/19"/>
          <s v="2395/11/20 - 2395/11/26"/>
          <s v="2395/11/27 - 2395/12/03"/>
          <s v="2395/12/04 - 2395/12/10"/>
          <s v="2395/12/11 - 2395/12/17"/>
          <s v="2395/12/18 - 2395/12/24"/>
          <s v="2395/12/25 - 2395/12/31"/>
          <s v="2396/01/01 - 2396/01/07"/>
          <s v="2396/01/08 - 2396/01/14"/>
          <s v="2396/01/15 - 2396/01/21"/>
          <s v="2396/01/22 - 2396/01/28"/>
          <s v="2396/01/29 - 2396/02/04"/>
          <s v="2396/02/05 - 2396/02/11"/>
          <s v="2396/02/12 - 2396/02/18"/>
          <s v="2396/02/19 - 2396/02/25"/>
          <s v="2396/02/26 - 2396/03/03"/>
          <s v="2396/03/04 - 2396/03/10"/>
          <s v="2396/03/11 - 2396/03/17"/>
          <s v="2396/03/18 - 2396/03/24"/>
          <s v="2396/03/25 - 2396/03/31"/>
          <s v="2396/04/01 - 2396/04/07"/>
          <s v="2396/04/08 - 2396/04/14"/>
          <s v="2396/04/15 - 2396/04/21"/>
          <s v="2396/04/22 - 2396/04/28"/>
          <s v="2396/04/29 - 2396/05/05"/>
          <s v="2396/05/06 - 2396/05/12"/>
          <s v="2396/05/13 - 2396/05/19"/>
          <s v="2396/05/20 - 2396/05/26"/>
          <s v="2396/05/27 - 2396/06/02"/>
          <s v="2396/06/03 - 2396/06/09"/>
          <s v="2396/06/10 - 2396/06/16"/>
          <s v="2396/06/17 - 2396/06/23"/>
          <s v="2396/06/24 - 2396/06/30"/>
          <s v="2396/07/01 - 2396/07/07"/>
          <s v="2396/07/08 - 2396/07/14"/>
          <s v="2396/07/15 - 2396/07/21"/>
          <s v="2396/07/22 - 2396/07/28"/>
          <s v="2396/07/29 - 2396/08/04"/>
          <s v="2396/08/05 - 2396/08/11"/>
          <s v="2396/08/12 - 2396/08/18"/>
          <s v="2396/08/19 - 2396/08/25"/>
          <s v="2396/08/26 - 2396/09/01"/>
          <s v="2396/09/02 - 2396/09/08"/>
          <s v="2396/09/09 - 2396/09/15"/>
          <s v="2396/09/16 - 2396/09/22"/>
          <s v="2396/09/23 - 2396/09/29"/>
          <s v="2396/09/30 - 2396/10/06"/>
          <s v="2396/10/07 - 2396/10/13"/>
          <s v="2396/10/14 - 2396/10/20"/>
          <s v="2396/10/21 - 2396/10/27"/>
          <s v="2396/10/28 - 2396/11/03"/>
          <s v="2396/11/04 - 2396/11/10"/>
          <s v="2396/11/11 - 2396/11/17"/>
          <s v="2396/11/18 - 2396/11/24"/>
          <s v="2396/11/25 - 2396/12/01"/>
          <s v="2396/12/02 - 2396/12/08"/>
          <s v="2396/12/09 - 2396/12/15"/>
          <s v="2396/12/16 - 2396/12/22"/>
          <s v="2396/12/23 - 2396/12/29"/>
          <s v="2396/12/30 - 2397/01/05"/>
          <s v="2397/01/06 - 2397/01/12"/>
          <s v="2397/01/13 - 2397/01/19"/>
          <s v="2397/01/20 - 2397/01/26"/>
          <s v="2397/01/27 - 2397/02/02"/>
          <s v="2397/02/03 - 2397/02/09"/>
          <s v="2397/02/10 - 2397/02/16"/>
          <s v="2397/02/17 - 2397/02/23"/>
          <s v="2397/02/24 - 2397/03/02"/>
          <s v="2397/03/03 - 2397/03/09"/>
          <s v="2397/03/10 - 2397/03/16"/>
          <s v="2397/03/17 - 2397/03/23"/>
          <s v="2397/03/24 - 2397/03/30"/>
          <s v="2397/03/31 - 2397/04/06"/>
          <s v="2397/04/07 - 2397/04/13"/>
          <s v="2397/04/14 - 2397/04/20"/>
          <s v="2397/04/21 - 2397/04/27"/>
          <s v="2397/04/28 - 2397/05/04"/>
          <s v="2397/05/05 - 2397/05/11"/>
          <s v="2397/05/12 - 2397/05/18"/>
          <s v="2397/05/19 - 2397/05/25"/>
          <s v="2397/05/26 - 2397/06/01"/>
          <s v="2397/06/02 - 2397/06/08"/>
          <s v="2397/06/09 - 2397/06/15"/>
          <s v="2397/06/16 - 2397/06/22"/>
          <s v="2397/06/23 - 2397/06/29"/>
          <s v="2397/06/30 - 2397/07/06"/>
          <s v="2397/07/07 - 2397/07/13"/>
          <s v="2397/07/14 - 2397/07/20"/>
          <s v="2397/07/21 - 2397/07/27"/>
          <s v="2397/07/28 - 2397/08/03"/>
          <s v="2397/08/04 - 2397/08/10"/>
          <s v="2397/08/11 - 2397/08/17"/>
          <s v="2397/08/18 - 2397/08/24"/>
          <s v="2397/08/25 - 2397/08/31"/>
          <s v="2397/09/01 - 2397/09/07"/>
          <s v="2397/09/08 - 2397/09/14"/>
          <s v="2397/09/15 - 2397/09/21"/>
          <s v="2397/09/22 - 2397/09/28"/>
          <s v="2397/09/29 - 2397/10/05"/>
          <s v="2397/10/06 - 2397/10/12"/>
          <s v="2397/10/13 - 2397/10/19"/>
          <s v="2397/10/20 - 2397/10/26"/>
          <s v="2397/10/27 - 2397/11/02"/>
          <s v="2397/11/03 - 2397/11/09"/>
          <s v="2397/11/10 - 2397/11/16"/>
          <s v="2397/11/17 - 2397/11/23"/>
          <s v="2397/11/24 - 2397/11/30"/>
          <s v="2397/12/01 - 2397/12/07"/>
          <s v="2397/12/08 - 2397/12/14"/>
          <s v="2397/12/15 - 2397/12/21"/>
          <s v="2397/12/22 - 2397/12/28"/>
          <s v="2397/12/29 - 2398/01/04"/>
          <s v="2398/01/05 - 2398/01/11"/>
          <s v="2398/01/12 - 2398/01/18"/>
          <s v="2398/01/19 - 2398/01/25"/>
          <s v="2398/01/26 - 2398/02/01"/>
          <s v="2398/02/02 - 2398/02/08"/>
          <s v="2398/02/09 - 2398/02/15"/>
          <s v="2398/02/16 - 2398/02/22"/>
          <s v="2398/02/23 - 2398/03/01"/>
          <s v="2398/03/02 - 2398/03/08"/>
          <s v="2398/03/09 - 2398/03/15"/>
          <s v="2398/03/16 - 2398/03/22"/>
          <s v="2398/03/23 - 2398/03/29"/>
          <s v="2398/03/30 - 2398/04/05"/>
          <s v="2398/04/06 - 2398/04/12"/>
          <s v="2398/04/13 - 2398/04/19"/>
          <s v="2398/04/20 - 2398/04/26"/>
          <s v="2398/04/27 - 2398/05/03"/>
          <s v="2398/05/04 - 2398/05/10"/>
          <s v="2398/05/11 - 2398/05/17"/>
          <s v="2398/05/18 - 2398/05/24"/>
          <s v="2398/05/25 - 2398/05/31"/>
          <s v="2398/06/01 - 2398/06/07"/>
          <s v="2398/06/08 - 2398/06/14"/>
          <s v="2398/06/15 - 2398/06/21"/>
          <s v="2398/06/22 - 2398/06/28"/>
          <s v="2398/06/29 - 2398/07/05"/>
          <s v="2398/07/06 - 2398/07/12"/>
          <s v="2398/07/13 - 2398/07/19"/>
          <s v="2398/07/20 - 2398/07/26"/>
          <s v="2398/07/27 - 2398/08/02"/>
          <s v="2398/08/03 - 2398/08/09"/>
          <s v="2398/08/10 - 2398/08/16"/>
          <s v="2398/08/17 - 2398/08/23"/>
          <s v="2398/08/24 - 2398/08/30"/>
          <s v="2398/08/31 - 2398/09/06"/>
          <s v="2398/09/07 - 2398/09/13"/>
          <s v="2398/09/14 - 2398/09/20"/>
          <s v="2398/09/21 - 2398/09/27"/>
          <s v="2398/09/28 - 2398/10/04"/>
          <s v="2398/10/05 - 2398/10/11"/>
          <s v="2398/10/12 - 2398/10/18"/>
          <s v="2398/10/19 - 2398/10/25"/>
          <s v="2398/10/26 - 2398/11/01"/>
          <s v="2398/11/02 - 2398/11/08"/>
          <s v="2398/11/09 - 2398/11/15"/>
          <s v="2398/11/16 - 2398/11/22"/>
          <s v="2398/11/23 - 2398/11/29"/>
          <s v="2398/11/30 - 2398/12/06"/>
          <s v="2398/12/07 - 2398/12/13"/>
          <s v="2398/12/14 - 2398/12/20"/>
          <s v="2398/12/21 - 2398/12/27"/>
          <s v="2398/12/28 - 2399/01/03"/>
          <s v="2399/01/04 - 2399/01/10"/>
          <s v="2399/01/11 - 2399/01/17"/>
          <s v="2399/01/18 - 2399/01/24"/>
          <s v="2399/01/25 - 2399/01/31"/>
          <s v="2399/02/01 - 2399/02/07"/>
          <s v="2399/02/08 - 2399/02/14"/>
          <s v="2399/02/15 - 2399/02/21"/>
          <s v="2399/02/22 - 2399/02/28"/>
          <s v="2399/03/01 - 2399/03/07"/>
          <s v="2399/03/08 - 2399/03/14"/>
          <s v="2399/03/15 - 2399/03/21"/>
          <s v="2399/03/22 - 2399/03/28"/>
          <s v="2399/03/29 - 2399/04/04"/>
          <s v="2399/04/05 - 2399/04/11"/>
          <s v="2399/04/12 - 2399/04/18"/>
          <s v="2399/04/19 - 2399/04/25"/>
          <s v="2399/04/26 - 2399/05/02"/>
          <s v="2399/05/03 - 2399/05/09"/>
          <s v="2399/05/10 - 2399/05/16"/>
          <s v="2399/05/17 - 2399/05/23"/>
          <s v="2399/05/24 - 2399/05/30"/>
          <s v="2399/05/31 - 2399/06/06"/>
          <s v="2399/06/07 - 2399/06/13"/>
          <s v="2399/06/14 - 2399/06/20"/>
          <s v="2399/06/21 - 2399/06/27"/>
          <s v="2399/06/28 - 2399/07/04"/>
          <s v="2399/07/05 - 2399/07/11"/>
          <s v="2399/07/12 - 2399/07/18"/>
          <s v="2399/07/19 - 2399/07/25"/>
          <s v="2399/07/26 - 2399/08/01"/>
          <s v="2399/08/02 - 2399/08/08"/>
          <s v="2399/08/09 - 2399/08/15"/>
          <s v="2399/08/16 - 2399/08/22"/>
          <s v="2399/08/23 - 2399/08/29"/>
          <s v="2399/08/30 - 2399/09/05"/>
          <s v="2399/09/06 - 2399/09/12"/>
          <s v="2399/09/13 - 2399/09/19"/>
          <s v="2399/09/20 - 2399/09/26"/>
          <s v="2399/09/27 - 2399/10/03"/>
          <s v="2399/10/04 - 2399/10/10"/>
          <s v="2399/10/11 - 2399/10/17"/>
          <s v="2399/10/18 - 2399/10/24"/>
          <s v="2399/10/25 - 2399/10/31"/>
          <s v="2399/11/01 - 2399/11/07"/>
          <s v="2399/11/08 - 2399/11/14"/>
          <s v="2399/11/15 - 2399/11/21"/>
          <s v="2399/11/22 - 2399/11/28"/>
          <s v="2399/11/29 - 2399/12/05"/>
          <s v="2399/12/06 - 2399/12/12"/>
          <s v="2399/12/13 - 2399/12/19"/>
          <s v="2399/12/20 - 2399/12/26"/>
          <s v="2399/12/27 - 2400/01/02"/>
          <s v="2400/01/03 - 2400/01/09"/>
          <s v="2400/01/10 - 2400/01/16"/>
          <s v="2400/01/17 - 2400/01/23"/>
          <s v="2400/01/24 - 2400/01/30"/>
          <s v="2400/01/31 - 2400/02/06"/>
          <s v="2400/02/07 - 2400/02/13"/>
          <s v="2400/02/14 - 2400/02/20"/>
          <s v="2400/02/21 - 2400/02/27"/>
          <s v="2400/02/28 - 2400/03/05"/>
          <s v="2400/03/06 - 2400/03/12"/>
          <s v="2400/03/13 - 2400/03/19"/>
          <s v="2400/03/20 - 2400/03/26"/>
          <s v="2400/03/27 - 2400/04/02"/>
          <s v="2400/04/03 - 2400/04/09"/>
          <s v="2400/04/10 - 2400/04/16"/>
          <s v="2400/04/17 - 2400/04/23"/>
          <s v="2400/04/24 - 2400/04/30"/>
          <s v="2400/05/01 - 2400/05/07"/>
          <s v="2400/05/08 - 2400/05/14"/>
          <s v="2400/05/15 - 2400/05/21"/>
          <s v="2400/05/22 - 2400/05/28"/>
          <s v="2400/05/29 - 2400/06/04"/>
          <s v="2400/06/05 - 2400/06/11"/>
          <s v="2400/06/12 - 2400/06/18"/>
          <s v="2400/06/19 - 2400/06/25"/>
          <s v="2400/06/26 - 2400/07/02"/>
          <s v="2400/07/03 - 2400/07/09"/>
          <s v="2400/07/10 - 2400/07/16"/>
          <s v="2400/07/17 - 2400/07/23"/>
          <s v="2400/07/24 - 2400/07/30"/>
          <s v="2400/07/31 - 2400/08/06"/>
          <s v="2400/08/07 - 2400/08/13"/>
          <s v="2400/08/14 - 2400/08/20"/>
          <s v="2400/08/21 - 2400/08/27"/>
          <s v="2400/08/28 - 2400/09/03"/>
          <s v="2400/09/04 - 2400/09/10"/>
          <s v="2400/09/11 - 2400/09/17"/>
          <s v="2400/09/18 - 2400/09/24"/>
          <s v="2400/09/25 - 2400/10/01"/>
          <s v="2400/10/02 - 2400/10/08"/>
          <s v="2400/10/09 - 2400/10/15"/>
          <s v="2400/10/16 - 2400/10/22"/>
          <s v="2400/10/23 - 2400/10/29"/>
          <s v="2400/10/30 - 2400/11/05"/>
          <s v="2400/11/06 - 2400/11/12"/>
          <s v="2400/11/13 - 2400/11/19"/>
          <s v="2400/11/20 - 2400/11/26"/>
          <s v="2400/11/27 - 2400/12/03"/>
          <s v="2400/12/04 - 2400/12/10"/>
          <s v="2400/12/11 - 2400/12/17"/>
          <s v="2400/12/18 - 2400/12/24"/>
          <s v="2400/12/25 - 2400/12/31"/>
          <s v="2401/01/01 - 2401/01/07"/>
          <s v="2401/01/08 - 2401/01/14"/>
          <s v="2401/01/15 - 2401/01/21"/>
          <s v="2401/01/22 - 2401/01/28"/>
          <s v="2401/01/29 - 2401/02/04"/>
          <s v="2401/02/05 - 2401/02/11"/>
          <s v="2401/02/12 - 2401/02/18"/>
          <s v="2401/02/19 - 2401/02/25"/>
          <s v="2401/02/26 - 2401/03/04"/>
          <s v="2401/03/05 - 2401/03/11"/>
          <s v="2401/03/12 - 2401/03/18"/>
          <s v="2401/03/19 - 2401/03/25"/>
          <s v="2401/03/26 - 2401/04/01"/>
          <s v="2401/04/02 - 2401/04/08"/>
          <s v="2401/04/09 - 2401/04/15"/>
          <s v="2401/04/16 - 2401/04/22"/>
          <s v="2401/04/23 - 2401/04/29"/>
          <s v="2401/04/30 - 2401/05/06"/>
          <s v="2401/05/07 - 2401/05/13"/>
          <s v="2401/05/14 - 2401/05/20"/>
          <s v="2401/05/21 - 2401/05/27"/>
          <s v="2401/05/28 - 2401/06/03"/>
          <s v="2401/06/04 - 2401/06/10"/>
          <s v="2401/06/11 - 2401/06/17"/>
          <s v="2401/06/18 - 2401/06/24"/>
          <s v="2401/06/25 - 2401/07/01"/>
          <s v="2401/07/02 - 2401/07/08"/>
          <s v="2401/07/09 - 2401/07/15"/>
          <s v="2401/07/16 - 2401/07/22"/>
          <s v="2401/07/23 - 2401/07/29"/>
          <s v="2401/07/30 - 2401/08/05"/>
          <s v="2401/08/06 - 2401/08/12"/>
          <s v="2401/08/13 - 2401/08/19"/>
          <s v="2401/08/20 - 2401/08/26"/>
          <s v="2401/08/27 - 2401/09/02"/>
          <s v="2401/09/03 - 2401/09/09"/>
          <s v="2401/09/10 - 2401/09/16"/>
          <s v="2401/09/17 - 2401/09/23"/>
          <s v="2401/09/24 - 2401/09/30"/>
          <s v="2401/10/01 - 2401/10/07"/>
          <s v="2401/10/08 - 2401/10/14"/>
          <s v="2401/10/15 - 2401/10/21"/>
          <s v="2401/10/22 - 2401/10/28"/>
          <s v="2401/10/29 - 2401/11/04"/>
          <s v="2401/11/05 - 2401/11/11"/>
          <s v="2401/11/12 - 2401/11/18"/>
          <s v="2401/11/19 - 2401/11/25"/>
          <s v="2401/11/26 - 2401/12/02"/>
          <s v="2401/12/03 - 2401/12/09"/>
          <s v="2401/12/10 - 2401/12/16"/>
          <s v="2401/12/17 - 2401/12/23"/>
          <s v="2401/12/24 - 2401/12/30"/>
          <s v="2401/12/31 - 2402/01/06"/>
          <s v="2402/01/07 - 2402/01/13"/>
          <s v="2402/01/14 - 2402/01/20"/>
          <s v="2402/01/21 - 2402/01/27"/>
          <s v="2402/01/28 - 2402/02/03"/>
          <s v="2402/02/04 - 2402/02/10"/>
          <s v="2402/02/11 - 2402/02/17"/>
          <s v="2402/02/18 - 2402/02/24"/>
          <s v="2402/02/25 - 2402/03/03"/>
          <s v="2402/03/04 - 2402/03/10"/>
          <s v="2402/03/11 - 2402/03/17"/>
          <s v="2402/03/18 - 2402/03/24"/>
          <s v="2402/03/25 - 2402/03/31"/>
          <s v="2402/04/01 - 2402/04/07"/>
          <s v="2402/04/08 - 2402/04/14"/>
          <s v="2402/04/15 - 2402/04/21"/>
          <s v="2402/04/22 - 2402/04/28"/>
          <s v="2402/04/29 - 2402/05/05"/>
          <s v="2402/05/06 - 2402/05/12"/>
          <s v="2402/05/13 - 2402/05/19"/>
          <s v="2402/05/20 - 2402/05/26"/>
          <s v="2402/05/27 - 2402/06/02"/>
          <s v="2402/06/03 - 2402/06/09"/>
          <s v="2402/06/10 - 2402/06/16"/>
          <s v="2402/06/17 - 2402/06/23"/>
          <s v="2402/06/24 - 2402/06/30"/>
          <s v="2402/07/01 - 2402/07/07"/>
          <s v="2402/07/08 - 2402/07/14"/>
          <s v="2402/07/15 - 2402/07/21"/>
          <s v="2402/07/22 - 2402/07/28"/>
          <s v="2402/07/29 - 2402/08/04"/>
          <s v="2402/08/05 - 2402/08/11"/>
          <s v="2402/08/12 - 2402/08/18"/>
          <s v="2402/08/19 - 2402/08/25"/>
          <s v="2402/08/26 - 2402/09/01"/>
          <s v="2402/09/02 - 2402/09/08"/>
          <s v="2402/09/09 - 2402/09/15"/>
          <s v="2402/09/16 - 2402/09/22"/>
          <s v="2402/09/23 - 2402/09/29"/>
          <s v="2402/09/30 - 2402/10/06"/>
          <s v="2402/10/07 - 2402/10/13"/>
          <s v="2402/10/14 - 2402/10/20"/>
          <s v="2402/10/21 - 2402/10/27"/>
          <s v="2402/10/28 - 2402/11/03"/>
          <s v="2402/11/04 - 2402/11/10"/>
          <s v="2402/11/11 - 2402/11/17"/>
          <s v="2402/11/18 - 2402/11/24"/>
          <s v="2402/11/25 - 2402/12/01"/>
          <s v="2402/12/02 - 2402/12/08"/>
          <s v="2402/12/09 - 2402/12/15"/>
          <s v="2402/12/16 - 2402/12/22"/>
          <s v="2402/12/23 - 2402/12/29"/>
          <s v="2402/12/30 - 2403/01/05"/>
          <s v="2403/01/06 - 2403/01/12"/>
          <s v="2403/01/13 - 2403/01/19"/>
          <s v="2403/01/20 - 2403/01/26"/>
          <s v="2403/01/27 - 2403/02/02"/>
          <s v="2403/02/03 - 2403/02/09"/>
          <s v="2403/02/10 - 2403/02/16"/>
          <s v="2403/02/17 - 2403/02/23"/>
          <s v="2403/02/24 - 2403/03/02"/>
          <s v="2403/03/03 - 2403/03/09"/>
          <s v="2403/03/10 - 2403/03/16"/>
          <s v="2403/03/17 - 2403/03/23"/>
          <s v="2403/03/24 - 2403/03/30"/>
          <s v="2403/03/31 - 2403/04/06"/>
          <s v="2403/04/07 - 2403/04/13"/>
          <s v="2403/04/14 - 2403/04/20"/>
          <s v="2403/04/21 - 2403/04/27"/>
          <s v="2403/04/28 - 2403/05/04"/>
          <s v="2403/05/05 - 2403/05/11"/>
          <s v="2403/05/12 - 2403/05/18"/>
          <s v="2403/05/19 - 2403/05/25"/>
          <s v="2403/05/26 - 2403/06/01"/>
          <s v="2403/06/02 - 2403/06/08"/>
          <s v="2403/06/09 - 2403/06/15"/>
          <s v="2403/06/16 - 2403/06/22"/>
          <s v="2403/06/23 - 2403/06/29"/>
          <s v="2403/06/30 - 2403/07/06"/>
          <s v="2403/07/07 - 2403/07/13"/>
          <s v="2403/07/14 - 2403/07/20"/>
          <s v="2403/07/21 - 2403/07/27"/>
          <s v="2403/07/28 - 2403/08/03"/>
          <s v="2403/08/04 - 2403/08/10"/>
          <s v="2403/08/11 - 2403/08/17"/>
          <s v="2403/08/18 - 2403/08/24"/>
          <s v="2403/08/25 - 2403/08/31"/>
          <s v="2403/09/01 - 2403/09/07"/>
          <s v="2403/09/08 - 2403/09/14"/>
          <s v="2403/09/15 - 2403/09/21"/>
          <s v="2403/09/22 - 2403/09/28"/>
          <s v="2403/09/29 - 2403/10/05"/>
          <s v="2403/10/06 - 2403/10/12"/>
          <s v="2403/10/13 - 2403/10/19"/>
          <s v="2403/10/20 - 2403/10/26"/>
          <s v="2403/10/27 - 2403/11/02"/>
          <s v="2403/11/03 - 2403/11/09"/>
          <s v="2403/11/10 - 2403/11/16"/>
          <s v="2403/11/17 - 2403/11/23"/>
          <s v="2403/11/24 - 2403/11/30"/>
          <s v="2403/12/01 - 2403/12/07"/>
          <s v="2403/12/08 - 2403/12/14"/>
          <s v="2403/12/15 - 2403/12/21"/>
          <s v="2403/12/22 - 2403/12/28"/>
          <s v="2403/12/29 - 2404/01/04"/>
          <s v="2404/01/05 - 2404/01/11"/>
          <s v="2404/01/12 - 2404/01/18"/>
          <s v="2404/01/19 - 2404/01/25"/>
          <s v="2404/01/26 - 2404/02/01"/>
          <s v="2404/02/02 - 2404/02/08"/>
          <s v="2404/02/09 - 2404/02/15"/>
          <s v="2404/02/16 - 2404/02/22"/>
          <s v="2404/02/23 - 2404/02/29"/>
          <s v="2404/03/01 - 2404/03/07"/>
          <s v="2404/03/08 - 2404/03/14"/>
          <s v="2404/03/15 - 2404/03/21"/>
          <s v="2404/03/22 - 2404/03/28"/>
          <s v="2404/03/29 - 2404/04/04"/>
          <s v="2404/04/05 - 2404/04/11"/>
          <s v="2404/04/12 - 2404/04/18"/>
          <s v="2404/04/19 - 2404/04/25"/>
          <s v="2404/04/26 - 2404/05/02"/>
          <s v="2404/05/03 - 2404/05/09"/>
          <s v="2404/05/10 - 2404/05/16"/>
          <s v="2404/05/17 - 2404/05/23"/>
          <s v="2404/05/24 - 2404/05/30"/>
          <s v="2404/05/31 - 2404/06/06"/>
          <s v="2404/06/07 - 2404/06/13"/>
          <s v="2404/06/14 - 2404/06/20"/>
          <s v="2404/06/21 - 2404/06/27"/>
          <s v="2404/06/28 - 2404/07/04"/>
          <s v="2404/07/05 - 2404/07/11"/>
          <s v="2404/07/12 - 2404/07/18"/>
          <s v="2404/07/19 - 2404/07/25"/>
          <s v="2404/07/26 - 2404/08/01"/>
          <s v="2404/08/02 - 2404/08/08"/>
          <s v="2404/08/09 - 2404/08/15"/>
          <s v="2404/08/16 - 2404/08/22"/>
          <s v="2404/08/23 - 2404/08/29"/>
          <s v="2404/08/30 - 2404/09/05"/>
          <s v="2404/09/06 - 2404/09/12"/>
          <s v="2404/09/13 - 2404/09/19"/>
          <s v="2404/09/20 - 2404/09/26"/>
          <s v="2404/09/27 - 2404/10/03"/>
          <s v="2404/10/04 - 2404/10/10"/>
          <s v="2404/10/11 - 2404/10/17"/>
          <s v="2404/10/18 - 2404/10/24"/>
          <s v="2404/10/25 - 2404/10/31"/>
          <s v="2404/11/01 - 2404/11/07"/>
          <s v="2404/11/08 - 2404/11/14"/>
          <s v="2404/11/15 - 2404/11/21"/>
          <s v="2404/11/22 - 2404/11/28"/>
          <s v="2404/11/29 - 2404/12/05"/>
          <s v="2404/12/06 - 2404/12/12"/>
          <s v="2404/12/13 - 2404/12/19"/>
          <s v="2404/12/20 - 2404/12/26"/>
          <s v="2404/12/27 - 2405/01/02"/>
          <s v="2405/01/03 - 2405/01/09"/>
          <s v="2405/01/10 - 2405/01/16"/>
          <s v="2405/01/17 - 2405/01/23"/>
          <s v="2405/01/24 - 2405/01/30"/>
          <s v="2405/01/31 - 2405/02/06"/>
          <s v="2405/02/07 - 2405/02/13"/>
          <s v="2405/02/14 - 2405/02/20"/>
          <s v="2405/02/21 - 2405/02/27"/>
          <s v="2405/02/28 - 2405/03/06"/>
          <s v="2405/03/07 - 2405/03/13"/>
          <s v="2405/03/14 - 2405/03/20"/>
          <s v="2405/03/21 - 2405/03/27"/>
          <s v="2405/03/28 - 2405/04/03"/>
          <s v="2405/04/04 - 2405/04/10"/>
          <s v="2405/04/11 - 2405/04/17"/>
          <s v="2405/04/18 - 2405/04/24"/>
          <s v="2405/04/25 - 2405/05/01"/>
          <s v="2405/05/02 - 2405/05/08"/>
          <s v="2405/05/09 - 2405/05/15"/>
          <s v="2405/05/16 - 2405/05/22"/>
          <s v="2405/05/23 - 2405/05/29"/>
          <s v="2405/05/30 - 2405/06/05"/>
          <s v="2405/06/06 - 2405/06/12"/>
          <s v="2405/06/13 - 2405/06/19"/>
          <s v="2405/06/20 - 2405/06/26"/>
          <s v="2405/06/27 - 2405/07/03"/>
          <s v="2405/07/04 - 2405/07/10"/>
          <s v="2405/07/11 - 2405/07/17"/>
          <s v="2405/07/18 - 2405/07/24"/>
          <s v="2405/07/25 - 2405/07/31"/>
          <s v="2405/08/01 - 2405/08/07"/>
          <s v="2405/08/08 - 2405/08/14"/>
          <s v="2405/08/15 - 2405/08/21"/>
          <s v="2405/08/22 - 2405/08/28"/>
          <s v="2405/08/29 - 2405/09/04"/>
          <s v="2405/09/05 - 2405/09/11"/>
          <s v="2405/09/12 - 2405/09/18"/>
          <s v="2405/09/19 - 2405/09/25"/>
          <s v="2405/09/26 - 2405/10/02"/>
          <s v="2405/10/03 - 2405/10/09"/>
          <s v="2405/10/10 - 2405/10/16"/>
          <s v="2405/10/17 - 2405/10/23"/>
          <s v="2405/10/24 - 2405/10/30"/>
          <s v="2405/10/31 - 2405/11/06"/>
          <s v="2405/11/07 - 2405/11/13"/>
          <s v="2405/11/14 - 2405/11/20"/>
          <s v="2405/11/21 - 2405/11/27"/>
          <s v="2405/11/28 - 2405/12/04"/>
          <s v="2405/12/05 - 2405/12/11"/>
          <s v="2405/12/12 - 2405/12/18"/>
          <s v="2405/12/19 - 2405/12/25"/>
          <s v="2405/12/26 - 2406/01/01"/>
          <s v="2406/01/02 - 2406/01/08"/>
          <s v="2406/01/09 - 2406/01/15"/>
          <s v="2406/01/16 - 2406/01/22"/>
          <s v="2406/01/23 - 2406/01/29"/>
          <s v="2406/01/30 - 2406/02/05"/>
          <s v="2406/02/06 - 2406/02/12"/>
          <s v="2406/02/13 - 2406/02/19"/>
          <s v="2406/02/20 - 2406/02/26"/>
          <s v="2406/02/27 - 2406/03/05"/>
          <s v="2406/03/06 - 2406/03/12"/>
          <s v="2406/03/13 - 2406/03/19"/>
          <s v="2406/03/20 - 2406/03/26"/>
          <s v="2406/03/27 - 2406/04/02"/>
          <s v="2406/04/03 - 2406/04/09"/>
          <s v="2406/04/10 - 2406/04/16"/>
          <s v="2406/04/17 - 2406/04/23"/>
          <s v="2406/04/24 - 2406/04/30"/>
          <s v="2406/05/01 - 2406/05/07"/>
          <s v="2406/05/08 - 2406/05/14"/>
          <s v="2406/05/15 - 2406/05/21"/>
          <s v="2406/05/22 - 2406/05/28"/>
          <s v="2406/05/29 - 2406/06/04"/>
          <s v="2406/06/05 - 2406/06/11"/>
          <s v="2406/06/12 - 2406/06/18"/>
          <s v="2406/06/19 - 2406/06/25"/>
          <s v="2406/06/26 - 2406/07/02"/>
          <s v="2406/07/03 - 2406/07/09"/>
          <s v="2406/07/10 - 2406/07/16"/>
          <s v="2406/07/17 - 2406/07/23"/>
          <s v="2406/07/24 - 2406/07/30"/>
          <s v="2406/07/31 - 2406/08/06"/>
          <s v="2406/08/07 - 2406/08/13"/>
          <s v="2406/08/14 - 2406/08/20"/>
          <s v="2406/08/21 - 2406/08/27"/>
          <s v="2406/08/28 - 2406/09/03"/>
          <s v="2406/09/04 - 2406/09/10"/>
          <s v="2406/09/11 - 2406/09/17"/>
          <s v="2406/09/18 - 2406/09/24"/>
          <s v="2406/09/25 - 2406/10/01"/>
          <s v="2406/10/02 - 2406/10/08"/>
          <s v="2406/10/09 - 2406/10/15"/>
          <s v="2406/10/16 - 2406/10/22"/>
          <s v="2406/10/23 - 2406/10/29"/>
          <s v="2406/10/30 - 2406/11/05"/>
          <s v="2406/11/06 - 2406/11/12"/>
          <s v="2406/11/13 - 2406/11/19"/>
          <s v="2406/11/20 - 2406/11/26"/>
          <s v="2406/11/27 - 2406/12/03"/>
          <s v="2406/12/04 - 2406/12/10"/>
          <s v="2406/12/11 - 2406/12/17"/>
          <s v="2406/12/18 - 2406/12/24"/>
          <s v="2406/12/25 - 2406/12/31"/>
          <s v="2407/01/01 - 2407/01/07"/>
          <s v="2407/01/08 - 2407/01/14"/>
          <s v="2407/01/15 - 2407/01/21"/>
          <s v="2407/01/22 - 2407/01/28"/>
          <s v="2407/01/29 - 2407/02/04"/>
          <s v="2407/02/05 - 2407/02/11"/>
          <s v="2407/02/12 - 2407/02/18"/>
          <s v="2407/02/19 - 2407/02/25"/>
          <s v="2407/02/26 - 2407/03/04"/>
          <s v="2407/03/05 - 2407/03/11"/>
          <s v="2407/03/12 - 2407/03/18"/>
          <s v="2407/03/19 - 2407/03/25"/>
          <s v="2407/03/26 - 2407/04/01"/>
          <s v="2407/04/02 - 2407/04/08"/>
          <s v="2407/04/09 - 2407/04/15"/>
          <s v="2407/04/16 - 2407/04/22"/>
          <s v="2407/04/23 - 2407/04/29"/>
          <s v="2407/04/30 - 2407/05/06"/>
          <s v="2407/05/07 - 2407/05/13"/>
          <s v="2407/05/14 - 2407/05/20"/>
          <s v="2407/05/21 - 2407/05/27"/>
          <s v="2407/05/28 - 2407/06/03"/>
          <s v="2407/06/04 - 2407/06/10"/>
          <s v="2407/06/11 - 2407/06/17"/>
          <s v="2407/06/18 - 2407/06/24"/>
          <s v="2407/06/25 - 2407/07/01"/>
          <s v="2407/07/02 - 2407/07/08"/>
          <s v="2407/07/09 - 2407/07/15"/>
          <s v="2407/07/16 - 2407/07/22"/>
          <s v="2407/07/23 - 2407/07/29"/>
          <s v="2407/07/30 - 2407/08/05"/>
          <s v="2407/08/06 - 2407/08/12"/>
          <s v="2407/08/13 - 2407/08/19"/>
          <s v="2407/08/20 - 2407/08/26"/>
          <s v="2407/08/27 - 2407/09/02"/>
          <s v="2407/09/03 - 2407/09/09"/>
          <s v="2407/09/10 - 2407/09/16"/>
          <s v="2407/09/17 - 2407/09/23"/>
          <s v="2407/09/24 - 2407/09/30"/>
          <s v="2407/10/01 - 2407/10/07"/>
          <s v="2407/10/08 - 2407/10/14"/>
          <s v="2407/10/15 - 2407/10/21"/>
          <s v="2407/10/22 - 2407/10/28"/>
          <s v="2407/10/29 - 2407/11/04"/>
          <s v="2407/11/05 - 2407/11/11"/>
          <s v="2407/11/12 - 2407/11/18"/>
          <s v="2407/11/19 - 2407/11/25"/>
          <s v="2407/11/26 - 2407/12/02"/>
          <s v="2407/12/03 - 2407/12/09"/>
          <s v="2407/12/10 - 2407/12/16"/>
          <s v="2407/12/17 - 2407/12/23"/>
          <s v="2407/12/24 - 2407/12/30"/>
          <s v="2407/12/31 - 2408/01/06"/>
          <s v="2408/01/07 - 2408/01/13"/>
          <s v="2408/01/14 - 2408/01/20"/>
          <s v="2408/01/21 - 2408/01/27"/>
          <s v="2408/01/28 - 2408/02/03"/>
          <s v="2408/02/04 - 2408/02/10"/>
          <s v="2408/02/11 - 2408/02/17"/>
          <s v="2408/02/18 - 2408/02/24"/>
          <s v="2408/02/25 - 2408/03/02"/>
          <s v="2408/03/03 - 2408/03/09"/>
          <s v="2408/03/10 - 2408/03/16"/>
          <s v="2408/03/17 - 2408/03/23"/>
          <s v="2408/03/24 - 2408/03/30"/>
          <s v="2408/03/31 - 2408/04/06"/>
          <s v="2408/04/07 - 2408/04/13"/>
          <s v="2408/04/14 - 2408/04/20"/>
          <s v="2408/04/21 - 2408/04/27"/>
          <s v="2408/04/28 - 2408/05/04"/>
          <s v="2408/05/05 - 2408/05/11"/>
          <s v="2408/05/12 - 2408/05/18"/>
          <s v="2408/05/19 - 2408/05/25"/>
          <s v="2408/05/26 - 2408/06/01"/>
          <s v="2408/06/02 - 2408/06/08"/>
          <s v="2408/06/09 - 2408/06/15"/>
          <s v="2408/06/16 - 2408/06/22"/>
          <s v="2408/06/23 - 2408/06/29"/>
          <s v="2408/06/30 - 2408/07/06"/>
          <s v="2408/07/07 - 2408/07/13"/>
          <s v="2408/07/14 - 2408/07/20"/>
          <s v="2408/07/21 - 2408/07/27"/>
          <s v="2408/07/28 - 2408/08/03"/>
          <s v="2408/08/04 - 2408/08/10"/>
          <s v="2408/08/11 - 2408/08/17"/>
          <s v="2408/08/18 - 2408/08/24"/>
          <s v="2408/08/25 - 2408/08/31"/>
          <s v="2408/09/01 - 2408/09/07"/>
          <s v="2408/09/08 - 2408/09/14"/>
          <s v="2408/09/15 - 2408/09/21"/>
          <s v="2408/09/22 - 2408/09/28"/>
          <s v="2408/09/29 - 2408/10/05"/>
          <s v="2408/10/06 - 2408/10/12"/>
          <s v="2408/10/13 - 2408/10/19"/>
          <s v="2408/10/20 - 2408/10/26"/>
          <s v="2408/10/27 - 2408/11/02"/>
          <s v="2408/11/03 - 2408/11/09"/>
          <s v="2408/11/10 - 2408/11/16"/>
          <s v="2408/11/17 - 2408/11/23"/>
          <s v="2408/11/24 - 2408/11/30"/>
          <s v="2408/12/01 - 2408/12/07"/>
          <s v="2408/12/08 - 2408/12/14"/>
          <s v="2408/12/15 - 2408/12/21"/>
          <s v="2408/12/22 - 2408/12/28"/>
          <s v="2408/12/29 - 2409/01/04"/>
          <s v="2409/01/05 - 2409/01/11"/>
          <s v="2409/01/12 - 2409/01/18"/>
          <s v="2409/01/19 - 2409/01/25"/>
          <s v="2409/01/26 - 2409/02/01"/>
          <s v="2409/02/02 - 2409/02/08"/>
          <s v="2409/02/09 - 2409/02/15"/>
          <s v="2409/02/16 - 2409/02/22"/>
          <s v="2409/02/23 - 2409/03/01"/>
          <s v="2409/03/02 - 2409/03/08"/>
          <s v="2409/03/09 - 2409/03/15"/>
          <s v="2409/03/16 - 2409/03/22"/>
          <s v="2409/03/23 - 2409/03/29"/>
          <s v="2409/03/30 - 2409/04/05"/>
          <s v="2409/04/06 - 2409/04/12"/>
          <s v="2409/04/13 - 2409/04/19"/>
          <s v="2409/04/20 - 2409/04/26"/>
          <s v="2409/04/27 - 2409/05/03"/>
          <s v="2409/05/04 - 2409/05/10"/>
          <s v="2409/05/11 - 2409/05/17"/>
          <s v="2409/05/18 - 2409/05/24"/>
          <s v="2409/05/25 - 2409/05/31"/>
          <s v="2409/06/01 - 2409/06/07"/>
          <s v="2409/06/08 - 2409/06/14"/>
          <s v="2409/06/15 - 2409/06/21"/>
          <s v="2409/06/22 - 2409/06/28"/>
          <s v="2409/06/29 - 2409/07/05"/>
          <s v="2409/07/06 - 2409/07/12"/>
          <s v="2409/07/13 - 2409/07/19"/>
          <s v="2409/07/20 - 2409/07/26"/>
          <s v="2409/07/27 - 2409/08/02"/>
          <s v="2409/08/03 - 2409/08/09"/>
          <s v="2409/08/10 - 2409/08/16"/>
          <s v="2409/08/17 - 2409/08/23"/>
          <s v="2409/08/24 - 2409/08/30"/>
          <s v="2409/08/31 - 2409/09/06"/>
          <s v="2409/09/07 - 2409/09/13"/>
          <s v="2409/09/14 - 2409/09/20"/>
          <s v="2409/09/21 - 2409/09/27"/>
          <s v="2409/09/28 - 2409/10/04"/>
          <s v="2409/10/05 - 2409/10/11"/>
          <s v="2409/10/12 - 2409/10/18"/>
          <s v="2409/10/19 - 2409/10/25"/>
          <s v="2409/10/26 - 2409/11/01"/>
          <s v="2409/11/02 - 2409/11/08"/>
          <s v="2409/11/09 - 2409/11/15"/>
          <s v="2409/11/16 - 2409/11/22"/>
          <s v="2409/11/23 - 2409/11/29"/>
          <s v="2409/11/30 - 2409/12/06"/>
          <s v="2409/12/07 - 2409/12/13"/>
          <s v="2409/12/14 - 2409/12/20"/>
          <s v="2409/12/21 - 2409/12/27"/>
          <s v="2409/12/28 - 2410/01/03"/>
          <s v="2410/01/04 - 2410/01/10"/>
          <s v="2410/01/11 - 2410/01/17"/>
          <s v="2410/01/18 - 2410/01/24"/>
          <s v="2410/01/25 - 2410/01/31"/>
          <s v="2410/02/01 - 2410/02/07"/>
          <s v="2410/02/08 - 2410/02/14"/>
          <s v="2410/02/15 - 2410/02/21"/>
          <s v="2410/02/22 - 2410/02/28"/>
          <s v="2410/03/01 - 2410/03/07"/>
          <s v="2410/03/08 - 2410/03/14"/>
          <s v="2410/03/15 - 2410/03/21"/>
          <s v="2410/03/22 - 2410/03/28"/>
          <s v="2410/03/29 - 2410/04/04"/>
          <s v="2410/04/05 - 2410/04/11"/>
          <s v="2410/04/12 - 2410/04/18"/>
          <s v="2410/04/19 - 2410/04/25"/>
          <s v="2410/04/26 - 2410/05/02"/>
          <s v="2410/05/03 - 2410/05/09"/>
          <s v="2410/05/10 - 2410/05/16"/>
          <s v="2410/05/17 - 2410/05/23"/>
          <s v="2410/05/24 - 2410/05/30"/>
          <s v="2410/05/31 - 2410/06/06"/>
          <s v="2410/06/07 - 2410/06/13"/>
          <s v="2410/06/14 - 2410/06/20"/>
          <s v="2410/06/21 - 2410/06/27"/>
          <s v="2410/06/28 - 2410/07/04"/>
          <s v="2410/07/05 - 2410/07/11"/>
          <s v="2410/07/12 - 2410/07/18"/>
          <s v="2410/07/19 - 2410/07/25"/>
          <s v="2410/07/26 - 2410/08/01"/>
          <s v="2410/08/02 - 2410/08/08"/>
          <s v="2410/08/09 - 2410/08/15"/>
          <s v="2410/08/16 - 2410/08/22"/>
          <s v="2410/08/23 - 2410/08/29"/>
          <s v="2410/08/30 - 2410/09/05"/>
          <s v="2410/09/06 - 2410/09/12"/>
          <s v="2410/09/13 - 2410/09/19"/>
          <s v="2410/09/20 - 2410/09/26"/>
          <s v="2410/09/27 - 2410/10/03"/>
          <s v="2410/10/04 - 2410/10/10"/>
          <s v="2410/10/11 - 2410/10/17"/>
          <s v="2410/10/18 - 2410/10/24"/>
          <s v="2410/10/25 - 2410/10/31"/>
          <s v="2410/11/01 - 2410/11/07"/>
          <s v="2410/11/08 - 2410/11/14"/>
          <s v="2410/11/15 - 2410/11/21"/>
          <s v="2410/11/22 - 2410/11/28"/>
          <s v="2410/11/29 - 2410/12/05"/>
          <s v="2410/12/06 - 2410/12/12"/>
          <s v="2410/12/13 - 2410/12/19"/>
          <s v="2410/12/20 - 2410/12/26"/>
          <s v="2410/12/27 - 2411/01/02"/>
          <s v="2411/01/03 - 2411/01/09"/>
          <s v="2411/01/10 - 2411/01/16"/>
          <s v="2411/01/17 - 2411/01/23"/>
          <s v="2411/01/24 - 2411/01/30"/>
          <s v="2411/01/31 - 2411/02/06"/>
          <s v="2411/02/07 - 2411/02/13"/>
          <s v="2411/02/14 - 2411/02/20"/>
          <s v="2411/02/21 - 2411/02/27"/>
          <s v="2411/02/28 - 2411/03/06"/>
          <s v="2411/03/07 - 2411/03/13"/>
          <s v="2411/03/14 - 2411/03/20"/>
          <s v="2411/03/21 - 2411/03/27"/>
          <s v="2411/03/28 - 2411/04/03"/>
          <s v="2411/04/04 - 2411/04/10"/>
          <s v="2411/04/11 - 2411/04/17"/>
          <s v="2411/04/18 - 2411/04/24"/>
          <s v="2411/04/25 - 2411/05/01"/>
          <s v="2411/05/02 - 2411/05/08"/>
          <s v="2411/05/09 - 2411/05/15"/>
          <s v="2411/05/16 - 2411/05/22"/>
          <s v="2411/05/23 - 2411/05/29"/>
          <s v="2411/05/30 - 2411/06/05"/>
          <s v="2411/06/06 - 2411/06/12"/>
          <s v="2411/06/13 - 2411/06/19"/>
          <s v="2411/06/20 - 2411/06/26"/>
          <s v="2411/06/27 - 2411/07/03"/>
          <s v="2411/07/04 - 2411/07/10"/>
          <s v="2411/07/11 - 2411/07/17"/>
          <s v="2411/07/18 - 2411/07/24"/>
          <s v="2411/07/25 - 2411/07/31"/>
          <s v="2411/08/01 - 2411/08/07"/>
          <s v="2411/08/08 - 2411/08/14"/>
          <s v="2411/08/15 - 2411/08/21"/>
          <s v="2411/08/22 - 2411/08/28"/>
          <s v="2411/08/29 - 2411/09/04"/>
          <s v="2411/09/05 - 2411/09/11"/>
          <s v="2411/09/12 - 2411/09/18"/>
          <s v="2411/09/19 - 2411/09/25"/>
          <s v="2411/09/26 - 2411/10/02"/>
          <s v="2411/10/03 - 2411/10/09"/>
          <s v="2411/10/10 - 2411/10/16"/>
          <s v="2411/10/17 - 2411/10/23"/>
          <s v="2411/10/24 - 2411/10/30"/>
          <s v="2411/10/31 - 2411/11/06"/>
          <s v="2411/11/07 - 2411/11/13"/>
          <s v="2411/11/14 - 2411/11/20"/>
          <s v="2411/11/21 - 2411/11/27"/>
          <s v="2411/11/28 - 2411/12/04"/>
          <s v="2411/12/05 - 2411/12/11"/>
          <s v="2411/12/12 - 2411/12/18"/>
          <s v="2411/12/19 - 2411/12/25"/>
          <s v="2411/12/26 - 2412/01/01"/>
          <s v="2412/01/02 - 2412/01/08"/>
          <s v="2412/01/09 - 2412/01/15"/>
          <s v="2412/01/16 - 2412/01/22"/>
          <s v="2412/01/23 - 2412/01/29"/>
          <s v="2412/01/30 - 2412/02/05"/>
          <s v="2412/02/06 - 2412/02/12"/>
          <s v="2412/02/13 - 2412/02/19"/>
          <s v="2412/02/20 - 2412/02/26"/>
          <s v="2412/02/27 - 2412/03/04"/>
          <s v="2412/03/05 - 2412/03/11"/>
          <s v="2412/03/12 - 2412/03/18"/>
          <s v="2412/03/19 - 2412/03/25"/>
          <s v="2412/03/26 - 2412/04/01"/>
          <s v="2412/04/02 - 2412/04/08"/>
          <s v="2412/04/09 - 2412/04/15"/>
          <s v="2412/04/16 - 2412/04/22"/>
          <s v="2412/04/23 - 2412/04/29"/>
          <s v="2412/04/30 - 2412/05/06"/>
          <s v="2412/05/07 - 2412/05/13"/>
          <s v="2412/05/14 - 2412/05/20"/>
          <s v="2412/05/21 - 2412/05/27"/>
          <s v="2412/05/28 - 2412/06/03"/>
          <s v="2412/06/04 - 2412/06/10"/>
          <s v="2412/06/11 - 2412/06/17"/>
          <s v="2412/06/18 - 2412/06/24"/>
          <s v="2412/06/25 - 2412/07/01"/>
          <s v="2412/07/02 - 2412/07/08"/>
          <s v="2412/07/09 - 2412/07/15"/>
          <s v="2412/07/16 - 2412/07/22"/>
          <s v="2412/07/23 - 2412/07/29"/>
          <s v="2412/07/30 - 2412/08/05"/>
          <s v="2412/08/06 - 2412/08/12"/>
          <s v="2412/08/13 - 2412/08/19"/>
          <s v="2412/08/20 - 2412/08/26"/>
          <s v="2412/08/27 - 2412/09/02"/>
          <s v="2412/09/03 - 2412/09/09"/>
          <s v="2412/09/10 - 2412/09/16"/>
          <s v="2412/09/17 - 2412/09/23"/>
          <s v="2412/09/24 - 2412/09/30"/>
          <s v="2412/10/01 - 2412/10/07"/>
          <s v="2412/10/08 - 2412/10/14"/>
          <s v="2412/10/15 - 2412/10/21"/>
          <s v="2412/10/22 - 2412/10/28"/>
          <s v="2412/10/29 - 2412/11/04"/>
          <s v="2412/11/05 - 2412/11/11"/>
          <s v="2412/11/12 - 2412/11/18"/>
          <s v="2412/11/19 - 2412/11/25"/>
          <s v="2412/11/26 - 2412/12/02"/>
          <s v="2412/12/03 - 2412/12/09"/>
          <s v="2412/12/10 - 2412/12/16"/>
          <s v="2412/12/17 - 2412/12/23"/>
          <s v="2412/12/24 - 2412/12/30"/>
          <s v="2412/12/31 - 2413/01/06"/>
          <s v="2413/01/07 - 2413/01/13"/>
          <s v="2413/01/14 - 2413/01/20"/>
          <s v="2413/01/21 - 2413/01/27"/>
          <s v="2413/01/28 - 2413/02/03"/>
          <s v="2413/02/04 - 2413/02/10"/>
          <s v="2413/02/11 - 2413/02/17"/>
          <s v="2413/02/18 - 2413/02/24"/>
          <s v="2413/02/25 - 2413/03/03"/>
          <s v="2413/03/04 - 2413/03/10"/>
          <s v="2413/03/11 - 2413/03/17"/>
          <s v="2413/03/18 - 2413/03/24"/>
          <s v="2413/03/25 - 2413/03/31"/>
          <s v="2413/04/01 - 2413/04/07"/>
          <s v="2413/04/08 - 2413/04/14"/>
          <s v="2413/04/15 - 2413/04/21"/>
          <s v="2413/04/22 - 2413/04/28"/>
          <s v="2413/04/29 - 2413/05/05"/>
          <s v="2413/05/06 - 2413/05/12"/>
          <s v="2413/05/13 - 2413/05/19"/>
          <s v="2413/05/20 - 2413/05/26"/>
          <s v="2413/05/27 - 2413/06/02"/>
          <s v="2413/06/03 - 2413/06/09"/>
          <s v="2413/06/10 - 2413/06/16"/>
          <s v="2413/06/17 - 2413/06/23"/>
          <s v="2413/06/24 - 2413/06/30"/>
          <s v="2413/07/01 - 2413/07/07"/>
          <s v="2413/07/08 - 2413/07/14"/>
          <s v="2413/07/15 - 2413/07/21"/>
          <s v="2413/07/22 - 2413/07/28"/>
          <s v="2413/07/29 - 2413/08/04"/>
          <s v="2413/08/05 - 2413/08/11"/>
          <s v="2413/08/12 - 2413/08/18"/>
          <s v="2413/08/19 - 2413/08/25"/>
          <s v="2413/08/26 - 2413/09/01"/>
          <s v="2413/09/02 - 2413/09/08"/>
          <s v="2413/09/09 - 2413/09/15"/>
          <s v="2413/09/16 - 2413/09/22"/>
          <s v="2413/09/23 - 2413/09/29"/>
          <s v="2413/09/30 - 2413/10/06"/>
          <s v="2413/10/07 - 2413/10/13"/>
          <s v="2413/10/14 - 2413/10/20"/>
          <s v="2413/10/21 - 2413/10/27"/>
          <s v="2413/10/28 - 2413/11/03"/>
          <s v="2413/11/04 - 2413/11/10"/>
          <s v="2413/11/11 - 2413/11/17"/>
          <s v="2413/11/18 - 2413/11/24"/>
          <s v="2413/11/25 - 2413/12/01"/>
          <s v="2413/12/02 - 2413/12/08"/>
          <s v="2413/12/09 - 2413/12/15"/>
          <s v="2413/12/16 - 2413/12/22"/>
          <s v="2413/12/23 - 2413/12/29"/>
          <s v="2413/12/30 - 2414/01/05"/>
          <s v="2414/01/06 - 2414/01/12"/>
          <s v="2414/01/13 - 2414/01/19"/>
          <s v="2414/01/20 - 2414/01/26"/>
          <s v="2414/01/27 - 2414/02/02"/>
          <s v="2414/02/03 - 2414/02/09"/>
          <s v="2414/02/10 - 2414/02/16"/>
          <s v="2414/02/17 - 2414/02/23"/>
          <s v="2414/02/24 - 2414/03/02"/>
          <s v="2414/03/03 - 2414/03/09"/>
          <s v="2414/03/10 - 2414/03/16"/>
          <s v="2414/03/17 - 2414/03/23"/>
          <s v="2414/03/24 - 2414/03/30"/>
          <s v="2414/03/31 - 2414/04/06"/>
          <s v="2414/04/07 - 2414/04/13"/>
          <s v="2414/04/14 - 2414/04/20"/>
          <s v="2414/04/21 - 2414/04/27"/>
          <s v="2414/04/28 - 2414/05/04"/>
          <s v="2414/05/05 - 2414/05/11"/>
          <s v="2414/05/12 - 2414/05/18"/>
          <s v="2414/05/19 - 2414/05/25"/>
          <s v="2414/05/26 - 2414/06/01"/>
          <s v="2414/06/02 - 2414/06/08"/>
          <s v="2414/06/09 - 2414/06/15"/>
          <s v="2414/06/16 - 2414/06/22"/>
          <s v="2414/06/23 - 2414/06/29"/>
          <s v="2414/06/30 - 2414/07/06"/>
          <s v="2414/07/07 - 2414/07/13"/>
          <s v="2414/07/14 - 2414/07/20"/>
          <s v="2414/07/21 - 2414/07/27"/>
          <s v="2414/07/28 - 2414/08/03"/>
          <s v="2414/08/04 - 2414/08/10"/>
          <s v="2414/08/11 - 2414/08/17"/>
          <s v="2414/08/18 - 2414/08/24"/>
          <s v="2414/08/25 - 2414/08/31"/>
          <s v="2414/09/01 - 2414/09/07"/>
          <s v="2414/09/08 - 2414/09/14"/>
          <s v="2414/09/15 - 2414/09/21"/>
          <s v="2414/09/22 - 2414/09/28"/>
          <s v="2414/09/29 - 2414/10/05"/>
          <s v="2414/10/06 - 2414/10/12"/>
          <s v="2414/10/13 - 2414/10/19"/>
          <s v="2414/10/20 - 2414/10/26"/>
          <s v="2414/10/27 - 2414/11/02"/>
          <s v="2414/11/03 - 2414/11/09"/>
          <s v="2414/11/10 - 2414/11/16"/>
          <s v="2414/11/17 - 2414/11/23"/>
          <s v="2414/11/24 - 2414/11/30"/>
          <s v="2414/12/01 - 2414/12/07"/>
          <s v="2414/12/08 - 2414/12/14"/>
          <s v="2414/12/15 - 2414/12/21"/>
          <s v="2414/12/22 - 2414/12/28"/>
          <s v="2414/12/29 - 2415/01/04"/>
          <s v="2415/01/05 - 2415/01/11"/>
          <s v="2415/01/12 - 2415/01/18"/>
          <s v="2415/01/19 - 2415/01/25"/>
          <s v="2415/01/26 - 2415/02/01"/>
          <s v="2415/02/02 - 2415/02/08"/>
          <s v="2415/02/09 - 2415/02/15"/>
          <s v="2415/02/16 - 2415/02/22"/>
          <s v="2415/02/23 - 2415/03/01"/>
          <s v="2415/03/02 - 2415/03/08"/>
          <s v="2415/03/09 - 2415/03/15"/>
          <s v="2415/03/16 - 2415/03/22"/>
          <s v="2415/03/23 - 2415/03/29"/>
          <s v="2415/03/30 - 2415/04/05"/>
          <s v="2415/04/06 - 2415/04/12"/>
          <s v="2415/04/13 - 2415/04/19"/>
          <s v="2415/04/20 - 2415/04/26"/>
          <s v="2415/04/27 - 2415/05/03"/>
          <s v="2415/05/04 - 2415/05/10"/>
          <s v="2415/05/11 - 2415/05/17"/>
          <s v="2415/05/18 - 2415/05/24"/>
          <s v="2415/05/25 - 2415/05/31"/>
          <s v="2415/06/01 - 2415/06/07"/>
          <s v="2415/06/08 - 2415/06/14"/>
          <s v="2415/06/15 - 2415/06/21"/>
          <s v="2415/06/22 - 2415/06/28"/>
          <s v="2415/06/29 - 2415/07/05"/>
          <s v="2415/07/06 - 2415/07/12"/>
          <s v="2415/07/13 - 2415/07/19"/>
          <s v="2415/07/20 - 2415/07/26"/>
          <s v="2415/07/27 - 2415/08/02"/>
          <s v="2415/08/03 - 2415/08/09"/>
          <s v="2415/08/10 - 2415/08/16"/>
          <s v="2415/08/17 - 2415/08/23"/>
          <s v="2415/08/24 - 2415/08/30"/>
          <s v="2415/08/31 - 2415/09/06"/>
          <s v="2415/09/07 - 2415/09/13"/>
          <s v="2415/09/14 - 2415/09/20"/>
          <s v="2415/09/21 - 2415/09/27"/>
          <s v="2415/09/28 - 2415/10/04"/>
          <s v="2415/10/05 - 2415/10/11"/>
          <s v="2415/10/12 - 2415/10/18"/>
          <s v="2415/10/19 - 2415/10/25"/>
          <s v="2415/10/26 - 2415/11/01"/>
          <s v="2415/11/02 - 2415/11/08"/>
          <s v="2415/11/09 - 2415/11/15"/>
          <s v="2415/11/16 - 2415/11/22"/>
          <s v="2415/11/23 - 2415/11/29"/>
          <s v="2415/11/30 - 2415/12/06"/>
          <s v="2415/12/07 - 2415/12/13"/>
          <s v="2415/12/14 - 2415/12/20"/>
          <s v="2415/12/21 - 2415/12/27"/>
          <s v="2415/12/28 - 2416/01/03"/>
          <s v="2416/01/04 - 2416/01/10"/>
          <s v="2416/01/11 - 2416/01/17"/>
          <s v="2416/01/18 - 2416/01/24"/>
          <s v="2416/01/25 - 2416/01/31"/>
          <s v="2416/02/01 - 2416/02/07"/>
          <s v="2416/02/08 - 2416/02/14"/>
          <s v="2416/02/15 - 2416/02/21"/>
          <s v="2416/02/22 - 2416/02/28"/>
          <s v="2416/02/29 - 2416/03/06"/>
          <s v="2416/03/07 - 2416/03/13"/>
          <s v="2416/03/14 - 2416/03/20"/>
          <s v="2416/03/21 - 2416/03/27"/>
          <s v="2416/03/28 - 2416/04/03"/>
          <s v="2416/04/04 - 2416/04/10"/>
          <s v="2416/04/11 - 2416/04/17"/>
          <s v="2416/04/18 - 2416/04/24"/>
          <s v="2416/04/25 - 2416/05/01"/>
          <s v="2416/05/02 - 2416/05/08"/>
          <s v="2416/05/09 - 2416/05/15"/>
          <s v="2416/05/16 - 2416/05/22"/>
          <s v="2416/05/23 - 2416/05/29"/>
          <s v="2416/05/30 - 2416/06/05"/>
          <s v="2416/06/06 - 2416/06/12"/>
          <s v="2416/06/13 - 2416/06/19"/>
          <s v="2416/06/20 - 2416/06/26"/>
          <s v="2416/06/27 - 2416/07/03"/>
          <s v="2416/07/04 - 2416/07/10"/>
          <s v="2416/07/11 - 2416/07/17"/>
          <s v="2416/07/18 - 2416/07/24"/>
          <s v="2416/07/25 - 2416/07/31"/>
          <s v="2416/08/01 - 2416/08/07"/>
          <s v="2416/08/08 - 2416/08/14"/>
          <s v="2416/08/15 - 2416/08/21"/>
          <s v="2416/08/22 - 2416/08/28"/>
          <s v="2416/08/29 - 2416/09/04"/>
          <s v="2416/09/05 - 2416/09/11"/>
          <s v="2416/09/12 - 2416/09/18"/>
          <s v="2416/09/19 - 2416/09/25"/>
          <s v="2416/09/26 - 2416/10/02"/>
          <s v="2416/10/03 - 2416/10/09"/>
          <s v="2416/10/10 - 2416/10/16"/>
          <s v="2416/10/17 - 2416/10/23"/>
          <s v="2416/10/24 - 2416/10/30"/>
          <s v="2416/10/31 - 2416/11/06"/>
          <s v="2416/11/07 - 2416/11/13"/>
          <s v="2416/11/14 - 2416/11/20"/>
          <s v="2416/11/21 - 2416/11/27"/>
          <s v="2416/11/28 - 2416/12/04"/>
          <s v="2416/12/05 - 2416/12/11"/>
          <s v="2416/12/12 - 2416/12/18"/>
          <s v="2416/12/19 - 2416/12/25"/>
          <s v="2416/12/26 - 2417/01/01"/>
          <s v="2417/01/02 - 2417/01/08"/>
          <s v="2417/01/09 - 2417/01/15"/>
          <s v="2417/01/16 - 2417/01/22"/>
          <s v="2417/01/23 - 2417/01/29"/>
          <s v="2417/01/30 - 2417/02/05"/>
          <s v="2417/02/06 - 2417/02/12"/>
          <s v="2417/02/13 - 2417/02/19"/>
          <s v="2417/02/20 - 2417/02/26"/>
          <s v="2417/02/27 - 2417/03/05"/>
          <s v="2417/03/06 - 2417/03/12"/>
          <s v="2417/03/13 - 2417/03/19"/>
          <s v="2417/03/20 - 2417/03/26"/>
          <s v="2417/03/27 - 2417/04/02"/>
          <s v="2417/04/03 - 2417/04/09"/>
          <s v="2417/04/10 - 2417/04/16"/>
          <s v="2417/04/17 - 2417/04/23"/>
          <s v="2417/04/24 - 2417/04/30"/>
          <s v="2417/05/01 - 2417/05/07"/>
          <s v="2417/05/08 - 2417/05/14"/>
          <s v="2417/05/15 - 2417/05/21"/>
          <s v="2417/05/22 - 2417/05/28"/>
          <s v="2417/05/29 - 2417/06/04"/>
          <s v="2417/06/05 - 2417/06/11"/>
          <s v="2417/06/12 - 2417/06/18"/>
          <s v="2417/06/19 - 2417/06/25"/>
          <s v="2417/06/26 - 2417/07/02"/>
          <s v="2417/07/03 - 2417/07/09"/>
          <s v="2417/07/10 - 2417/07/16"/>
          <s v="2417/07/17 - 2417/07/23"/>
          <s v="2417/07/24 - 2417/07/30"/>
          <s v="2417/07/31 - 2417/08/06"/>
          <s v="2417/08/07 - 2417/08/13"/>
          <s v="2417/08/14 - 2417/08/20"/>
          <s v="2417/08/21 - 2417/08/27"/>
          <s v="2417/08/28 - 2417/09/03"/>
          <s v="2417/09/04 - 2417/09/10"/>
          <s v="2417/09/11 - 2417/09/17"/>
          <s v="2417/09/18 - 2417/09/24"/>
          <s v="2417/09/25 - 2417/10/01"/>
          <s v="2417/10/02 - 2417/10/08"/>
          <s v="2417/10/09 - 2417/10/15"/>
          <s v="2417/10/16 - 2417/10/22"/>
          <s v="2417/10/23 - 2417/10/29"/>
          <s v="2417/10/30 - 2417/11/05"/>
          <s v="2417/11/06 - 2417/11/12"/>
          <s v="2417/11/13 - 2417/11/19"/>
          <s v="2417/11/20 - 2417/11/26"/>
          <s v="2417/11/27 - 2417/12/03"/>
          <s v="2417/12/04 - 2417/12/10"/>
          <s v="2417/12/11 - 2417/12/17"/>
          <s v="2417/12/18 - 2417/12/24"/>
          <s v="2417/12/25 - 2417/12/31"/>
          <s v="2418/01/01 - 2418/01/07"/>
          <s v="2418/01/08 - 2418/01/14"/>
          <s v="2418/01/15 - 2418/01/21"/>
          <s v="2418/01/22 - 2418/01/28"/>
          <s v="2418/01/29 - 2418/02/04"/>
          <s v="2418/02/05 - 2418/02/11"/>
          <s v="2418/02/12 - 2418/02/18"/>
          <s v="2418/02/19 - 2418/02/25"/>
          <s v="2418/02/26 - 2418/03/04"/>
          <s v="2418/03/05 - 2418/03/11"/>
          <s v="2418/03/12 - 2418/03/18"/>
          <s v="2418/03/19 - 2418/03/25"/>
          <s v="2418/03/26 - 2418/04/01"/>
          <s v="2418/04/02 - 2418/04/08"/>
          <s v="2418/04/09 - 2418/04/15"/>
          <s v="2418/04/16 - 2418/04/22"/>
          <s v="2418/04/23 - 2418/04/29"/>
          <s v="2418/04/30 - 2418/05/06"/>
          <s v="2418/05/07 - 2418/05/13"/>
          <s v="2418/05/14 - 2418/05/20"/>
          <s v="2418/05/21 - 2418/05/27"/>
          <s v="2418/05/28 - 2418/06/03"/>
          <s v="2418/06/04 - 2418/06/10"/>
          <s v="2418/06/11 - 2418/06/17"/>
          <s v="2418/06/18 - 2418/06/24"/>
          <s v="2418/06/25 - 2418/07/01"/>
          <s v="2418/07/02 - 2418/07/08"/>
          <s v="2418/07/09 - 2418/07/15"/>
          <s v="2418/07/16 - 2418/07/22"/>
          <s v="2418/07/23 - 2418/07/29"/>
          <s v="2418/07/30 - 2418/08/05"/>
          <s v="2418/08/06 - 2418/08/12"/>
          <s v="2418/08/13 - 2418/08/19"/>
          <s v="2418/08/20 - 2418/08/26"/>
          <s v="2418/08/27 - 2418/09/02"/>
          <s v="2418/09/03 - 2418/09/09"/>
          <s v="2418/09/10 - 2418/09/16"/>
          <s v="2418/09/17 - 2418/09/23"/>
          <s v="2418/09/24 - 2418/09/30"/>
          <s v="2418/10/01 - 2418/10/07"/>
          <s v="2418/10/08 - 2418/10/14"/>
          <s v="2418/10/15 - 2418/10/21"/>
          <s v="2418/10/22 - 2418/10/28"/>
          <s v="2418/10/29 - 2418/11/04"/>
          <s v="2418/11/05 - 2418/11/11"/>
          <s v="2418/11/12 - 2418/11/18"/>
          <s v="2418/11/19 - 2418/11/25"/>
          <s v="2418/11/26 - 2418/12/02"/>
          <s v="2418/12/03 - 2418/12/09"/>
          <s v="2418/12/10 - 2418/12/16"/>
          <s v="2418/12/17 - 2418/12/23"/>
          <s v="2418/12/24 - 2418/12/30"/>
          <s v="2418/12/31 - 2419/01/06"/>
          <s v="2419/01/07 - 2419/01/13"/>
          <s v="2419/01/14 - 2419/01/20"/>
          <s v="2419/01/21 - 2419/01/27"/>
          <s v="2419/01/28 - 2419/02/03"/>
          <s v="2419/02/04 - 2419/02/10"/>
          <s v="2419/02/11 - 2419/02/17"/>
          <s v="2419/02/18 - 2419/02/24"/>
          <s v="2419/02/25 - 2419/03/03"/>
          <s v="2419/03/04 - 2419/03/10"/>
          <s v="2419/03/11 - 2419/03/17"/>
          <s v="2419/03/18 - 2419/03/24"/>
          <s v="2419/03/25 - 2419/03/31"/>
          <s v="2419/04/01 - 2419/04/07"/>
          <s v="2419/04/08 - 2419/04/14"/>
          <s v="2419/04/15 - 2419/04/21"/>
          <s v="2419/04/22 - 2419/04/28"/>
          <s v="2419/04/29 - 2419/05/05"/>
          <s v="2419/05/06 - 2419/05/12"/>
          <s v="2419/05/13 - 2419/05/19"/>
          <s v="2419/05/20 - 2419/05/26"/>
          <s v="2419/05/27 - 2419/06/02"/>
          <s v="2419/06/03 - 2419/06/09"/>
          <s v="2419/06/10 - 2419/06/16"/>
          <s v="2419/06/17 - 2419/06/23"/>
          <s v="2419/06/24 - 2419/06/30"/>
          <s v="2419/07/01 - 2419/07/07"/>
          <s v="2419/07/08 - 2419/07/14"/>
          <s v="2419/07/15 - 2419/07/21"/>
          <s v="2419/07/22 - 2419/07/28"/>
          <s v="2419/07/29 - 2419/08/04"/>
          <s v="2419/08/05 - 2419/08/11"/>
          <s v="2419/08/12 - 2419/08/18"/>
          <s v="2419/08/19 - 2419/08/25"/>
          <s v="2419/08/26 - 2419/09/01"/>
          <s v="2419/09/02 - 2419/09/08"/>
          <s v="2419/09/09 - 2419/09/15"/>
          <s v="2419/09/16 - 2419/09/22"/>
          <s v="2419/09/23 - 2419/09/29"/>
          <s v="2419/09/30 - 2419/10/06"/>
          <s v="2419/10/07 - 2419/10/13"/>
          <s v="2419/10/14 - 2419/10/20"/>
          <s v="2419/10/21 - 2419/10/27"/>
          <s v="2419/10/28 - 2419/11/03"/>
          <s v="2419/11/04 - 2419/11/10"/>
          <s v="2419/11/11 - 2419/11/17"/>
          <s v="2419/11/18 - 2419/11/24"/>
          <s v="2419/11/25 - 2419/12/01"/>
          <s v="2419/12/02 - 2419/12/08"/>
          <s v="2419/12/09 - 2419/12/15"/>
          <s v="2419/12/16 - 2419/12/22"/>
          <s v="2419/12/23 - 2419/12/29"/>
          <s v="2419/12/30 - 2420/01/05"/>
          <s v="2420/01/06 - 2420/01/12"/>
          <s v="2420/01/13 - 2420/01/19"/>
          <s v="2420/01/20 - 2420/01/26"/>
          <s v="2420/01/27 - 2420/02/02"/>
          <s v="2420/02/03 - 2420/02/09"/>
          <s v="2420/02/10 - 2420/02/16"/>
          <s v="2420/02/17 - 2420/02/23"/>
          <s v="2420/02/24 - 2420/03/01"/>
          <s v="2420/03/02 - 2420/03/08"/>
          <s v="2420/03/09 - 2420/03/15"/>
          <s v="2420/03/16 - 2420/03/22"/>
          <s v="2420/03/23 - 2420/03/29"/>
          <s v="2420/03/30 - 2420/04/05"/>
          <s v="2420/04/06 - 2420/04/12"/>
          <s v="2420/04/13 - 2420/04/19"/>
          <s v="2420/04/20 - 2420/04/26"/>
          <s v="2420/04/27 - 2420/05/03"/>
          <s v="2420/05/04 - 2420/05/10"/>
          <s v="2420/05/11 - 2420/05/17"/>
          <s v="2420/05/18 - 2420/05/24"/>
          <s v="2420/05/25 - 2420/05/31"/>
          <s v="2420/06/01 - 2420/06/07"/>
          <s v="2420/06/08 - 2420/06/14"/>
          <s v="2420/06/15 - 2420/06/21"/>
          <s v="2420/06/22 - 2420/06/28"/>
          <s v="2420/06/29 - 2420/07/05"/>
          <s v="2420/07/06 - 2420/07/12"/>
          <s v="2420/07/13 - 2420/07/19"/>
          <s v="2420/07/20 - 2420/07/26"/>
          <s v="2420/07/27 - 2420/08/02"/>
          <s v="2420/08/03 - 2420/08/09"/>
          <s v="2420/08/10 - 2420/08/16"/>
          <s v="2420/08/17 - 2420/08/23"/>
          <s v="2420/08/24 - 2420/08/30"/>
          <s v="2420/08/31 - 2420/09/06"/>
          <s v="2420/09/07 - 2420/09/13"/>
          <s v="2420/09/14 - 2420/09/20"/>
          <s v="2420/09/21 - 2420/09/27"/>
          <s v="2420/09/28 - 2420/10/04"/>
          <s v="2420/10/05 - 2420/10/11"/>
          <s v="2420/10/12 - 2420/10/18"/>
          <s v="2420/10/19 - 2420/10/25"/>
          <s v="2420/10/26 - 2420/11/01"/>
          <s v="2420/11/02 - 2420/11/08"/>
          <s v="2420/11/09 - 2420/11/15"/>
          <s v="2420/11/16 - 2420/11/22"/>
          <s v="2420/11/23 - 2420/11/29"/>
          <s v="2420/11/30 - 2420/12/06"/>
          <s v="2420/12/07 - 2420/12/13"/>
          <s v="2420/12/14 - 2420/12/20"/>
          <s v="2420/12/21 - 2420/12/27"/>
          <s v="2420/12/28 - 2421/01/03"/>
          <s v="2421/01/04 - 2421/01/10"/>
          <s v="2421/01/11 - 2421/01/17"/>
          <s v="2421/01/18 - 2421/01/24"/>
          <s v="2421/01/25 - 2421/01/31"/>
          <s v="2421/02/01 - 2421/02/07"/>
          <s v="2421/02/08 - 2421/02/14"/>
          <s v="2421/02/15 - 2421/02/21"/>
          <s v="2421/02/22 - 2421/02/28"/>
          <s v="2421/03/01 - 2421/03/07"/>
          <s v="2421/03/08 - 2421/03/14"/>
          <s v="2421/03/15 - 2421/03/21"/>
          <s v="2421/03/22 - 2421/03/28"/>
          <s v="2421/03/29 - 2421/04/04"/>
          <s v="2421/04/05 - 2421/04/11"/>
          <s v="2421/04/12 - 2421/04/18"/>
          <s v="2421/04/19 - 2421/04/25"/>
          <s v="2421/04/26 - 2421/05/02"/>
          <s v="2421/05/03 - 2421/05/09"/>
          <s v="2421/05/10 - 2421/05/16"/>
          <s v="2421/05/17 - 2421/05/23"/>
          <s v="2421/05/24 - 2421/05/30"/>
          <s v="2421/05/31 - 2421/06/06"/>
          <s v="2421/06/07 - 2421/06/13"/>
          <s v="2421/06/14 - 2421/06/20"/>
          <s v="2421/06/21 - 2421/06/27"/>
          <s v="2421/06/28 - 2421/07/04"/>
          <s v="2421/07/05 - 2421/07/11"/>
          <s v="2421/07/12 - 2421/07/18"/>
          <s v="2421/07/19 - 2421/07/25"/>
          <s v="2421/07/26 - 2421/08/01"/>
          <s v="2421/08/02 - 2421/08/08"/>
          <s v="2421/08/09 - 2421/08/15"/>
          <s v="2421/08/16 - 2421/08/22"/>
          <s v="2421/08/23 - 2421/08/29"/>
          <s v="2421/08/30 - 2421/09/05"/>
          <s v="2421/09/06 - 2421/09/12"/>
          <s v="2421/09/13 - 2421/09/19"/>
          <s v="2421/09/20 - 2421/09/26"/>
          <s v="2421/09/27 - 2421/10/03"/>
          <s v="2421/10/04 - 2421/10/10"/>
          <s v="2421/10/11 - 2421/10/17"/>
          <s v="2421/10/18 - 2421/10/24"/>
          <s v="2421/10/25 - 2421/10/31"/>
          <s v="2421/11/01 - 2421/11/07"/>
          <s v="2421/11/08 - 2421/11/14"/>
          <s v="2421/11/15 - 2421/11/21"/>
          <s v="2421/11/22 - 2421/11/28"/>
          <s v="2421/11/29 - 2421/12/05"/>
          <s v="2421/12/06 - 2421/12/12"/>
          <s v="2421/12/13 - 2421/12/19"/>
          <s v="2421/12/20 - 2421/12/26"/>
          <s v="2421/12/27 - 2422/01/02"/>
          <s v="2422/01/03 - 2422/01/09"/>
          <s v="2422/01/10 - 2422/01/16"/>
          <s v="2422/01/17 - 2422/01/23"/>
          <s v="2422/01/24 - 2422/01/30"/>
          <s v="2422/01/31 - 2422/02/06"/>
          <s v="2422/02/07 - 2422/02/13"/>
          <s v="2422/02/14 - 2422/02/20"/>
          <s v="2422/02/21 - 2422/02/27"/>
          <s v="2422/02/28 - 2422/03/06"/>
          <s v="2422/03/07 - 2422/03/13"/>
          <s v="2422/03/14 - 2422/03/20"/>
          <s v="2422/03/21 - 2422/03/27"/>
          <s v="2422/03/28 - 2422/04/03"/>
          <s v="2422/04/04 - 2422/04/10"/>
          <s v="2422/04/11 - 2422/04/17"/>
          <s v="2422/04/18 - 2422/04/24"/>
          <s v="2422/04/25 - 2422/05/01"/>
          <s v="2422/05/02 - 2422/05/08"/>
          <s v="2422/05/09 - 2422/05/15"/>
          <s v="2422/05/16 - 2422/05/22"/>
          <s v="2422/05/23 - 2422/05/29"/>
          <s v="2422/05/30 - 2422/06/05"/>
          <s v="2422/06/06 - 2422/06/12"/>
          <s v="2422/06/13 - 2422/06/19"/>
          <s v="2422/06/20 - 2422/06/26"/>
          <s v="2422/06/27 - 2422/07/03"/>
          <s v="2422/07/04 - 2422/07/10"/>
          <s v="2422/07/11 - 2422/07/17"/>
          <s v="2422/07/18 - 2422/07/24"/>
          <s v="2422/07/25 - 2422/07/31"/>
          <s v="2422/08/01 - 2422/08/07"/>
          <s v="2422/08/08 - 2422/08/14"/>
          <s v="2422/08/15 - 2422/08/21"/>
          <s v="2422/08/22 - 2422/08/28"/>
          <s v="2422/08/29 - 2422/09/04"/>
          <s v="2422/09/05 - 2422/09/11"/>
          <s v="2422/09/12 - 2422/09/18"/>
          <s v="2422/09/19 - 2422/09/25"/>
          <s v="2422/09/26 - 2422/10/02"/>
          <s v="2422/10/03 - 2422/10/09"/>
          <s v="2422/10/10 - 2422/10/16"/>
          <s v="2422/10/17 - 2422/10/23"/>
          <s v="2422/10/24 - 2422/10/30"/>
          <s v="2422/10/31 - 2422/11/06"/>
          <s v="2422/11/07 - 2422/11/13"/>
          <s v="2422/11/14 - 2422/11/20"/>
          <s v="2422/11/21 - 2422/11/27"/>
          <s v="2422/11/28 - 2422/12/04"/>
          <s v="2422/12/05 - 2422/12/11"/>
          <s v="2422/12/12 - 2422/12/18"/>
          <s v="2422/12/19 - 2422/12/25"/>
          <s v="2422/12/26 - 2423/01/01"/>
          <s v="2423/01/02 - 2423/01/08"/>
          <s v="2423/01/09 - 2423/01/15"/>
          <s v="2423/01/16 - 2423/01/22"/>
          <s v="2423/01/23 - 2423/01/29"/>
          <s v="2423/01/30 - 2423/02/05"/>
          <s v="2423/02/06 - 2423/02/12"/>
          <s v="2423/02/13 - 2423/02/19"/>
          <s v="2423/02/20 - 2423/02/26"/>
          <s v="2423/02/27 - 2423/03/05"/>
          <s v="2423/03/06 - 2423/03/12"/>
          <s v="2423/03/13 - 2423/03/19"/>
          <s v="2423/03/20 - 2423/03/26"/>
          <s v="2423/03/27 - 2423/04/02"/>
          <s v="2423/04/03 - 2423/04/09"/>
          <s v="2423/04/10 - 2423/04/16"/>
          <s v="2423/04/17 - 2423/04/23"/>
          <s v="2423/04/24 - 2423/04/30"/>
          <s v="2423/05/01 - 2423/05/07"/>
          <s v="2423/05/08 - 2423/05/14"/>
          <s v="2423/05/15 - 2423/05/21"/>
          <s v="2423/05/22 - 2423/05/28"/>
          <s v="2423/05/29 - 2423/06/04"/>
          <s v="2423/06/05 - 2423/06/11"/>
          <s v="2423/06/12 - 2423/06/18"/>
          <s v="2423/06/19 - 2423/06/25"/>
          <s v="2423/06/26 - 2423/07/02"/>
          <s v="2423/07/03 - 2423/07/09"/>
          <s v="2423/07/10 - 2423/07/16"/>
          <s v="2423/07/17 - 2423/07/23"/>
          <s v="2423/07/24 - 2423/07/30"/>
          <s v="2423/07/31 - 2423/08/06"/>
          <s v="2423/08/07 - 2423/08/13"/>
          <s v="2423/08/14 - 2423/08/20"/>
          <s v="2423/08/21 - 2423/08/27"/>
          <s v="2423/08/28 - 2423/09/03"/>
          <s v="2423/09/04 - 2423/09/10"/>
          <s v="2423/09/11 - 2423/09/17"/>
          <s v="2423/09/18 - 2423/09/24"/>
          <s v="2423/09/25 - 2423/10/01"/>
          <s v="2423/10/02 - 2423/10/08"/>
          <s v="2423/10/09 - 2423/10/15"/>
          <s v="2423/10/16 - 2423/10/22"/>
          <s v="2423/10/23 - 2423/10/29"/>
          <s v="2423/10/30 - 2423/11/05"/>
          <s v="2423/11/06 - 2423/11/12"/>
          <s v="2423/11/13 - 2423/11/19"/>
          <s v="2423/11/20 - 2423/11/26"/>
          <s v="2423/11/27 - 2423/12/03"/>
          <s v="2423/12/04 - 2423/12/10"/>
          <s v="2423/12/11 - 2423/12/17"/>
          <s v="2423/12/18 - 2423/12/24"/>
          <s v="2423/12/25 - 2423/12/31"/>
          <s v="2424/01/01 - 2424/01/07"/>
          <s v="2424/01/08 - 2424/01/14"/>
          <s v="2424/01/15 - 2424/01/21"/>
          <s v="2424/01/22 - 2424/01/28"/>
          <s v="2424/01/29 - 2424/02/04"/>
          <s v="2424/02/05 - 2424/02/11"/>
          <s v="2424/02/12 - 2424/02/18"/>
          <s v="2424/02/19 - 2424/02/25"/>
          <s v="2424/02/26 - 2424/03/03"/>
          <s v="2424/03/04 - 2424/03/10"/>
          <s v="2424/03/11 - 2424/03/17"/>
          <s v="2424/03/18 - 2424/03/24"/>
          <s v="2424/03/25 - 2424/03/31"/>
          <s v="2424/04/01 - 2424/04/07"/>
          <s v="2424/04/08 - 2424/04/14"/>
          <s v="2424/04/15 - 2424/04/21"/>
          <s v="2424/04/22 - 2424/04/28"/>
          <s v="2424/04/29 - 2424/05/05"/>
          <s v="2424/05/06 - 2424/05/12"/>
          <s v="2424/05/13 - 2424/05/19"/>
          <s v="2424/05/20 - 2424/05/26"/>
          <s v="2424/05/27 - 2424/06/02"/>
          <s v="2424/06/03 - 2424/06/09"/>
          <s v="2424/06/10 - 2424/06/16"/>
          <s v="2424/06/17 - 2424/06/23"/>
          <s v="2424/06/24 - 2424/06/30"/>
          <s v="2424/07/01 - 2424/07/07"/>
          <s v="2424/07/08 - 2424/07/14"/>
          <s v="2424/07/15 - 2424/07/21"/>
          <s v="2424/07/22 - 2424/07/28"/>
          <s v="2424/07/29 - 2424/08/04"/>
          <s v="2424/08/05 - 2424/08/11"/>
          <s v="2424/08/12 - 2424/08/18"/>
          <s v="2424/08/19 - 2424/08/25"/>
          <s v="2424/08/26 - 2424/09/01"/>
          <s v="2424/09/02 - 2424/09/08"/>
          <s v="2424/09/09 - 2424/09/15"/>
          <s v="2424/09/16 - 2424/09/22"/>
          <s v="2424/09/23 - 2424/09/29"/>
          <s v="2424/09/30 - 2424/10/06"/>
          <s v="2424/10/07 - 2424/10/13"/>
          <s v="2424/10/14 - 2424/10/20"/>
          <s v="2424/10/21 - 2424/10/27"/>
          <s v="2424/10/28 - 2424/11/03"/>
          <s v="2424/11/04 - 2424/11/10"/>
          <s v="2424/11/11 - 2424/11/17"/>
          <s v="2424/11/18 - 2424/11/24"/>
          <s v="2424/11/25 - 2424/12/01"/>
          <s v="2424/12/02 - 2424/12/08"/>
          <s v="2424/12/09 - 2424/12/15"/>
          <s v="2424/12/16 - 2424/12/22"/>
          <s v="2424/12/23 - 2424/12/29"/>
          <s v="2424/12/30 - 2425/01/05"/>
          <s v="2425/01/06 - 2425/01/12"/>
          <s v="2425/01/13 - 2425/01/19"/>
          <s v="2425/01/20 - 2425/01/26"/>
          <s v="2425/01/27 - 2425/02/02"/>
          <s v="2425/02/03 - 2425/02/09"/>
          <s v="2425/02/10 - 2425/02/16"/>
          <s v="2425/02/17 - 2425/02/23"/>
          <s v="2425/02/24 - 2425/03/02"/>
          <s v="2425/03/03 - 2425/03/09"/>
          <s v="2425/03/10 - 2425/03/16"/>
          <s v="2425/03/17 - 2425/03/23"/>
          <s v="2425/03/24 - 2425/03/30"/>
          <s v="2425/03/31 - 2425/04/06"/>
          <s v="2425/04/07 - 2425/04/13"/>
          <s v="2425/04/14 - 2425/04/20"/>
          <s v="2425/04/21 - 2425/04/27"/>
          <s v="2425/04/28 - 2425/05/04"/>
          <s v="2425/05/05 - 2425/05/11"/>
          <s v="2425/05/12 - 2425/05/18"/>
          <s v="2425/05/19 - 2425/05/25"/>
          <s v="2425/05/26 - 2425/06/01"/>
          <s v="2425/06/02 - 2425/06/08"/>
          <s v="2425/06/09 - 2425/06/15"/>
          <s v="2425/06/16 - 2425/06/22"/>
          <s v="2425/06/23 - 2425/06/29"/>
          <s v="2425/06/30 - 2425/07/06"/>
          <s v="2425/07/07 - 2425/07/13"/>
          <s v="2425/07/14 - 2425/07/20"/>
          <s v="2425/07/21 - 2425/07/27"/>
          <s v="2425/07/28 - 2425/08/03"/>
          <s v="2425/08/04 - 2425/08/10"/>
          <s v="2425/08/11 - 2425/08/17"/>
          <s v="2425/08/18 - 2425/08/24"/>
          <s v="2425/08/25 - 2425/08/31"/>
          <s v="2425/09/01 - 2425/09/07"/>
          <s v="2425/09/08 - 2425/09/14"/>
          <s v="2425/09/15 - 2425/09/21"/>
          <s v="2425/09/22 - 2425/09/28"/>
          <s v="2425/09/29 - 2425/10/05"/>
          <s v="2425/10/06 - 2425/10/12"/>
          <s v="2425/10/13 - 2425/10/19"/>
          <s v="2425/10/20 - 2425/10/26"/>
          <s v="2425/10/27 - 2425/11/02"/>
          <s v="2425/11/03 - 2425/11/09"/>
          <s v="2425/11/10 - 2425/11/16"/>
          <s v="2425/11/17 - 2425/11/23"/>
          <s v="2425/11/24 - 2425/11/30"/>
          <s v="2425/12/01 - 2425/12/07"/>
          <s v="2425/12/08 - 2425/12/14"/>
          <s v="2425/12/15 - 2425/12/21"/>
          <s v="2425/12/22 - 2425/12/28"/>
          <s v="2425/12/29 - 2426/01/04"/>
          <s v="2426/01/05 - 2426/01/11"/>
          <s v="2426/01/12 - 2426/01/18"/>
          <s v="2426/01/19 - 2426/01/25"/>
          <s v="2426/01/26 - 2426/02/01"/>
          <s v="2426/02/02 - 2426/02/08"/>
          <s v="2426/02/09 - 2426/02/15"/>
          <s v="2426/02/16 - 2426/02/22"/>
          <s v="2426/02/23 - 2426/03/01"/>
          <s v="2426/03/02 - 2426/03/08"/>
          <s v="2426/03/09 - 2426/03/15"/>
          <s v="2426/03/16 - 2426/03/22"/>
          <s v="2426/03/23 - 2426/03/29"/>
          <s v="2426/03/30 - 2426/04/05"/>
          <s v="2426/04/06 - 2426/04/12"/>
          <s v="2426/04/13 - 2426/04/19"/>
          <s v="2426/04/20 - 2426/04/26"/>
          <s v="2426/04/27 - 2426/05/03"/>
          <s v="2426/05/04 - 2426/05/10"/>
          <s v="2426/05/11 - 2426/05/17"/>
          <s v="2426/05/18 - 2426/05/24"/>
          <s v="2426/05/25 - 2426/05/31"/>
          <s v="2426/06/01 - 2426/06/07"/>
          <s v="2426/06/08 - 2426/06/14"/>
          <s v="2426/06/15 - 2426/06/21"/>
          <s v="2426/06/22 - 2426/06/28"/>
          <s v="2426/06/29 - 2426/07/05"/>
          <s v="2426/07/06 - 2426/07/12"/>
          <s v="2426/07/13 - 2426/07/19"/>
          <s v="2426/07/20 - 2426/07/26"/>
          <s v="2426/07/27 - 2426/08/02"/>
          <s v="2426/08/03 - 2426/08/09"/>
          <s v="2426/08/10 - 2426/08/16"/>
          <s v="2426/08/17 - 2426/08/23"/>
          <s v="2426/08/24 - 2426/08/30"/>
          <s v="2426/08/31 - 2426/09/06"/>
          <s v="2426/09/07 - 2426/09/13"/>
          <s v="2426/09/14 - 2426/09/20"/>
          <s v="2426/09/21 - 2426/09/27"/>
          <s v="2426/09/28 - 2426/10/04"/>
          <s v="2426/10/05 - 2426/10/11"/>
          <s v="2426/10/12 - 2426/10/18"/>
          <s v="2426/10/19 - 2426/10/25"/>
          <s v="2426/10/26 - 2426/11/01"/>
          <s v="2426/11/02 - 2426/11/08"/>
          <s v="2426/11/09 - 2426/11/15"/>
          <s v="2426/11/16 - 2426/11/22"/>
          <s v="2426/11/23 - 2426/11/29"/>
          <s v="2426/11/30 - 2426/12/06"/>
          <s v="2426/12/07 - 2426/12/13"/>
          <s v="2426/12/14 - 2426/12/20"/>
          <s v="2426/12/21 - 2426/12/27"/>
          <s v="2426/12/28 - 2427/01/03"/>
          <s v="2427/01/04 - 2427/01/10"/>
          <s v="2427/01/11 - 2427/01/17"/>
          <s v="2427/01/18 - 2427/01/24"/>
          <s v="2427/01/25 - 2427/01/31"/>
          <s v="2427/02/01 - 2427/02/07"/>
          <s v="2427/02/08 - 2427/02/14"/>
          <s v="2427/02/15 - 2427/02/21"/>
          <s v="2427/02/22 - 2427/02/28"/>
          <s v="2427/03/01 - 2427/03/07"/>
          <s v="2427/03/08 - 2427/03/14"/>
          <s v="2427/03/15 - 2427/03/21"/>
          <s v="2427/03/22 - 2427/03/28"/>
          <s v="2427/03/29 - 2427/04/04"/>
          <s v="2427/04/05 - 2427/04/11"/>
          <s v="2427/04/12 - 2427/04/18"/>
          <s v="2427/04/19 - 2427/04/25"/>
          <s v="2427/04/26 - 2427/05/02"/>
          <s v="2427/05/03 - 2427/05/09"/>
          <s v="2427/05/10 - 2427/05/16"/>
          <s v="2427/05/17 - 2427/05/23"/>
          <s v="2427/05/24 - 2427/05/30"/>
          <s v="2427/05/31 - 2427/06/06"/>
          <s v="2427/06/07 - 2427/06/13"/>
          <s v="2427/06/14 - 2427/06/20"/>
          <s v="2427/06/21 - 2427/06/27"/>
          <s v="2427/06/28 - 2427/07/04"/>
          <s v="2427/07/05 - 2427/07/11"/>
          <s v="2427/07/12 - 2427/07/18"/>
          <s v="2427/07/19 - 2427/07/25"/>
          <s v="2427/07/26 - 2427/08/01"/>
          <s v="2427/08/02 - 2427/08/08"/>
          <s v="2427/08/09 - 2427/08/15"/>
          <s v="2427/08/16 - 2427/08/22"/>
          <s v="2427/08/23 - 2427/08/29"/>
          <s v="2427/08/30 - 2427/09/05"/>
          <s v="2427/09/06 - 2427/09/12"/>
          <s v="2427/09/13 - 2427/09/19"/>
          <s v="2427/09/20 - 2427/09/26"/>
          <s v="2427/09/27 - 2427/10/03"/>
          <s v="2427/10/04 - 2427/10/10"/>
          <s v="2427/10/11 - 2427/10/17"/>
          <s v="2427/10/18 - 2427/10/24"/>
          <s v="2427/10/25 - 2427/10/31"/>
          <s v="2427/11/01 - 2427/11/07"/>
          <s v="2427/11/08 - 2427/11/14"/>
          <s v="2427/11/15 - 2427/11/21"/>
          <s v="2427/11/22 - 2427/11/28"/>
          <s v="2427/11/29 - 2427/12/05"/>
          <s v="2427/12/06 - 2427/12/12"/>
          <s v="2427/12/13 - 2427/12/19"/>
          <s v="2427/12/20 - 2427/12/26"/>
          <s v="2427/12/27 - 2428/01/02"/>
          <s v="2428/01/03 - 2428/01/09"/>
          <s v="2428/01/10 - 2428/01/16"/>
          <s v="2428/01/17 - 2428/01/23"/>
          <s v="2428/01/24 - 2428/01/30"/>
          <s v="2428/01/31 - 2428/02/06"/>
          <s v="2428/02/07 - 2428/02/13"/>
          <s v="2428/02/14 - 2428/02/20"/>
          <s v="2428/02/21 - 2428/02/27"/>
          <s v="2428/02/28 - 2428/03/05"/>
          <s v="2428/03/06 - 2428/03/12"/>
          <s v="2428/03/13 - 2428/03/19"/>
          <s v="2428/03/20 - 2428/03/26"/>
          <s v="2428/03/27 - 2428/04/02"/>
          <s v="2428/04/03 - 2428/04/09"/>
          <s v="2428/04/10 - 2428/04/16"/>
          <s v="2428/04/17 - 2428/04/23"/>
          <s v="2428/04/24 - 2428/04/30"/>
          <s v="2428/05/01 - 2428/05/07"/>
          <s v="2428/05/08 - 2428/05/14"/>
          <s v="2428/05/15 - 2428/05/21"/>
          <s v="2428/05/22 - 2428/05/28"/>
          <s v="2428/05/29 - 2428/06/04"/>
          <s v="2428/06/05 - 2428/06/11"/>
          <s v="2428/06/12 - 2428/06/18"/>
          <s v="2428/06/19 - 2428/06/25"/>
          <s v="2428/06/26 - 2428/07/02"/>
          <s v="2428/07/03 - 2428/07/09"/>
          <s v="2428/07/10 - 2428/07/16"/>
          <s v="2428/07/17 - 2428/07/23"/>
          <s v="2428/07/24 - 2428/07/30"/>
          <s v="2428/07/31 - 2428/08/06"/>
          <s v="2428/08/07 - 2428/08/13"/>
          <s v="2428/08/14 - 2428/08/20"/>
          <s v="2428/08/21 - 2428/08/27"/>
          <s v="2428/08/28 - 2428/09/03"/>
          <s v="2428/09/04 - 2428/09/10"/>
          <s v="2428/09/11 - 2428/09/17"/>
          <s v="2428/09/18 - 2428/09/24"/>
          <s v="2428/09/25 - 2428/10/01"/>
          <s v="2428/10/02 - 2428/10/08"/>
          <s v="2428/10/09 - 2428/10/15"/>
          <s v="2428/10/16 - 2428/10/22"/>
          <s v="2428/10/23 - 2428/10/29"/>
          <s v="2428/10/30 - 2428/11/05"/>
          <s v="2428/11/06 - 2428/11/12"/>
          <s v="2428/11/13 - 2428/11/19"/>
          <s v="2428/11/20 - 2428/11/26"/>
          <s v="2428/11/27 - 2428/12/03"/>
          <s v="2428/12/04 - 2428/12/10"/>
          <s v="2428/12/11 - 2428/12/17"/>
          <s v="2428/12/18 - 2428/12/24"/>
          <s v="2428/12/25 - 2428/12/31"/>
          <s v="2429/01/01 - 2429/01/07"/>
          <s v="2429/01/08 - 2429/01/14"/>
          <s v="2429/01/15 - 2429/01/21"/>
          <s v="2429/01/22 - 2429/01/28"/>
          <s v="2429/01/29 - 2429/02/04"/>
          <s v="2429/02/05 - 2429/02/11"/>
          <s v="2429/02/12 - 2429/02/18"/>
          <s v="2429/02/19 - 2429/02/25"/>
          <s v="2429/02/26 - 2429/03/04"/>
          <s v="2429/03/05 - 2429/03/11"/>
          <s v="2429/03/12 - 2429/03/18"/>
          <s v="2429/03/19 - 2429/03/25"/>
          <s v="2429/03/26 - 2429/04/01"/>
          <s v="2429/04/02 - 2429/04/08"/>
          <s v="2429/04/09 - 2429/04/15"/>
          <s v="2429/04/16 - 2429/04/22"/>
          <s v="2429/04/23 - 2429/04/29"/>
          <s v="2429/04/30 - 2429/05/06"/>
          <s v="2429/05/07 - 2429/05/13"/>
          <s v="2429/05/14 - 2429/05/20"/>
          <s v="2429/05/21 - 2429/05/27"/>
          <s v="2429/05/28 - 2429/06/03"/>
          <s v="2429/06/04 - 2429/06/10"/>
          <s v="2429/06/11 - 2429/06/17"/>
          <s v="2429/06/18 - 2429/06/24"/>
          <s v="2429/06/25 - 2429/07/01"/>
          <s v="2429/07/02 - 2429/07/08"/>
          <s v="2429/07/09 - 2429/07/15"/>
          <s v="2429/07/16 - 2429/07/22"/>
          <s v="2429/07/23 - 2429/07/29"/>
          <s v="2429/07/30 - 2429/08/05"/>
          <s v="2429/08/06 - 2429/08/12"/>
          <s v="2429/08/13 - 2429/08/19"/>
          <s v="2429/08/20 - 2429/08/26"/>
          <s v="2429/08/27 - 2429/09/02"/>
          <s v="2429/09/03 - 2429/09/09"/>
          <s v="2429/09/10 - 2429/09/16"/>
          <s v="2429/09/17 - 2429/09/23"/>
          <s v="2429/09/24 - 2429/09/30"/>
          <s v="2429/10/01 - 2429/10/07"/>
          <s v="2429/10/08 - 2429/10/14"/>
          <s v="2429/10/15 - 2429/10/21"/>
          <s v="2429/10/22 - 2429/10/28"/>
          <s v="2429/10/29 - 2429/11/04"/>
          <s v="2429/11/05 - 2429/11/11"/>
          <s v="2429/11/12 - 2429/11/18"/>
          <s v="2429/11/19 - 2429/11/25"/>
          <s v="2429/11/26 - 2429/12/02"/>
          <s v="2429/12/03 - 2429/12/09"/>
          <s v="2429/12/10 - 2429/12/16"/>
          <s v="2429/12/17 - 2429/12/23"/>
          <s v="2429/12/24 - 2429/12/30"/>
          <s v="2429/12/31 - 2430/01/06"/>
          <s v="2430/01/07 - 2430/01/13"/>
          <s v="2430/01/14 - 2430/01/20"/>
          <s v="2430/01/21 - 2430/01/27"/>
          <s v="2430/01/28 - 2430/02/03"/>
          <s v="2430/02/04 - 2430/02/10"/>
          <s v="2430/02/11 - 2430/02/17"/>
          <s v="2430/02/18 - 2430/02/24"/>
          <s v="2430/02/25 - 2430/03/03"/>
          <s v="2430/03/04 - 2430/03/10"/>
          <s v="2430/03/11 - 2430/03/17"/>
          <s v="2430/03/18 - 2430/03/24"/>
          <s v="2430/03/25 - 2430/03/31"/>
          <s v="2430/04/01 - 2430/04/07"/>
          <s v="2430/04/08 - 2430/04/14"/>
          <s v="2430/04/15 - 2430/04/21"/>
          <s v="2430/04/22 - 2430/04/28"/>
          <s v="2430/04/29 - 2430/05/05"/>
          <s v="2430/05/06 - 2430/05/12"/>
          <s v="2430/05/13 - 2430/05/19"/>
          <s v="2430/05/20 - 2430/05/26"/>
          <s v="2430/05/27 - 2430/06/02"/>
          <s v="2430/06/03 - 2430/06/09"/>
          <s v="2430/06/10 - 2430/06/16"/>
          <s v="2430/06/17 - 2430/06/23"/>
          <s v="2430/06/24 - 2430/06/30"/>
          <s v="2430/07/01 - 2430/07/07"/>
          <s v="2430/07/08 - 2430/07/14"/>
          <s v="2430/07/15 - 2430/07/21"/>
          <s v="2430/07/22 - 2430/07/28"/>
          <s v="2430/07/29 - 2430/08/04"/>
          <s v="2430/08/05 - 2430/08/11"/>
          <s v="2430/08/12 - 2430/08/18"/>
          <s v="2430/08/19 - 2430/08/25"/>
          <s v="2430/08/26 - 2430/09/01"/>
          <s v="2430/09/02 - 2430/09/08"/>
          <s v="2430/09/09 - 2430/09/15"/>
          <s v="2430/09/16 - 2430/09/22"/>
          <s v="2430/09/23 - 2430/09/29"/>
          <s v="2430/09/30 - 2430/10/06"/>
          <s v="2430/10/07 - 2430/10/13"/>
          <s v="2430/10/14 - 2430/10/20"/>
          <s v="2430/10/21 - 2430/10/27"/>
          <s v="2430/10/28 - 2430/11/03"/>
          <s v="2430/11/04 - 2430/11/10"/>
          <s v="2430/11/11 - 2430/11/17"/>
          <s v="2430/11/18 - 2430/11/24"/>
          <s v="2430/11/25 - 2430/12/01"/>
          <s v="2430/12/02 - 2430/12/08"/>
          <s v="2430/12/09 - 2430/12/15"/>
          <s v="2430/12/16 - 2430/12/22"/>
          <s v="2430/12/23 - 2430/12/29"/>
          <s v="2430/12/30 - 2431/01/05"/>
          <s v="2431/01/06 - 2431/01/12"/>
          <s v="2431/01/13 - 2431/01/19"/>
          <s v="2431/01/20 - 2431/01/26"/>
          <s v="2431/01/27 - 2431/02/02"/>
          <s v="2431/02/03 - 2431/02/09"/>
          <s v="2431/02/10 - 2431/02/16"/>
          <s v="2431/02/17 - 2431/02/23"/>
          <s v="2431/02/24 - 2431/03/02"/>
          <s v="2431/03/03 - 2431/03/09"/>
          <s v="2431/03/10 - 2431/03/16"/>
          <s v="2431/03/17 - 2431/03/23"/>
          <s v="2431/03/24 - 2431/03/30"/>
          <s v="2431/03/31 - 2431/04/06"/>
          <s v="2431/04/07 - 2431/04/13"/>
          <s v="2431/04/14 - 2431/04/20"/>
          <s v="2431/04/21 - 2431/04/27"/>
          <s v="2431/04/28 - 2431/05/04"/>
          <s v="2431/05/05 - 2431/05/11"/>
          <s v="2431/05/12 - 2431/05/18"/>
          <s v="2431/05/19 - 2431/05/25"/>
          <s v="2431/05/26 - 2431/06/01"/>
          <s v="2431/06/02 - 2431/06/08"/>
          <s v="2431/06/09 - 2431/06/15"/>
          <s v="2431/06/16 - 2431/06/22"/>
          <s v="2431/06/23 - 2431/06/29"/>
          <s v="2431/06/30 - 2431/07/06"/>
          <s v="2431/07/07 - 2431/07/13"/>
          <s v="2431/07/14 - 2431/07/20"/>
          <s v="2431/07/21 - 2431/07/27"/>
          <s v="2431/07/28 - 2431/08/03"/>
          <s v="2431/08/04 - 2431/08/10"/>
          <s v="2431/08/11 - 2431/08/17"/>
          <s v="2431/08/18 - 2431/08/24"/>
          <s v="2431/08/25 - 2431/08/31"/>
          <s v="2431/09/01 - 2431/09/07"/>
          <s v="2431/09/08 - 2431/09/14"/>
          <s v="2431/09/15 - 2431/09/21"/>
          <s v="2431/09/22 - 2431/09/28"/>
          <s v="2431/09/29 - 2431/10/05"/>
          <s v="2431/10/06 - 2431/10/12"/>
          <s v="2431/10/13 - 2431/10/19"/>
          <s v="2431/10/20 - 2431/10/26"/>
          <s v="2431/10/27 - 2431/11/02"/>
          <s v="2431/11/03 - 2431/11/09"/>
          <s v="2431/11/10 - 2431/11/16"/>
          <s v="2431/11/17 - 2431/11/23"/>
          <s v="2431/11/24 - 2431/11/30"/>
          <s v="2431/12/01 - 2431/12/07"/>
          <s v="2431/12/08 - 2431/12/14"/>
          <s v="2431/12/15 - 2431/12/21"/>
          <s v="2431/12/22 - 2431/12/28"/>
          <s v="2431/12/29 - 2432/01/04"/>
          <s v="2432/01/05 - 2432/01/11"/>
          <s v="2432/01/12 - 2432/01/18"/>
          <s v="2432/01/19 - 2432/01/25"/>
          <s v="2432/01/26 - 2432/02/01"/>
          <s v="2432/02/02 - 2432/02/08"/>
          <s v="2432/02/09 - 2432/02/15"/>
          <s v="2432/02/16 - 2432/02/22"/>
          <s v="2432/02/23 - 2432/02/29"/>
          <s v="2432/03/01 - 2432/03/07"/>
          <s v="2432/03/08 - 2432/03/14"/>
          <s v="2432/03/15 - 2432/03/21"/>
          <s v="2432/03/22 - 2432/03/28"/>
          <s v="2432/03/29 - 2432/04/04"/>
          <s v="2432/04/05 - 2432/04/11"/>
          <s v="2432/04/12 - 2432/04/18"/>
          <s v="2432/04/19 - 2432/04/25"/>
          <s v="2432/04/26 - 2432/05/02"/>
          <s v="2432/05/03 - 2432/05/09"/>
          <s v="2432/05/10 - 2432/05/16"/>
          <s v="2432/05/17 - 2432/05/23"/>
          <s v="2432/05/24 - 2432/05/30"/>
          <s v="2432/05/31 - 2432/06/06"/>
          <s v="2432/06/07 - 2432/06/13"/>
          <s v="2432/06/14 - 2432/06/20"/>
          <s v="2432/06/21 - 2432/06/27"/>
          <s v="2432/06/28 - 2432/07/04"/>
          <s v="2432/07/05 - 2432/07/11"/>
          <s v="2432/07/12 - 2432/07/18"/>
          <s v="2432/07/19 - 2432/07/25"/>
          <s v="2432/07/26 - 2432/08/01"/>
          <s v="2432/08/02 - 2432/08/08"/>
          <s v="2432/08/09 - 2432/08/15"/>
          <s v="2432/08/16 - 2432/08/22"/>
          <s v="2432/08/23 - 2432/08/29"/>
          <s v="2432/08/30 - 2432/09/05"/>
          <s v="2432/09/06 - 2432/09/12"/>
          <s v="2432/09/13 - 2432/09/19"/>
          <s v="2432/09/20 - 2432/09/26"/>
          <s v="2432/09/27 - 2432/10/03"/>
          <s v="2432/10/04 - 2432/10/10"/>
          <s v="2432/10/11 - 2432/10/17"/>
          <s v="2432/10/18 - 2432/10/24"/>
          <s v="2432/10/25 - 2432/10/31"/>
          <s v="2432/11/01 - 2432/11/07"/>
          <s v="2432/11/08 - 2432/11/14"/>
          <s v="2432/11/15 - 2432/11/21"/>
          <s v="2432/11/22 - 2432/11/28"/>
          <s v="2432/11/29 - 2432/12/05"/>
          <s v="2432/12/06 - 2432/12/12"/>
          <s v="2432/12/13 - 2432/12/19"/>
          <s v="2432/12/20 - 2432/12/26"/>
          <s v="2432/12/27 - 2433/01/02"/>
          <s v="2433/01/03 - 2433/01/09"/>
          <s v="2433/01/10 - 2433/01/16"/>
          <s v="2433/01/17 - 2433/01/23"/>
          <s v="2433/01/24 - 2433/01/30"/>
          <s v="2433/01/31 - 2433/02/06"/>
          <s v="2433/02/07 - 2433/02/13"/>
          <s v="2433/02/14 - 2433/02/20"/>
          <s v="2433/02/21 - 2433/02/27"/>
          <s v="2433/02/28 - 2433/03/06"/>
          <s v="2433/03/07 - 2433/03/13"/>
          <s v="2433/03/14 - 2433/03/20"/>
          <s v="2433/03/21 - 2433/03/27"/>
          <s v="2433/03/28 - 2433/04/03"/>
          <s v="2433/04/04 - 2433/04/10"/>
          <s v="2433/04/11 - 2433/04/17"/>
          <s v="2433/04/18 - 2433/04/24"/>
          <s v="2433/04/25 - 2433/05/01"/>
          <s v="2433/05/02 - 2433/05/08"/>
          <s v="2433/05/09 - 2433/05/15"/>
          <s v="2433/05/16 - 2433/05/22"/>
          <s v="2433/05/23 - 2433/05/29"/>
          <s v="2433/05/30 - 2433/06/05"/>
          <s v="2433/06/06 - 2433/06/12"/>
          <s v="2433/06/13 - 2433/06/19"/>
          <s v="2433/06/20 - 2433/06/26"/>
          <s v="2433/06/27 - 2433/07/03"/>
          <s v="2433/07/04 - 2433/07/10"/>
          <s v="2433/07/11 - 2433/07/17"/>
          <s v="2433/07/18 - 2433/07/24"/>
          <s v="2433/07/25 - 2433/07/31"/>
          <s v="2433/08/01 - 2433/08/07"/>
          <s v="2433/08/08 - 2433/08/14"/>
          <s v="2433/08/15 - 2433/08/21"/>
          <s v="2433/08/22 - 2433/08/28"/>
          <s v="2433/08/29 - 2433/09/04"/>
          <s v="2433/09/05 - 2433/09/11"/>
          <s v="2433/09/12 - 2433/09/18"/>
          <s v="2433/09/19 - 2433/09/25"/>
          <s v="2433/09/26 - 2433/10/02"/>
          <s v="2433/10/03 - 2433/10/09"/>
          <s v="2433/10/10 - 2433/10/16"/>
          <s v="2433/10/17 - 2433/10/23"/>
          <s v="2433/10/24 - 2433/10/30"/>
          <s v="2433/10/31 - 2433/11/06"/>
          <s v="2433/11/07 - 2433/11/13"/>
          <s v="2433/11/14 - 2433/11/20"/>
          <s v="2433/11/21 - 2433/11/27"/>
          <s v="2433/11/28 - 2433/12/04"/>
          <s v="2433/12/05 - 2433/12/11"/>
          <s v="2433/12/12 - 2433/12/18"/>
          <s v="2433/12/19 - 2433/12/25"/>
          <s v="2433/12/26 - 2434/01/01"/>
          <s v="2434/01/02 - 2434/01/08"/>
          <s v="2434/01/09 - 2434/01/15"/>
          <s v="2434/01/16 - 2434/01/22"/>
          <s v="2434/01/23 - 2434/01/29"/>
          <s v="2434/01/30 - 2434/02/05"/>
          <s v="2434/02/06 - 2434/02/12"/>
          <s v="2434/02/13 - 2434/02/19"/>
          <s v="2434/02/20 - 2434/02/26"/>
          <s v="2434/02/27 - 2434/03/05"/>
          <s v="2434/03/06 - 2434/03/12"/>
          <s v="2434/03/13 - 2434/03/19"/>
          <s v="2434/03/20 - 2434/03/26"/>
          <s v="2434/03/27 - 2434/04/02"/>
          <s v="2434/04/03 - 2434/04/09"/>
          <s v="2434/04/10 - 2434/04/16"/>
          <s v="2434/04/17 - 2434/04/23"/>
          <s v="2434/04/24 - 2434/04/30"/>
          <s v="2434/05/01 - 2434/05/07"/>
          <s v="2434/05/08 - 2434/05/14"/>
          <s v="2434/05/15 - 2434/05/21"/>
          <s v="2434/05/22 - 2434/05/28"/>
          <s v="2434/05/29 - 2434/06/04"/>
          <s v="2434/06/05 - 2434/06/11"/>
          <s v="2434/06/12 - 2434/06/18"/>
          <s v="2434/06/19 - 2434/06/25"/>
          <s v="2434/06/26 - 2434/07/02"/>
          <s v="2434/07/03 - 2434/07/09"/>
          <s v="2434/07/10 - 2434/07/16"/>
          <s v="2434/07/17 - 2434/07/23"/>
          <s v="2434/07/24 - 2434/07/30"/>
          <s v="2434/07/31 - 2434/08/06"/>
          <s v="2434/08/07 - 2434/08/13"/>
          <s v="2434/08/14 - 2434/08/20"/>
          <s v="2434/08/21 - 2434/08/27"/>
          <s v="2434/08/28 - 2434/09/03"/>
          <s v="2434/09/04 - 2434/09/10"/>
          <s v="2434/09/11 - 2434/09/17"/>
          <s v="2434/09/18 - 2434/09/24"/>
          <s v="2434/09/25 - 2434/10/01"/>
          <s v="2434/10/02 - 2434/10/08"/>
          <s v="2434/10/09 - 2434/10/15"/>
          <s v="2434/10/16 - 2434/10/22"/>
          <s v="2434/10/23 - 2434/10/29"/>
          <s v="2434/10/30 - 2434/11/05"/>
          <s v="2434/11/06 - 2434/11/12"/>
          <s v="2434/11/13 - 2434/11/19"/>
          <s v="2434/11/20 - 2434/11/26"/>
          <s v="2434/11/27 - 2434/12/03"/>
          <s v="2434/12/04 - 2434/12/10"/>
          <s v="2434/12/11 - 2434/12/17"/>
          <s v="2434/12/18 - 2434/12/24"/>
          <s v="2434/12/25 - 2434/12/31"/>
          <s v="2435/01/01 - 2435/01/07"/>
          <s v="2435/01/08 - 2435/01/14"/>
          <s v="2435/01/15 - 2435/01/21"/>
          <s v="2435/01/22 - 2435/01/28"/>
          <s v="2435/01/29 - 2435/02/04"/>
          <s v="2435/02/05 - 2435/02/11"/>
          <s v="2435/02/12 - 2435/02/18"/>
          <s v="2435/02/19 - 2435/02/25"/>
          <s v="2435/02/26 - 2435/03/04"/>
          <s v="2435/03/05 - 2435/03/11"/>
          <s v="2435/03/12 - 2435/03/18"/>
          <s v="2435/03/19 - 2435/03/25"/>
          <s v="2435/03/26 - 2435/04/01"/>
          <s v="2435/04/02 - 2435/04/08"/>
          <s v="2435/04/09 - 2435/04/15"/>
          <s v="2435/04/16 - 2435/04/22"/>
          <s v="2435/04/23 - 2435/04/29"/>
          <s v="2435/04/30 - 2435/05/06"/>
          <s v="2435/05/07 - 2435/05/13"/>
          <s v="2435/05/14 - 2435/05/20"/>
          <s v="2435/05/21 - 2435/05/27"/>
          <s v="2435/05/28 - 2435/06/03"/>
          <s v="2435/06/04 - 2435/06/10"/>
          <s v="2435/06/11 - 2435/06/17"/>
          <s v="2435/06/18 - 2435/06/24"/>
          <s v="2435/06/25 - 2435/07/01"/>
          <s v="2435/07/02 - 2435/07/08"/>
          <s v="2435/07/09 - 2435/07/15"/>
          <s v="2435/07/16 - 2435/07/22"/>
          <s v="2435/07/23 - 2435/07/29"/>
          <s v="2435/07/30 - 2435/08/05"/>
          <s v="2435/08/06 - 2435/08/12"/>
          <s v="2435/08/13 - 2435/08/19"/>
          <s v="2435/08/20 - 2435/08/26"/>
          <s v="2435/08/27 - 2435/09/02"/>
          <s v="2435/09/03 - 2435/09/09"/>
          <s v="2435/09/10 - 2435/09/16"/>
          <s v="2435/09/17 - 2435/09/23"/>
          <s v="2435/09/24 - 2435/09/30"/>
          <s v="2435/10/01 - 2435/10/07"/>
          <s v="2435/10/08 - 2435/10/14"/>
          <s v="2435/10/15 - 2435/10/21"/>
          <s v="2435/10/22 - 2435/10/28"/>
          <s v="2435/10/29 - 2435/11/04"/>
          <s v="2435/11/05 - 2435/11/11"/>
          <s v="2435/11/12 - 2435/11/18"/>
          <s v="2435/11/19 - 2435/11/25"/>
          <s v="2435/11/26 - 2435/12/02"/>
          <s v="2435/12/03 - 2435/12/09"/>
          <s v="2435/12/10 - 2435/12/16"/>
          <s v="2435/12/17 - 2435/12/23"/>
          <s v="2435/12/24 - 2435/12/30"/>
          <s v="2435/12/31 - 2436/01/06"/>
          <s v="2436/01/07 - 2436/01/13"/>
          <s v="2436/01/14 - 2436/01/20"/>
          <s v="2436/01/21 - 2436/01/27"/>
          <s v="2436/01/28 - 2436/02/03"/>
          <s v="2436/02/04 - 2436/02/10"/>
          <s v="2436/02/11 - 2436/02/17"/>
          <s v="2436/02/18 - 2436/02/24"/>
          <s v="2436/02/25 - 2436/03/02"/>
          <s v="2436/03/03 - 2436/03/09"/>
          <s v="2436/03/10 - 2436/03/16"/>
          <s v="2436/03/17 - 2436/03/23"/>
          <s v="2436/03/24 - 2436/03/30"/>
          <s v="2436/03/31 - 2436/04/06"/>
          <s v="2436/04/07 - 2436/04/13"/>
          <s v="2436/04/14 - 2436/04/20"/>
          <s v="2436/04/21 - 2436/04/27"/>
          <s v="2436/04/28 - 2436/05/04"/>
          <s v="2436/05/05 - 2436/05/11"/>
          <s v="2436/05/12 - 2436/05/18"/>
          <s v="2436/05/19 - 2436/05/25"/>
          <s v="2436/05/26 - 2436/06/01"/>
          <s v="2436/06/02 - 2436/06/08"/>
          <s v="2436/06/09 - 2436/06/15"/>
          <s v="2436/06/16 - 2436/06/22"/>
          <s v="2436/06/23 - 2436/06/29"/>
          <s v="2436/06/30 - 2436/07/06"/>
          <s v="2436/07/07 - 2436/07/13"/>
          <s v="2436/07/14 - 2436/07/20"/>
          <s v="2436/07/21 - 2436/07/27"/>
          <s v="2436/07/28 - 2436/08/03"/>
          <s v="2436/08/04 - 2436/08/10"/>
          <s v="2436/08/11 - 2436/08/17"/>
          <s v="2436/08/18 - 2436/08/24"/>
          <s v="2436/08/25 - 2436/08/31"/>
          <s v="2436/09/01 - 2436/09/07"/>
          <s v="2436/09/08 - 2436/09/14"/>
          <s v="2436/09/15 - 2436/09/21"/>
          <s v="2436/09/22 - 2436/09/28"/>
          <s v="2436/09/29 - 2436/10/05"/>
          <s v="2436/10/06 - 2436/10/12"/>
          <s v="2436/10/13 - 2436/10/19"/>
          <s v="2436/10/20 - 2436/10/26"/>
          <s v="2436/10/27 - 2436/11/02"/>
          <s v="2436/11/03 - 2436/11/09"/>
          <s v="2436/11/10 - 2436/11/16"/>
          <s v="2436/11/17 - 2436/11/23"/>
          <s v="2436/11/24 - 2436/11/30"/>
          <s v="2436/12/01 - 2436/12/07"/>
          <s v="2436/12/08 - 2436/12/14"/>
          <s v="2436/12/15 - 2436/12/21"/>
          <s v="2436/12/22 - 2436/12/28"/>
          <s v="2436/12/29 - 2437/01/04"/>
          <s v="2437/01/05 - 2437/01/11"/>
          <s v="2437/01/12 - 2437/01/18"/>
          <s v="2437/01/19 - 2437/01/25"/>
          <s v="2437/01/26 - 2437/02/01"/>
          <s v="2437/02/02 - 2437/02/08"/>
          <s v="2437/02/09 - 2437/02/15"/>
          <s v="2437/02/16 - 2437/02/22"/>
          <s v="2437/02/23 - 2437/03/01"/>
          <s v="2437/03/02 - 2437/03/08"/>
          <s v="2437/03/09 - 2437/03/15"/>
          <s v="2437/03/16 - 2437/03/22"/>
          <s v="2437/03/23 - 2437/03/29"/>
          <s v="2437/03/30 - 2437/04/05"/>
          <s v="2437/04/06 - 2437/04/12"/>
          <s v="2437/04/13 - 2437/04/19"/>
          <s v="2437/04/20 - 2437/04/26"/>
          <s v="2437/04/27 - 2437/05/03"/>
          <s v="2437/05/04 - 2437/05/10"/>
          <s v="2437/05/11 - 2437/05/17"/>
          <s v="2437/05/18 - 2437/05/24"/>
          <s v="2437/05/25 - 2437/05/31"/>
          <s v="2437/06/01 - 2437/06/07"/>
          <s v="2437/06/08 - 2437/06/14"/>
          <s v="2437/06/15 - 2437/06/21"/>
          <s v="2437/06/22 - 2437/06/28"/>
          <s v="2437/06/29 - 2437/07/05"/>
          <s v="2437/07/06 - 2437/07/12"/>
          <s v="2437/07/13 - 2437/07/19"/>
          <s v="2437/07/20 - 2437/07/26"/>
          <s v="2437/07/27 - 2437/08/02"/>
          <s v="2437/08/03 - 2437/08/09"/>
          <s v="2437/08/10 - 2437/08/16"/>
          <s v="2437/08/17 - 2437/08/23"/>
          <s v="2437/08/24 - 2437/08/30"/>
          <s v="2437/08/31 - 2437/09/06"/>
          <s v="2437/09/07 - 2437/09/13"/>
          <s v="2437/09/14 - 2437/09/20"/>
          <s v="2437/09/21 - 2437/09/27"/>
          <s v="2437/09/28 - 2437/10/04"/>
          <s v="2437/10/05 - 2437/10/11"/>
          <s v="2437/10/12 - 2437/10/18"/>
          <s v="2437/10/19 - 2437/10/25"/>
          <s v="2437/10/26 - 2437/11/01"/>
          <s v="2437/11/02 - 2437/11/08"/>
          <s v="2437/11/09 - 2437/11/15"/>
          <s v="2437/11/16 - 2437/11/22"/>
          <s v="2437/11/23 - 2437/11/29"/>
          <s v="2437/11/30 - 2437/12/06"/>
          <s v="2437/12/07 - 2437/12/13"/>
          <s v="2437/12/14 - 2437/12/20"/>
          <s v="2437/12/21 - 2437/12/27"/>
          <s v="2437/12/28 - 2438/01/03"/>
          <s v="2438/01/04 - 2438/01/10"/>
          <s v="2438/01/11 - 2438/01/17"/>
          <s v="2438/01/18 - 2438/01/24"/>
          <s v="2438/01/25 - 2438/01/31"/>
          <s v="2438/02/01 - 2438/02/07"/>
          <s v="2438/02/08 - 2438/02/14"/>
          <s v="2438/02/15 - 2438/02/21"/>
          <s v="2438/02/22 - 2438/02/28"/>
          <s v="2438/03/01 - 2438/03/07"/>
          <s v="2438/03/08 - 2438/03/14"/>
          <s v="2438/03/15 - 2438/03/21"/>
          <s v="2438/03/22 - 2438/03/28"/>
          <s v="2438/03/29 - 2438/04/04"/>
          <s v="2438/04/05 - 2438/04/11"/>
          <s v="2438/04/12 - 2438/04/18"/>
          <s v="2438/04/19 - 2438/04/25"/>
          <s v="2438/04/26 - 2438/05/02"/>
          <s v="2438/05/03 - 2438/05/09"/>
          <s v="2438/05/10 - 2438/05/16"/>
          <s v="2438/05/17 - 2438/05/23"/>
          <s v="2438/05/24 - 2438/05/30"/>
          <s v="2438/05/31 - 2438/06/06"/>
          <s v="2438/06/07 - 2438/06/13"/>
          <s v="2438/06/14 - 2438/06/20"/>
          <s v="2438/06/21 - 2438/06/27"/>
          <s v="2438/06/28 - 2438/07/04"/>
          <s v="2438/07/05 - 2438/07/11"/>
          <s v="2438/07/12 - 2438/07/18"/>
          <s v="2438/07/19 - 2438/07/25"/>
          <s v="2438/07/26 - 2438/08/01"/>
          <s v="2438/08/02 - 2438/08/08"/>
          <s v="2438/08/09 - 2438/08/15"/>
          <s v="2438/08/16 - 2438/08/22"/>
          <s v="2438/08/23 - 2438/08/29"/>
          <s v="2438/08/30 - 2438/09/05"/>
          <s v="2438/09/06 - 2438/09/12"/>
          <s v="2438/09/13 - 2438/09/19"/>
          <s v="2438/09/20 - 2438/09/26"/>
          <s v="2438/09/27 - 2438/10/03"/>
          <s v="2438/10/04 - 2438/10/10"/>
          <s v="2438/10/11 - 2438/10/17"/>
          <s v="2438/10/18 - 2438/10/24"/>
          <s v="2438/10/25 - 2438/10/31"/>
          <s v="2438/11/01 - 2438/11/07"/>
          <s v="2438/11/08 - 2438/11/14"/>
          <s v="2438/11/15 - 2438/11/21"/>
          <s v="2438/11/22 - 2438/11/28"/>
          <s v="2438/11/29 - 2438/12/05"/>
          <s v="2438/12/06 - 2438/12/12"/>
          <s v="2438/12/13 - 2438/12/19"/>
          <s v="2438/12/20 - 2438/12/26"/>
          <s v="2438/12/27 - 2439/01/02"/>
          <s v="2439/01/03 - 2439/01/09"/>
          <s v="2439/01/10 - 2439/01/16"/>
          <s v="2439/01/17 - 2439/01/23"/>
          <s v="2439/01/24 - 2439/01/30"/>
          <s v="2439/01/31 - 2439/02/06"/>
          <s v="2439/02/07 - 2439/02/13"/>
          <s v="2439/02/14 - 2439/02/20"/>
          <s v="2439/02/21 - 2439/02/27"/>
          <s v="2439/02/28 - 2439/03/06"/>
          <s v="2439/03/07 - 2439/03/13"/>
          <s v="2439/03/14 - 2439/03/20"/>
          <s v="2439/03/21 - 2439/03/27"/>
          <s v="2439/03/28 - 2439/04/03"/>
          <s v="2439/04/04 - 2439/04/10"/>
          <s v="2439/04/11 - 2439/04/17"/>
          <s v="2439/04/18 - 2439/04/24"/>
          <s v="2439/04/25 - 2439/05/01"/>
          <s v="2439/05/02 - 2439/05/08"/>
          <s v="2439/05/09 - 2439/05/15"/>
          <s v="2439/05/16 - 2439/05/22"/>
          <s v="2439/05/23 - 2439/05/29"/>
          <s v="2439/05/30 - 2439/06/05"/>
          <s v="2439/06/06 - 2439/06/12"/>
          <s v="2439/06/13 - 2439/06/19"/>
          <s v="2439/06/20 - 2439/06/26"/>
          <s v="2439/06/27 - 2439/07/03"/>
          <s v="2439/07/04 - 2439/07/10"/>
          <s v="2439/07/11 - 2439/07/17"/>
          <s v="2439/07/18 - 2439/07/24"/>
          <s v="2439/07/25 - 2439/07/31"/>
          <s v="2439/08/01 - 2439/08/07"/>
          <s v="2439/08/08 - 2439/08/14"/>
          <s v="2439/08/15 - 2439/08/21"/>
          <s v="2439/08/22 - 2439/08/28"/>
          <s v="2439/08/29 - 2439/09/04"/>
          <s v="2439/09/05 - 2439/09/11"/>
          <s v="2439/09/12 - 2439/09/18"/>
          <s v="2439/09/19 - 2439/09/25"/>
          <s v="2439/09/26 - 2439/10/02"/>
          <s v="2439/10/03 - 2439/10/09"/>
          <s v="2439/10/10 - 2439/10/16"/>
          <s v="2439/10/17 - 2439/10/23"/>
          <s v="2439/10/24 - 2439/10/30"/>
          <s v="2439/10/31 - 2439/11/06"/>
          <s v="2439/11/07 - 2439/11/13"/>
          <s v="2439/11/14 - 2439/11/20"/>
          <s v="2439/11/21 - 2439/11/27"/>
          <s v="2439/11/28 - 2439/12/04"/>
          <s v="2439/12/05 - 2439/12/11"/>
          <s v="2439/12/12 - 2439/12/18"/>
          <s v="2439/12/19 - 2439/12/25"/>
          <s v="2439/12/26 - 2440/01/01"/>
          <s v="2440/01/02 - 2440/01/08"/>
          <s v="2440/01/09 - 2440/01/15"/>
          <s v="2440/01/16 - 2440/01/22"/>
          <s v="2440/01/23 - 2440/01/29"/>
          <s v="2440/01/30 - 2440/02/05"/>
          <s v="2440/02/06 - 2440/02/12"/>
          <s v="2440/02/13 - 2440/02/19"/>
          <s v="2440/02/20 - 2440/02/26"/>
          <s v="2440/02/27 - 2440/03/04"/>
          <s v="2440/03/05 - 2440/03/11"/>
          <s v="2440/03/12 - 2440/03/18"/>
          <s v="2440/03/19 - 2440/03/25"/>
          <s v="2440/03/26 - 2440/04/01"/>
          <s v="2440/04/02 - 2440/04/08"/>
          <s v="2440/04/09 - 2440/04/15"/>
          <s v="2440/04/16 - 2440/04/22"/>
          <s v="2440/04/23 - 2440/04/29"/>
          <s v="2440/04/30 - 2440/05/06"/>
          <s v="2440/05/07 - 2440/05/13"/>
          <s v="2440/05/14 - 2440/05/20"/>
          <s v="2440/05/21 - 2440/05/27"/>
          <s v="2440/05/28 - 2440/06/03"/>
          <s v="2440/06/04 - 2440/06/10"/>
          <s v="2440/06/11 - 2440/06/17"/>
          <s v="2440/06/18 - 2440/06/24"/>
          <s v="2440/06/25 - 2440/07/01"/>
          <s v="2440/07/02 - 2440/07/08"/>
          <s v="2440/07/09 - 2440/07/15"/>
          <s v="2440/07/16 - 2440/07/22"/>
          <s v="2440/07/23 - 2440/07/29"/>
          <s v="2440/07/30 - 2440/08/05"/>
          <s v="2440/08/06 - 2440/08/12"/>
          <s v="2440/08/13 - 2440/08/19"/>
          <s v="2440/08/20 - 2440/08/26"/>
          <s v="2440/08/27 - 2440/09/02"/>
          <s v="2440/09/03 - 2440/09/09"/>
          <s v="2440/09/10 - 2440/09/16"/>
          <s v="2440/09/17 - 2440/09/23"/>
          <s v="2440/09/24 - 2440/09/30"/>
          <s v="2440/10/01 - 2440/10/07"/>
          <s v="2440/10/08 - 2440/10/14"/>
          <s v="2440/10/15 - 2440/10/21"/>
          <s v="2440/10/22 - 2440/10/28"/>
          <s v="2440/10/29 - 2440/11/04"/>
          <s v="2440/11/05 - 2440/11/11"/>
          <s v="2440/11/12 - 2440/11/18"/>
          <s v="2440/11/19 - 2440/11/25"/>
          <s v="2440/11/26 - 2440/12/02"/>
          <s v="2440/12/03 - 2440/12/09"/>
          <s v="2440/12/10 - 2440/12/16"/>
          <s v="2440/12/17 - 2440/12/23"/>
          <s v="2440/12/24 - 2440/12/30"/>
          <s v="2440/12/31 - 2441/01/06"/>
          <s v="2441/01/07 - 2441/01/13"/>
          <s v="2441/01/14 - 2441/01/20"/>
          <s v="2441/01/21 - 2441/01/27"/>
          <s v="2441/01/28 - 2441/02/03"/>
          <s v="2441/02/04 - 2441/02/10"/>
          <s v="2441/02/11 - 2441/02/17"/>
          <s v="2441/02/18 - 2441/02/24"/>
          <s v="2441/02/25 - 2441/03/03"/>
          <s v="2441/03/04 - 2441/03/10"/>
          <s v="2441/03/11 - 2441/03/17"/>
          <s v="2441/03/18 - 2441/03/24"/>
          <s v="2441/03/25 - 2441/03/31"/>
          <s v="2441/04/01 - 2441/04/07"/>
          <s v="2441/04/08 - 2441/04/14"/>
          <s v="2441/04/15 - 2441/04/21"/>
          <s v="2441/04/22 - 2441/04/28"/>
          <s v="2441/04/29 - 2441/05/05"/>
          <s v="2441/05/06 - 2441/05/12"/>
          <s v="2441/05/13 - 2441/05/19"/>
          <s v="2441/05/20 - 2441/05/26"/>
          <s v="2441/05/27 - 2441/06/02"/>
          <s v="2441/06/03 - 2441/06/09"/>
          <s v="2441/06/10 - 2441/06/16"/>
          <s v="2441/06/17 - 2441/06/23"/>
          <s v="2441/06/24 - 2441/06/30"/>
          <s v="2441/07/01 - 2441/07/07"/>
          <s v="2441/07/08 - 2441/07/14"/>
          <s v="2441/07/15 - 2441/07/21"/>
          <s v="2441/07/22 - 2441/07/28"/>
          <s v="2441/07/29 - 2441/08/04"/>
          <s v="2441/08/05 - 2441/08/11"/>
          <s v="2441/08/12 - 2441/08/18"/>
          <s v="2441/08/19 - 2441/08/25"/>
          <s v="2441/08/26 - 2441/09/01"/>
          <s v="2441/09/02 - 2441/09/08"/>
          <s v="2441/09/09 - 2441/09/15"/>
          <s v="2441/09/16 - 2441/09/22"/>
          <s v="2441/09/23 - 2441/09/29"/>
          <s v="2441/09/30 - 2441/10/06"/>
          <s v="2441/10/07 - 2441/10/13"/>
          <s v="2441/10/14 - 2441/10/20"/>
          <s v="2441/10/21 - 2441/10/27"/>
          <s v="2441/10/28 - 2441/11/03"/>
          <s v="2441/11/04 - 2441/11/10"/>
          <s v="2441/11/11 - 2441/11/17"/>
          <s v="2441/11/18 - 2441/11/24"/>
          <s v="2441/11/25 - 2441/12/01"/>
          <s v="2441/12/02 - 2441/12/08"/>
          <s v="2441/12/09 - 2441/12/15"/>
          <s v="2441/12/16 - 2441/12/22"/>
          <s v="2441/12/23 - 2441/12/29"/>
          <s v="2441/12/30 - 2442/01/05"/>
          <s v="2442/01/06 - 2442/01/12"/>
          <s v="2442/01/13 - 2442/01/19"/>
          <s v="2442/01/20 - 2442/01/26"/>
          <s v="2442/01/27 - 2442/02/02"/>
          <s v="2442/02/03 - 2442/02/09"/>
          <s v="2442/02/10 - 2442/02/16"/>
          <s v="2442/02/17 - 2442/02/23"/>
          <s v="2442/02/24 - 2442/03/02"/>
          <s v="2442/03/03 - 2442/03/09"/>
          <s v="2442/03/10 - 2442/03/16"/>
          <s v="2442/03/17 - 2442/03/23"/>
          <s v="2442/03/24 - 2442/03/30"/>
          <s v="2442/03/31 - 2442/04/06"/>
          <s v="2442/04/07 - 2442/04/13"/>
          <s v="2442/04/14 - 2442/04/20"/>
          <s v="2442/04/21 - 2442/04/27"/>
          <s v="2442/04/28 - 2442/05/04"/>
          <s v="2442/05/05 - 2442/05/11"/>
          <s v="2442/05/12 - 2442/05/18"/>
          <s v="2442/05/19 - 2442/05/25"/>
          <s v="2442/05/26 - 2442/06/01"/>
          <s v="2442/06/02 - 2442/06/08"/>
          <s v="2442/06/09 - 2442/06/15"/>
          <s v="2442/06/16 - 2442/06/22"/>
          <s v="2442/06/23 - 2442/06/29"/>
          <s v="2442/06/30 - 2442/07/06"/>
          <s v="2442/07/07 - 2442/07/13"/>
          <s v="2442/07/14 - 2442/07/20"/>
          <s v="2442/07/21 - 2442/07/27"/>
          <s v="2442/07/28 - 2442/08/03"/>
          <s v="2442/08/04 - 2442/08/10"/>
          <s v="2442/08/11 - 2442/08/17"/>
          <s v="2442/08/18 - 2442/08/24"/>
          <s v="2442/08/25 - 2442/08/31"/>
          <s v="2442/09/01 - 2442/09/07"/>
          <s v="2442/09/08 - 2442/09/14"/>
          <s v="2442/09/15 - 2442/09/21"/>
          <s v="2442/09/22 - 2442/09/28"/>
          <s v="2442/09/29 - 2442/10/05"/>
          <s v="2442/10/06 - 2442/10/12"/>
          <s v="2442/10/13 - 2442/10/19"/>
          <s v="2442/10/20 - 2442/10/26"/>
          <s v="2442/10/27 - 2442/11/02"/>
          <s v="2442/11/03 - 2442/11/09"/>
          <s v="2442/11/10 - 2442/11/16"/>
          <s v="2442/11/17 - 2442/11/23"/>
          <s v="2442/11/24 - 2442/11/30"/>
          <s v="2442/12/01 - 2442/12/07"/>
          <s v="2442/12/08 - 2442/12/14"/>
          <s v="2442/12/15 - 2442/12/21"/>
          <s v="2442/12/22 - 2442/12/28"/>
          <s v="2442/12/29 - 2443/01/04"/>
          <s v="2443/01/05 - 2443/01/11"/>
          <s v="2443/01/12 - 2443/01/18"/>
          <s v="2443/01/19 - 2443/01/25"/>
          <s v="2443/01/26 - 2443/02/01"/>
          <s v="2443/02/02 - 2443/02/08"/>
          <s v="2443/02/09 - 2443/02/15"/>
          <s v="2443/02/16 - 2443/02/22"/>
          <s v="2443/02/23 - 2443/03/01"/>
          <s v="2443/03/02 - 2443/03/08"/>
          <s v="2443/03/09 - 2443/03/15"/>
          <s v="2443/03/16 - 2443/03/22"/>
          <s v="2443/03/23 - 2443/03/29"/>
          <s v="2443/03/30 - 2443/04/05"/>
          <s v="2443/04/06 - 2443/04/12"/>
          <s v="2443/04/13 - 2443/04/19"/>
          <s v="2443/04/20 - 2443/04/26"/>
          <s v="2443/04/27 - 2443/05/03"/>
          <s v="2443/05/04 - 2443/05/10"/>
          <s v="2443/05/11 - 2443/05/17"/>
          <s v="2443/05/18 - 2443/05/24"/>
          <s v="2443/05/25 - 2443/05/31"/>
          <s v="2443/06/01 - 2443/06/07"/>
          <s v="2443/06/08 - 2443/06/14"/>
          <s v="2443/06/15 - 2443/06/21"/>
          <s v="2443/06/22 - 2443/06/28"/>
          <s v="2443/06/29 - 2443/07/05"/>
          <s v="2443/07/06 - 2443/07/12"/>
          <s v="2443/07/13 - 2443/07/19"/>
          <s v="2443/07/20 - 2443/07/26"/>
          <s v="2443/07/27 - 2443/08/02"/>
          <s v="2443/08/03 - 2443/08/09"/>
          <s v="2443/08/10 - 2443/08/16"/>
          <s v="2443/08/17 - 2443/08/23"/>
          <s v="2443/08/24 - 2443/08/30"/>
          <s v="2443/08/31 - 2443/09/06"/>
          <s v="2443/09/07 - 2443/09/13"/>
          <s v="2443/09/14 - 2443/09/20"/>
          <s v="2443/09/21 - 2443/09/27"/>
          <s v="2443/09/28 - 2443/10/04"/>
          <s v="2443/10/05 - 2443/10/11"/>
          <s v="2443/10/12 - 2443/10/18"/>
          <s v="2443/10/19 - 2443/10/25"/>
          <s v="2443/10/26 - 2443/11/01"/>
          <s v="2443/11/02 - 2443/11/08"/>
          <s v="2443/11/09 - 2443/11/15"/>
          <s v="2443/11/16 - 2443/11/22"/>
          <s v="2443/11/23 - 2443/11/29"/>
          <s v="2443/11/30 - 2443/12/06"/>
          <s v="2443/12/07 - 2443/12/13"/>
          <s v="2443/12/14 - 2443/12/20"/>
          <s v="2443/12/21 - 2443/12/27"/>
          <s v="2443/12/28 - 2444/01/03"/>
          <s v="2444/01/04 - 2444/01/10"/>
          <s v="2444/01/11 - 2444/01/17"/>
          <s v="2444/01/18 - 2444/01/24"/>
          <s v="2444/01/25 - 2444/01/31"/>
          <s v="2444/02/01 - 2444/02/07"/>
          <s v="2444/02/08 - 2444/02/14"/>
          <s v="2444/02/15 - 2444/02/21"/>
          <s v="2444/02/22 - 2444/02/28"/>
          <s v="2444/02/29 - 2444/03/06"/>
          <s v="2444/03/07 - 2444/03/13"/>
          <s v="2444/03/14 - 2444/03/20"/>
          <s v="2444/03/21 - 2444/03/27"/>
          <s v="2444/03/28 - 2444/04/03"/>
          <s v="2444/04/04 - 2444/04/10"/>
          <s v="2444/04/11 - 2444/04/17"/>
          <s v="2444/04/18 - 2444/04/24"/>
          <s v="2444/04/25 - 2444/05/01"/>
          <s v="2444/05/02 - 2444/05/08"/>
          <s v="2444/05/09 - 2444/05/15"/>
          <s v="2444/05/16 - 2444/05/22"/>
          <s v="2444/05/23 - 2444/05/29"/>
          <s v="2444/05/30 - 2444/06/05"/>
          <s v="2444/06/06 - 2444/06/12"/>
          <s v="2444/06/13 - 2444/06/19"/>
          <s v="2444/06/20 - 2444/06/26"/>
          <s v="2444/06/27 - 2444/07/03"/>
          <s v="2444/07/04 - 2444/07/10"/>
          <s v="2444/07/11 - 2444/07/17"/>
          <s v="2444/07/18 - 2444/07/24"/>
          <s v="2444/07/25 - 2444/07/31"/>
          <s v="2444/08/01 - 2444/08/07"/>
          <s v="2444/08/08 - 2444/08/14"/>
          <s v="2444/08/15 - 2444/08/21"/>
          <s v="2444/08/22 - 2444/08/28"/>
          <s v="2444/08/29 - 2444/09/04"/>
          <s v="2444/09/05 - 2444/09/11"/>
          <s v="2444/09/12 - 2444/09/18"/>
          <s v="2444/09/19 - 2444/09/25"/>
          <s v="2444/09/26 - 2444/10/02"/>
          <s v="2444/10/03 - 2444/10/09"/>
          <s v="2444/10/10 - 2444/10/16"/>
          <s v="2444/10/17 - 2444/10/23"/>
          <s v="2444/10/24 - 2444/10/30"/>
          <s v="2444/10/31 - 2444/11/06"/>
          <s v="2444/11/07 - 2444/11/13"/>
          <s v="2444/11/14 - 2444/11/20"/>
          <s v="2444/11/21 - 2444/11/27"/>
          <s v="2444/11/28 - 2444/12/04"/>
          <s v="2444/12/05 - 2444/12/11"/>
          <s v="2444/12/12 - 2444/12/18"/>
          <s v="2444/12/19 - 2444/12/25"/>
          <s v="2444/12/26 - 2445/01/01"/>
          <s v="2445/01/02 - 2445/01/08"/>
          <s v="2445/01/09 - 2445/01/15"/>
          <s v="2445/01/16 - 2445/01/22"/>
          <s v="2445/01/23 - 2445/01/29"/>
          <s v="2445/01/30 - 2445/02/05"/>
          <s v="2445/02/06 - 2445/02/12"/>
          <s v="2445/02/13 - 2445/02/19"/>
          <s v="2445/02/20 - 2445/02/26"/>
          <s v="2445/02/27 - 2445/03/05"/>
          <s v="2445/03/06 - 2445/03/12"/>
          <s v="2445/03/13 - 2445/03/19"/>
          <s v="2445/03/20 - 2445/03/26"/>
          <s v="2445/03/27 - 2445/04/02"/>
          <s v="2445/04/03 - 2445/04/09"/>
          <s v="2445/04/10 - 2445/04/16"/>
          <s v="2445/04/17 - 2445/04/23"/>
          <s v="2445/04/24 - 2445/04/30"/>
          <s v="2445/05/01 - 2445/05/07"/>
          <s v="2445/05/08 - 2445/05/14"/>
          <s v="2445/05/15 - 2445/05/21"/>
          <s v="2445/05/22 - 2445/05/28"/>
          <s v="2445/05/29 - 2445/06/04"/>
          <s v="2445/06/05 - 2445/06/11"/>
          <s v="2445/06/12 - 2445/06/18"/>
          <s v="2445/06/19 - 2445/06/25"/>
          <s v="2445/06/26 - 2445/07/02"/>
          <s v="2445/07/03 - 2445/07/09"/>
          <s v="2445/07/10 - 2445/07/16"/>
          <s v="2445/07/17 - 2445/07/23"/>
          <s v="2445/07/24 - 2445/07/30"/>
          <s v="2445/07/31 - 2445/08/06"/>
          <s v="2445/08/07 - 2445/08/13"/>
          <s v="2445/08/14 - 2445/08/20"/>
          <s v="2445/08/21 - 2445/08/27"/>
          <s v="2445/08/28 - 2445/09/03"/>
          <s v="2445/09/04 - 2445/09/10"/>
          <s v="2445/09/11 - 2445/09/17"/>
          <s v="2445/09/18 - 2445/09/24"/>
          <s v="2445/09/25 - 2445/10/01"/>
          <s v="2445/10/02 - 2445/10/08"/>
          <s v="2445/10/09 - 2445/10/15"/>
          <s v="2445/10/16 - 2445/10/22"/>
          <s v="2445/10/23 - 2445/10/29"/>
          <s v="2445/10/30 - 2445/11/05"/>
          <s v="2445/11/06 - 2445/11/12"/>
          <s v="2445/11/13 - 2445/11/19"/>
          <s v="2445/11/20 - 2445/11/26"/>
          <s v="2445/11/27 - 2445/12/03"/>
          <s v="2445/12/04 - 2445/12/10"/>
          <s v="2445/12/11 - 2445/12/17"/>
          <s v="2445/12/18 - 2445/12/24"/>
          <s v="2445/12/25 - 2445/12/31"/>
          <s v="2446/01/01 - 2446/01/07"/>
          <s v="2446/01/08 - 2446/01/14"/>
          <s v="2446/01/15 - 2446/01/21"/>
          <s v="2446/01/22 - 2446/01/28"/>
          <s v="2446/01/29 - 2446/02/04"/>
          <s v="2446/02/05 - 2446/02/11"/>
          <s v="2446/02/12 - 2446/02/18"/>
          <s v="2446/02/19 - 2446/02/25"/>
          <s v="2446/02/26 - 2446/03/04"/>
          <s v="2446/03/05 - 2446/03/11"/>
          <s v="2446/03/12 - 2446/03/18"/>
          <s v="2446/03/19 - 2446/03/25"/>
          <s v="2446/03/26 - 2446/04/01"/>
          <s v="2446/04/02 - 2446/04/08"/>
          <s v="2446/04/09 - 2446/04/15"/>
          <s v="2446/04/16 - 2446/04/22"/>
          <s v="2446/04/23 - 2446/04/29"/>
          <s v="2446/04/30 - 2446/05/06"/>
          <s v="2446/05/07 - 2446/05/13"/>
          <s v="2446/05/14 - 2446/05/20"/>
          <s v="2446/05/21 - 2446/05/27"/>
          <s v="2446/05/28 - 2446/06/03"/>
          <s v="2446/06/04 - 2446/06/10"/>
          <s v="2446/06/11 - 2446/06/17"/>
          <s v="2446/06/18 - 2446/06/24"/>
          <s v="2446/06/25 - 2446/07/01"/>
          <s v="2446/07/02 - 2446/07/08"/>
          <s v="2446/07/09 - 2446/07/15"/>
          <s v="2446/07/16 - 2446/07/22"/>
          <s v="2446/07/23 - 2446/07/29"/>
          <s v="2446/07/30 - 2446/08/05"/>
          <s v="2446/08/06 - 2446/08/12"/>
          <s v="2446/08/13 - 2446/08/19"/>
          <s v="2446/08/20 - 2446/08/26"/>
          <s v="2446/08/27 - 2446/09/02"/>
          <s v="2446/09/03 - 2446/09/09"/>
          <s v="2446/09/10 - 2446/09/16"/>
          <s v="2446/09/17 - 2446/09/23"/>
          <s v="2446/09/24 - 2446/09/30"/>
          <s v="2446/10/01 - 2446/10/07"/>
          <s v="2446/10/08 - 2446/10/14"/>
          <s v="2446/10/15 - 2446/10/21"/>
          <s v="2446/10/22 - 2446/10/28"/>
          <s v="2446/10/29 - 2446/11/04"/>
          <s v="2446/11/05 - 2446/11/11"/>
          <s v="2446/11/12 - 2446/11/18"/>
          <s v="2446/11/19 - 2446/11/25"/>
          <s v="2446/11/26 - 2446/12/02"/>
          <s v="2446/12/03 - 2446/12/09"/>
          <s v="2446/12/10 - 2446/12/16"/>
          <s v="2446/12/17 - 2446/12/23"/>
          <s v="2446/12/24 - 2446/12/30"/>
          <s v="2446/12/31 - 2447/01/06"/>
          <s v="2447/01/07 - 2447/01/13"/>
          <s v="2447/01/14 - 2447/01/20"/>
          <s v="2447/01/21 - 2447/01/27"/>
          <s v="2447/01/28 - 2447/02/03"/>
          <s v="2447/02/04 - 2447/02/10"/>
          <s v="2447/02/11 - 2447/02/17"/>
          <s v="2447/02/18 - 2447/02/24"/>
          <s v="2447/02/25 - 2447/03/03"/>
          <s v="2447/03/04 - 2447/03/10"/>
          <s v="2447/03/11 - 2447/03/17"/>
          <s v="2447/03/18 - 2447/03/24"/>
          <s v="2447/03/25 - 2447/03/31"/>
          <s v="2447/04/01 - 2447/04/07"/>
          <s v="2447/04/08 - 2447/04/14"/>
          <s v="2447/04/15 - 2447/04/21"/>
          <s v="2447/04/22 - 2447/04/28"/>
          <s v="2447/04/29 - 2447/05/05"/>
          <s v="2447/05/06 - 2447/05/12"/>
          <s v="2447/05/13 - 2447/05/19"/>
          <s v="2447/05/20 - 2447/05/26"/>
          <s v="2447/05/27 - 2447/06/02"/>
          <s v="2447/06/03 - 2447/06/09"/>
          <s v="2447/06/10 - 2447/06/16"/>
          <s v="2447/06/17 - 2447/06/23"/>
          <s v="2447/06/24 - 2447/06/30"/>
          <s v="2447/07/01 - 2447/07/07"/>
          <s v="2447/07/08 - 2447/07/14"/>
          <s v="2447/07/15 - 2447/07/21"/>
          <s v="2447/07/22 - 2447/07/28"/>
          <s v="2447/07/29 - 2447/08/04"/>
          <s v="2447/08/05 - 2447/08/11"/>
          <s v="2447/08/12 - 2447/08/18"/>
          <s v="2447/08/19 - 2447/08/25"/>
          <s v="2447/08/26 - 2447/09/01"/>
          <s v="2447/09/02 - 2447/09/08"/>
          <s v="2447/09/09 - 2447/09/15"/>
          <s v="2447/09/16 - 2447/09/22"/>
          <s v="2447/09/23 - 2447/09/29"/>
          <s v="2447/09/30 - 2447/10/06"/>
          <s v="2447/10/07 - 2447/10/13"/>
          <s v="2447/10/14 - 2447/10/20"/>
          <s v="2447/10/21 - 2447/10/27"/>
          <s v="2447/10/28 - 2447/11/03"/>
          <s v="2447/11/04 - 2447/11/10"/>
          <s v="2447/11/11 - 2447/11/17"/>
          <s v="2447/11/18 - 2447/11/24"/>
          <s v="2447/11/25 - 2447/12/01"/>
          <s v="2447/12/02 - 2447/12/08"/>
          <s v="2447/12/09 - 2447/12/15"/>
          <s v="2447/12/16 - 2447/12/22"/>
          <s v="2447/12/23 - 2447/12/29"/>
          <s v="2447/12/30 - 2448/01/05"/>
          <s v="2448/01/06 - 2448/01/12"/>
          <s v="2448/01/13 - 2448/01/19"/>
          <s v="2448/01/20 - 2448/01/26"/>
          <s v="2448/01/27 - 2448/02/02"/>
          <s v="2448/02/03 - 2448/02/09"/>
          <s v="2448/02/10 - 2448/02/16"/>
          <s v="2448/02/17 - 2448/02/23"/>
          <s v="2448/02/24 - 2448/03/01"/>
          <s v="2448/03/02 - 2448/03/08"/>
          <s v="2448/03/09 - 2448/03/15"/>
          <s v="2448/03/16 - 2448/03/22"/>
          <s v="2448/03/23 - 2448/03/29"/>
          <s v="2448/03/30 - 2448/04/05"/>
          <s v="2448/04/06 - 2448/04/12"/>
          <s v="2448/04/13 - 2448/04/19"/>
          <s v="2448/04/20 - 2448/04/26"/>
          <s v="2448/04/27 - 2448/05/03"/>
          <s v="2448/05/04 - 2448/05/10"/>
          <s v="2448/05/11 - 2448/05/17"/>
          <s v="2448/05/18 - 2448/05/24"/>
          <s v="2448/05/25 - 2448/05/31"/>
          <s v="2448/06/01 - 2448/06/07"/>
          <s v="2448/06/08 - 2448/06/14"/>
          <s v="2448/06/15 - 2448/06/21"/>
          <s v="2448/06/22 - 2448/06/28"/>
          <s v="2448/06/29 - 2448/07/05"/>
          <s v="2448/07/06 - 2448/07/12"/>
          <s v="2448/07/13 - 2448/07/19"/>
          <s v="2448/07/20 - 2448/07/26"/>
          <s v="2448/07/27 - 2448/08/02"/>
          <s v="2448/08/03 - 2448/08/09"/>
          <s v="2448/08/10 - 2448/08/16"/>
          <s v="2448/08/17 - 2448/08/23"/>
          <s v="2448/08/24 - 2448/08/30"/>
          <s v="2448/08/31 - 2448/09/06"/>
          <s v="2448/09/07 - 2448/09/13"/>
          <s v="2448/09/14 - 2448/09/20"/>
          <s v="2448/09/21 - 2448/09/27"/>
          <s v="2448/09/28 - 2448/10/04"/>
          <s v="2448/10/05 - 2448/10/11"/>
          <s v="2448/10/12 - 2448/10/18"/>
          <s v="2448/10/19 - 2448/10/25"/>
          <s v="2448/10/26 - 2448/11/01"/>
          <s v="2448/11/02 - 2448/11/08"/>
          <s v="2448/11/09 - 2448/11/15"/>
          <s v="2448/11/16 - 2448/11/22"/>
          <s v="2448/11/23 - 2448/11/29"/>
          <s v="2448/11/30 - 2448/12/06"/>
          <s v="2448/12/07 - 2448/12/13"/>
          <s v="2448/12/14 - 2448/12/20"/>
          <s v="2448/12/21 - 2448/12/27"/>
          <s v="2448/12/28 - 2449/01/03"/>
          <s v="2449/01/04 - 2449/01/10"/>
          <s v="2449/01/11 - 2449/01/17"/>
          <s v="2449/01/18 - 2449/01/24"/>
          <s v="2449/01/25 - 2449/01/31"/>
          <s v="2449/02/01 - 2449/02/07"/>
          <s v="2449/02/08 - 2449/02/14"/>
          <s v="2449/02/15 - 2449/02/21"/>
          <s v="2449/02/22 - 2449/02/28"/>
          <s v="2449/03/01 - 2449/03/07"/>
          <s v="2449/03/08 - 2449/03/14"/>
          <s v="2449/03/15 - 2449/03/21"/>
          <s v="2449/03/22 - 2449/03/28"/>
          <s v="2449/03/29 - 2449/04/04"/>
          <s v="2449/04/05 - 2449/04/11"/>
          <s v="2449/04/12 - 2449/04/18"/>
          <s v="2449/04/19 - 2449/04/25"/>
          <s v="2449/04/26 - 2449/05/02"/>
          <s v="2449/05/03 - 2449/05/09"/>
          <s v="2449/05/10 - 2449/05/16"/>
          <s v="2449/05/17 - 2449/05/23"/>
          <s v="2449/05/24 - 2449/05/30"/>
          <s v="2449/05/31 - 2449/06/06"/>
          <s v="2449/06/07 - 2449/06/13"/>
          <s v="2449/06/14 - 2449/06/20"/>
          <s v="2449/06/21 - 2449/06/27"/>
          <s v="2449/06/28 - 2449/07/04"/>
          <s v="2449/07/05 - 2449/07/11"/>
          <s v="2449/07/12 - 2449/07/18"/>
          <s v="2449/07/19 - 2449/07/25"/>
          <s v="2449/07/26 - 2449/08/01"/>
          <s v="2449/08/02 - 2449/08/08"/>
          <s v="2449/08/09 - 2449/08/15"/>
          <s v="2449/08/16 - 2449/08/22"/>
          <s v="2449/08/23 - 2449/08/29"/>
          <s v="2449/08/30 - 2449/09/05"/>
          <s v="2449/09/06 - 2449/09/12"/>
          <s v="2449/09/13 - 2449/09/19"/>
          <s v="2449/09/20 - 2449/09/26"/>
          <s v="2449/09/27 - 2449/10/03"/>
          <s v="2449/10/04 - 2449/10/10"/>
          <s v="2449/10/11 - 2449/10/17"/>
          <s v="2449/10/18 - 2449/10/24"/>
          <s v="2449/10/25 - 2449/10/31"/>
          <s v="2449/11/01 - 2449/11/07"/>
          <s v="2449/11/08 - 2449/11/14"/>
          <s v="2449/11/15 - 2449/11/21"/>
          <s v="2449/11/22 - 2449/11/28"/>
          <s v="2449/11/29 - 2449/12/05"/>
          <s v="2449/12/06 - 2449/12/12"/>
          <s v="2449/12/13 - 2449/12/19"/>
          <s v="2449/12/20 - 2449/12/26"/>
          <s v="2449/12/27 - 2450/01/02"/>
          <s v="2450/01/03 - 2450/01/09"/>
          <s v="2450/01/10 - 2450/01/16"/>
          <s v="2450/01/17 - 2450/01/23"/>
          <s v="2450/01/24 - 2450/01/30"/>
          <s v="2450/01/31 - 2450/02/06"/>
          <s v="2450/02/07 - 2450/02/13"/>
          <s v="2450/02/14 - 2450/02/20"/>
          <s v="2450/02/21 - 2450/02/27"/>
          <s v="2450/02/28 - 2450/03/06"/>
          <s v="2450/03/07 - 2450/03/13"/>
          <s v="2450/03/14 - 2450/03/20"/>
          <s v="2450/03/21 - 2450/03/27"/>
          <s v="2450/03/28 - 2450/04/03"/>
          <s v="2450/04/04 - 2450/04/10"/>
          <s v="2450/04/11 - 2450/04/17"/>
          <s v="2450/04/18 - 2450/04/24"/>
          <s v="2450/04/25 - 2450/05/01"/>
          <s v="2450/05/02 - 2450/05/08"/>
          <s v="2450/05/09 - 2450/05/15"/>
          <s v="2450/05/16 - 2450/05/22"/>
          <s v="2450/05/23 - 2450/05/29"/>
          <s v="2450/05/30 - 2450/06/05"/>
          <s v="2450/06/06 - 2450/06/12"/>
          <s v="2450/06/13 - 2450/06/19"/>
          <s v="2450/06/20 - 2450/06/26"/>
          <s v="2450/06/27 - 2450/07/03"/>
          <s v="2450/07/04 - 2450/07/10"/>
          <s v="2450/07/11 - 2450/07/17"/>
          <s v="2450/07/18 - 2450/07/24"/>
          <s v="2450/07/25 - 2450/07/31"/>
          <s v="2450/08/01 - 2450/08/07"/>
          <s v="2450/08/08 - 2450/08/14"/>
          <s v="2450/08/15 - 2450/08/21"/>
          <s v="2450/08/22 - 2450/08/28"/>
          <s v="2450/08/29 - 2450/09/04"/>
          <s v="2450/09/05 - 2450/09/11"/>
          <s v="2450/09/12 - 2450/09/18"/>
          <s v="2450/09/19 - 2450/09/25"/>
          <s v="2450/09/26 - 2450/10/02"/>
          <s v="2450/10/03 - 2450/10/09"/>
          <s v="2450/10/10 - 2450/10/16"/>
          <s v="2450/10/17 - 2450/10/23"/>
          <s v="2450/10/24 - 2450/10/30"/>
          <s v="2450/10/31 - 2450/11/06"/>
          <s v="2450/11/07 - 2450/11/13"/>
          <s v="2450/11/14 - 2450/11/20"/>
          <s v="2450/11/21 - 2450/11/27"/>
          <s v="2450/11/28 - 2450/12/04"/>
          <s v="2450/12/05 - 2450/12/11"/>
          <s v="2450/12/12 - 2450/12/18"/>
          <s v="2450/12/19 - 2450/12/25"/>
          <s v="2450/12/26 - 2451/01/01"/>
          <s v="2451/01/02 - 2451/01/08"/>
          <s v="2451/01/09 - 2451/01/15"/>
          <s v="2451/01/16 - 2451/01/22"/>
          <s v="2451/01/23 - 2451/01/29"/>
          <s v="2451/01/30 - 2451/02/05"/>
          <s v="2451/02/06 - 2451/02/12"/>
          <s v="2451/02/13 - 2451/02/19"/>
          <s v="2451/02/20 - 2451/02/26"/>
          <s v="2451/02/27 - 2451/03/05"/>
          <s v="2451/03/06 - 2451/03/12"/>
          <s v="2451/03/13 - 2451/03/19"/>
          <s v="2451/03/20 - 2451/03/26"/>
          <s v="2451/03/27 - 2451/04/02"/>
          <s v="2451/04/03 - 2451/04/09"/>
          <s v="2451/04/10 - 2451/04/16"/>
          <s v="2451/04/17 - 2451/04/23"/>
          <s v="2451/04/24 - 2451/04/30"/>
          <s v="2451/05/01 - 2451/05/07"/>
          <s v="2451/05/08 - 2451/05/14"/>
          <s v="2451/05/15 - 2451/05/21"/>
          <s v="2451/05/22 - 2451/05/28"/>
          <s v="2451/05/29 - 2451/06/04"/>
          <s v="2451/06/05 - 2451/06/11"/>
          <s v="2451/06/12 - 2451/06/18"/>
          <s v="2451/06/19 - 2451/06/25"/>
          <s v="2451/06/26 - 2451/07/02"/>
          <s v="2451/07/03 - 2451/07/09"/>
          <s v="2451/07/10 - 2451/07/16"/>
          <s v="2451/07/17 - 2451/07/23"/>
          <s v="2451/07/24 - 2451/07/30"/>
          <s v="2451/07/31 - 2451/08/06"/>
          <s v="2451/08/07 - 2451/08/13"/>
          <s v="2451/08/14 - 2451/08/20"/>
          <s v="2451/08/21 - 2451/08/27"/>
          <s v="2451/08/28 - 2451/09/03"/>
          <s v="2451/09/04 - 2451/09/10"/>
          <s v="2451/09/11 - 2451/09/17"/>
          <s v="2451/09/18 - 2451/09/24"/>
          <s v="2451/09/25 - 2451/10/01"/>
          <s v="2451/10/02 - 2451/10/08"/>
          <s v="2451/10/09 - 2451/10/15"/>
          <s v="2451/10/16 - 2451/10/22"/>
          <s v="2451/10/23 - 2451/10/29"/>
          <s v="2451/10/30 - 2451/11/05"/>
          <s v="2451/11/06 - 2451/11/12"/>
          <s v="2451/11/13 - 2451/11/19"/>
          <s v="2451/11/20 - 2451/11/26"/>
          <s v="2451/11/27 - 2451/12/03"/>
          <s v="2451/12/04 - 2451/12/10"/>
          <s v="2451/12/11 - 2451/12/17"/>
          <s v="2451/12/18 - 2451/12/24"/>
          <s v="2451/12/25 - 2451/12/31"/>
          <s v="2452/01/01 - 2452/01/07"/>
          <s v="2452/01/08 - 2452/01/14"/>
          <s v="2452/01/15 - 2452/01/21"/>
          <s v="2452/01/22 - 2452/01/28"/>
          <s v="2452/01/29 - 2452/02/04"/>
          <s v="2452/02/05 - 2452/02/11"/>
          <s v="2452/02/12 - 2452/02/18"/>
          <s v="2452/02/19 - 2452/02/25"/>
          <s v="2452/02/26 - 2452/03/03"/>
          <s v="2452/03/04 - 2452/03/10"/>
          <s v="2452/03/11 - 2452/03/17"/>
          <s v="2452/03/18 - 2452/03/24"/>
          <s v="2452/03/25 - 2452/03/31"/>
          <s v="2452/04/01 - 2452/04/07"/>
          <s v="2452/04/08 - 2452/04/14"/>
          <s v="2452/04/15 - 2452/04/21"/>
          <s v="2452/04/22 - 2452/04/28"/>
          <s v="2452/04/29 - 2452/05/05"/>
          <s v="2452/05/06 - 2452/05/12"/>
          <s v="2452/05/13 - 2452/05/19"/>
          <s v="2452/05/20 - 2452/05/26"/>
          <s v="2452/05/27 - 2452/06/02"/>
          <s v="2452/06/03 - 2452/06/09"/>
          <s v="2452/06/10 - 2452/06/16"/>
          <s v="2452/06/17 - 2452/06/23"/>
          <s v="2452/06/24 - 2452/06/30"/>
          <s v="2452/07/01 - 2452/07/07"/>
          <s v="2452/07/08 - 2452/07/14"/>
          <s v="2452/07/15 - 2452/07/21"/>
          <s v="2452/07/22 - 2452/07/28"/>
          <s v="2452/07/29 - 2452/08/04"/>
          <s v="2452/08/05 - 2452/08/11"/>
          <s v="2452/08/12 - 2452/08/18"/>
          <s v="2452/08/19 - 2452/08/25"/>
          <s v="2452/08/26 - 2452/09/01"/>
          <s v="2452/09/02 - 2452/09/08"/>
          <s v="2452/09/09 - 2452/09/15"/>
          <s v="2452/09/16 - 2452/09/22"/>
          <s v="2452/09/23 - 2452/09/29"/>
          <s v="2452/09/30 - 2452/10/06"/>
          <s v="2452/10/07 - 2452/10/13"/>
          <s v="2452/10/14 - 2452/10/20"/>
          <s v="2452/10/21 - 2452/10/27"/>
          <s v="2452/10/28 - 2452/11/03"/>
          <s v="2452/11/04 - 2452/11/10"/>
          <s v="2452/11/11 - 2452/11/17"/>
          <s v="2452/11/18 - 2452/11/24"/>
          <s v="2452/11/25 - 2452/12/01"/>
          <s v="2452/12/02 - 2452/12/08"/>
          <s v="2452/12/09 - 2452/12/15"/>
          <s v="2452/12/16 - 2452/12/22"/>
          <s v="2452/12/23 - 2452/12/29"/>
          <s v="2452/12/30 - 2453/01/05"/>
          <s v="2453/01/06 - 2453/01/12"/>
          <s v="2453/01/13 - 2453/01/19"/>
          <s v="2453/01/20 - 2453/01/26"/>
          <s v="2453/01/27 - 2453/02/02"/>
          <s v="2453/02/03 - 2453/02/09"/>
          <s v="2453/02/10 - 2453/02/16"/>
          <s v="2453/02/17 - 2453/02/23"/>
          <s v="2453/02/24 - 2453/03/02"/>
          <s v="2453/03/03 - 2453/03/09"/>
          <s v="2453/03/10 - 2453/03/16"/>
          <s v="2453/03/17 - 2453/03/23"/>
          <s v="2453/03/24 - 2453/03/30"/>
          <s v="2453/03/31 - 2453/04/06"/>
          <s v="2453/04/07 - 2453/04/13"/>
          <s v="2453/04/14 - 2453/04/20"/>
          <s v="2453/04/21 - 2453/04/27"/>
          <s v="2453/04/28 - 2453/05/04"/>
          <s v="2453/05/05 - 2453/05/11"/>
          <s v="2453/05/12 - 2453/05/18"/>
          <s v="2453/05/19 - 2453/05/25"/>
          <s v="2453/05/26 - 2453/06/01"/>
          <s v="2453/06/02 - 2453/06/08"/>
          <s v="2453/06/09 - 2453/06/15"/>
          <s v="2453/06/16 - 2453/06/22"/>
          <s v="2453/06/23 - 2453/06/29"/>
          <s v="2453/06/30 - 2453/07/06"/>
          <s v="2453/07/07 - 2453/07/13"/>
          <s v="2453/07/14 - 2453/07/20"/>
          <s v="2453/07/21 - 2453/07/27"/>
          <s v="2453/07/28 - 2453/08/03"/>
          <s v="2453/08/04 - 2453/08/10"/>
          <s v="2453/08/11 - 2453/08/17"/>
          <s v="2453/08/18 - 2453/08/24"/>
          <s v="2453/08/25 - 2453/08/31"/>
          <s v="2453/09/01 - 2453/09/07"/>
          <s v="2453/09/08 - 2453/09/14"/>
          <s v="2453/09/15 - 2453/09/21"/>
          <s v="2453/09/22 - 2453/09/28"/>
          <s v="2453/09/29 - 2453/10/05"/>
          <s v="2453/10/06 - 2453/10/12"/>
          <s v="2453/10/13 - 2453/10/19"/>
          <s v="2453/10/20 - 2453/10/26"/>
          <s v="2453/10/27 - 2453/11/02"/>
          <s v="2453/11/03 - 2453/11/09"/>
          <s v="2453/11/10 - 2453/11/16"/>
          <s v="2453/11/17 - 2453/11/23"/>
          <s v="2453/11/24 - 2453/11/30"/>
          <s v="2453/12/01 - 2453/12/07"/>
          <s v="2453/12/08 - 2453/12/14"/>
          <s v="2453/12/15 - 2453/12/21"/>
          <s v="2453/12/22 - 2453/12/28"/>
          <s v="2453/12/29 - 2454/01/04"/>
          <s v="2454/01/05 - 2454/01/11"/>
          <s v="2454/01/12 - 2454/01/18"/>
          <s v="2454/01/19 - 2454/01/25"/>
          <s v="2454/01/26 - 2454/02/01"/>
          <s v="2454/02/02 - 2454/02/08"/>
          <s v="2454/02/09 - 2454/02/15"/>
          <s v="2454/02/16 - 2454/02/22"/>
          <s v="2454/02/23 - 2454/03/01"/>
          <s v="2454/03/02 - 2454/03/08"/>
          <s v="2454/03/09 - 2454/03/15"/>
          <s v="2454/03/16 - 2454/03/22"/>
          <s v="2454/03/23 - 2454/03/29"/>
          <s v="2454/03/30 - 2454/04/05"/>
          <s v="2454/04/06 - 2454/04/12"/>
          <s v="2454/04/13 - 2454/04/19"/>
          <s v="2454/04/20 - 2454/04/26"/>
          <s v="2454/04/27 - 2454/05/03"/>
          <s v="2454/05/04 - 2454/05/10"/>
          <s v="2454/05/11 - 2454/05/17"/>
          <s v="2454/05/18 - 2454/05/24"/>
          <s v="2454/05/25 - 2454/05/31"/>
          <s v="2454/06/01 - 2454/06/07"/>
          <s v="2454/06/08 - 2454/06/14"/>
          <s v="2454/06/15 - 2454/06/21"/>
          <s v="2454/06/22 - 2454/06/28"/>
          <s v="2454/06/29 - 2454/07/05"/>
          <s v="2454/07/06 - 2454/07/12"/>
          <s v="2454/07/13 - 2454/07/19"/>
          <s v="2454/07/20 - 2454/07/26"/>
          <s v="2454/07/27 - 2454/08/02"/>
          <s v="2454/08/03 - 2454/08/09"/>
          <s v="2454/08/10 - 2454/08/16"/>
          <s v="2454/08/17 - 2454/08/23"/>
          <s v="2454/08/24 - 2454/08/30"/>
          <s v="2454/08/31 - 2454/09/06"/>
          <s v="2454/09/07 - 2454/09/13"/>
          <s v="2454/09/14 - 2454/09/20"/>
          <s v="2454/09/21 - 2454/09/27"/>
          <s v="2454/09/28 - 2454/10/04"/>
          <s v="2454/10/05 - 2454/10/11"/>
          <s v="2454/10/12 - 2454/10/18"/>
          <s v="2454/10/19 - 2454/10/25"/>
          <s v="2454/10/26 - 2454/11/01"/>
          <s v="2454/11/02 - 2454/11/08"/>
          <s v="2454/11/09 - 2454/11/15"/>
          <s v="2454/11/16 - 2454/11/22"/>
          <s v="2454/11/23 - 2454/11/29"/>
          <s v="2454/11/30 - 2454/12/06"/>
          <s v="2454/12/07 - 2454/12/13"/>
          <s v="2454/12/14 - 2454/12/20"/>
          <s v="2454/12/21 - 2454/12/27"/>
          <s v="2454/12/28 - 2455/01/03"/>
          <s v="2455/01/04 - 2455/01/10"/>
          <s v="2455/01/11 - 2455/01/17"/>
          <s v="2455/01/18 - 2455/01/24"/>
          <s v="2455/01/25 - 2455/01/31"/>
          <s v="2455/02/01 - 2455/02/07"/>
          <s v="2455/02/08 - 2455/02/14"/>
          <s v="2455/02/15 - 2455/02/21"/>
          <s v="2455/02/22 - 2455/02/28"/>
          <s v="2455/03/01 - 2455/03/07"/>
          <s v="2455/03/08 - 2455/03/14"/>
          <s v="2455/03/15 - 2455/03/21"/>
          <s v="2455/03/22 - 2455/03/28"/>
          <s v="2455/03/29 - 2455/04/04"/>
          <s v="2455/04/05 - 2455/04/11"/>
          <s v="2455/04/12 - 2455/04/18"/>
          <s v="2455/04/19 - 2455/04/25"/>
          <s v="2455/04/26 - 2455/05/02"/>
          <s v="2455/05/03 - 2455/05/09"/>
          <s v="2455/05/10 - 2455/05/16"/>
          <s v="2455/05/17 - 2455/05/23"/>
          <s v="2455/05/24 - 2455/05/30"/>
          <s v="2455/05/31 - 2455/06/06"/>
          <s v="2455/06/07 - 2455/06/13"/>
          <s v="2455/06/14 - 2455/06/20"/>
          <s v="2455/06/21 - 2455/06/27"/>
          <s v="2455/06/28 - 2455/07/04"/>
          <s v="2455/07/05 - 2455/07/11"/>
          <s v="2455/07/12 - 2455/07/18"/>
          <s v="2455/07/19 - 2455/07/25"/>
          <s v="2455/07/26 - 2455/08/01"/>
          <s v="2455/08/02 - 2455/08/08"/>
          <s v="2455/08/09 - 2455/08/15"/>
          <s v="2455/08/16 - 2455/08/22"/>
          <s v="2455/08/23 - 2455/08/29"/>
          <s v="2455/08/30 - 2455/09/05"/>
          <s v="2455/09/06 - 2455/09/12"/>
          <s v="2455/09/13 - 2455/09/19"/>
          <s v="2455/09/20 - 2455/09/26"/>
          <s v="2455/09/27 - 2455/10/03"/>
          <s v="2455/10/04 - 2455/10/10"/>
          <s v="2455/10/11 - 2455/10/17"/>
          <s v="2455/10/18 - 2455/10/24"/>
          <s v="2455/10/25 - 2455/10/31"/>
          <s v="2455/11/01 - 2455/11/07"/>
          <s v="2455/11/08 - 2455/11/14"/>
          <s v="2455/11/15 - 2455/11/21"/>
          <s v="2455/11/22 - 2455/11/28"/>
          <s v="2455/11/29 - 2455/12/05"/>
          <s v="2455/12/06 - 2455/12/12"/>
          <s v="2455/12/13 - 2455/12/19"/>
          <s v="2455/12/20 - 2455/12/26"/>
          <s v="2455/12/27 - 2456/01/02"/>
          <s v="2456/01/03 - 2456/01/09"/>
          <s v="2456/01/10 - 2456/01/16"/>
          <s v="2456/01/17 - 2456/01/23"/>
          <s v="2456/01/24 - 2456/01/30"/>
          <s v="2456/01/31 - 2456/02/06"/>
          <s v="2456/02/07 - 2456/02/13"/>
          <s v="2456/02/14 - 2456/02/20"/>
          <s v="2456/02/21 - 2456/02/27"/>
          <s v="2456/02/28 - 2456/03/05"/>
          <s v="2456/03/06 - 2456/03/12"/>
          <s v="2456/03/13 - 2456/03/19"/>
          <s v="2456/03/20 - 2456/03/26"/>
          <s v="2456/03/27 - 2456/04/02"/>
          <s v="2456/04/03 - 2456/04/09"/>
          <s v="2456/04/10 - 2456/04/16"/>
          <s v="2456/04/17 - 2456/04/23"/>
          <s v="2456/04/24 - 2456/04/30"/>
          <s v="2456/05/01 - 2456/05/07"/>
          <s v="2456/05/08 - 2456/05/14"/>
          <s v="2456/05/15 - 2456/05/21"/>
          <s v="2456/05/22 - 2456/05/28"/>
          <s v="2456/05/29 - 2456/06/04"/>
          <s v="2456/06/05 - 2456/06/11"/>
          <s v="2456/06/12 - 2456/06/18"/>
          <s v="2456/06/19 - 2456/06/25"/>
          <s v="2456/06/26 - 2456/07/02"/>
          <s v="2456/07/03 - 2456/07/09"/>
          <s v="2456/07/10 - 2456/07/16"/>
          <s v="2456/07/17 - 2456/07/23"/>
          <s v="2456/07/24 - 2456/07/30"/>
          <s v="2456/07/31 - 2456/08/06"/>
          <s v="2456/08/07 - 2456/08/13"/>
          <s v="2456/08/14 - 2456/08/20"/>
          <s v="2456/08/21 - 2456/08/27"/>
          <s v="2456/08/28 - 2456/09/03"/>
          <s v="2456/09/04 - 2456/09/10"/>
          <s v="2456/09/11 - 2456/09/17"/>
          <s v="2456/09/18 - 2456/09/24"/>
          <s v="2456/09/25 - 2456/10/01"/>
          <s v="2456/10/02 - 2456/10/08"/>
          <s v="2456/10/09 - 2456/10/15"/>
          <s v="2456/10/16 - 2456/10/22"/>
          <s v="2456/10/23 - 2456/10/29"/>
          <s v="2456/10/30 - 2456/11/05"/>
          <s v="2456/11/06 - 2456/11/12"/>
          <s v="2456/11/13 - 2456/11/19"/>
          <s v="2456/11/20 - 2456/11/26"/>
          <s v="2456/11/27 - 2456/12/03"/>
          <s v="2456/12/04 - 2456/12/10"/>
          <s v="2456/12/11 - 2456/12/17"/>
          <s v="2456/12/18 - 2456/12/24"/>
          <s v="2456/12/25 - 2456/12/31"/>
          <s v="2457/01/01 - 2457/01/07"/>
          <s v="2457/01/08 - 2457/01/14"/>
          <s v="2457/01/15 - 2457/01/21"/>
          <s v="2457/01/22 - 2457/01/28"/>
          <s v="2457/01/29 - 2457/02/04"/>
          <s v="2457/02/05 - 2457/02/11"/>
          <s v="2457/02/12 - 2457/02/18"/>
          <s v="2457/02/19 - 2457/02/25"/>
          <s v="2457/02/26 - 2457/03/04"/>
          <s v="2457/03/05 - 2457/03/11"/>
          <s v="2457/03/12 - 2457/03/18"/>
          <s v="2457/03/19 - 2457/03/25"/>
          <s v="2457/03/26 - 2457/04/01"/>
          <s v="2457/04/02 - 2457/04/08"/>
          <s v="2457/04/09 - 2457/04/15"/>
          <s v="2457/04/16 - 2457/04/22"/>
          <s v="2457/04/23 - 2457/04/29"/>
          <s v="2457/04/30 - 2457/05/06"/>
          <s v="2457/05/07 - 2457/05/13"/>
          <s v="2457/05/14 - 2457/05/20"/>
          <s v="2457/05/21 - 2457/05/27"/>
          <s v="2457/05/28 - 2457/06/03"/>
          <s v="2457/06/04 - 2457/06/10"/>
          <s v="2457/06/11 - 2457/06/17"/>
          <s v="2457/06/18 - 2457/06/24"/>
          <s v="2457/06/25 - 2457/07/01"/>
          <s v="2457/07/02 - 2457/07/08"/>
          <s v="2457/07/09 - 2457/07/15"/>
          <s v="2457/07/16 - 2457/07/22"/>
          <s v="2457/07/23 - 2457/07/29"/>
          <s v="2457/07/30 - 2457/08/05"/>
          <s v="2457/08/06 - 2457/08/12"/>
          <s v="2457/08/13 - 2457/08/19"/>
          <s v="2457/08/20 - 2457/08/26"/>
          <s v="2457/08/27 - 2457/09/02"/>
          <s v="2457/09/03 - 2457/09/09"/>
          <s v="2457/09/10 - 2457/09/16"/>
          <s v="2457/09/17 - 2457/09/23"/>
          <s v="2457/09/24 - 2457/09/30"/>
          <s v="2457/10/01 - 2457/10/07"/>
          <s v="2457/10/08 - 2457/10/14"/>
          <s v="2457/10/15 - 2457/10/21"/>
          <s v="2457/10/22 - 2457/10/28"/>
          <s v="2457/10/29 - 2457/11/04"/>
          <s v="2457/11/05 - 2457/11/11"/>
          <s v="2457/11/12 - 2457/11/18"/>
          <s v="2457/11/19 - 2457/11/25"/>
          <s v="2457/11/26 - 2457/12/02"/>
          <s v="2457/12/03 - 2457/12/09"/>
          <s v="2457/12/10 - 2457/12/16"/>
          <s v="2457/12/17 - 2457/12/23"/>
          <s v="2457/12/24 - 2457/12/30"/>
          <s v="2457/12/31 - 2458/01/06"/>
          <s v="2458/01/07 - 2458/01/13"/>
          <s v="2458/01/14 - 2458/01/20"/>
          <s v="2458/01/21 - 2458/01/27"/>
          <s v="2458/01/28 - 2458/02/03"/>
          <s v="2458/02/04 - 2458/02/10"/>
          <s v="2458/02/11 - 2458/02/17"/>
          <s v="2458/02/18 - 2458/02/24"/>
          <s v="2458/02/25 - 2458/03/03"/>
          <s v="2458/03/04 - 2458/03/10"/>
          <s v="2458/03/11 - 2458/03/17"/>
          <s v="2458/03/18 - 2458/03/24"/>
          <s v="2458/03/25 - 2458/03/31"/>
          <s v="2458/04/01 - 2458/04/07"/>
          <s v="2458/04/08 - 2458/04/14"/>
          <s v="2458/04/15 - 2458/04/21"/>
          <s v="2458/04/22 - 2458/04/28"/>
          <s v="2458/04/29 - 2458/05/05"/>
          <s v="2458/05/06 - 2458/05/12"/>
          <s v="2458/05/13 - 2458/05/19"/>
          <s v="2458/05/20 - 2458/05/26"/>
          <s v="2458/05/27 - 2458/06/02"/>
          <s v="2458/06/03 - 2458/06/09"/>
          <s v="2458/06/10 - 2458/06/16"/>
          <s v="2458/06/17 - 2458/06/23"/>
          <s v="2458/06/24 - 2458/06/30"/>
          <s v="2458/07/01 - 2458/07/07"/>
          <s v="2458/07/08 - 2458/07/14"/>
          <s v="2458/07/15 - 2458/07/21"/>
          <s v="2458/07/22 - 2458/07/28"/>
          <s v="2458/07/29 - 2458/08/04"/>
          <s v="2458/08/05 - 2458/08/11"/>
          <s v="2458/08/12 - 2458/08/18"/>
          <s v="2458/08/19 - 2458/08/25"/>
          <s v="2458/08/26 - 2458/09/01"/>
          <s v="2458/09/02 - 2458/09/08"/>
          <s v="2458/09/09 - 2458/09/15"/>
          <s v="2458/09/16 - 2458/09/22"/>
          <s v="2458/09/23 - 2458/09/29"/>
          <s v="2458/09/30 - 2458/10/06"/>
          <s v="2458/10/07 - 2458/10/13"/>
          <s v="2458/10/14 - 2458/10/20"/>
          <s v="2458/10/21 - 2458/10/27"/>
          <s v="2458/10/28 - 2458/11/03"/>
          <s v="2458/11/04 - 2458/11/10"/>
          <s v="2458/11/11 - 2458/11/17"/>
          <s v="2458/11/18 - 2458/11/24"/>
          <s v="2458/11/25 - 2458/12/01"/>
          <s v="2458/12/02 - 2458/12/08"/>
          <s v="2458/12/09 - 2458/12/15"/>
          <s v="2458/12/16 - 2458/12/22"/>
          <s v="2458/12/23 - 2458/12/29"/>
          <s v="2458/12/30 - 2459/01/05"/>
          <s v="2459/01/06 - 2459/01/12"/>
          <s v="2459/01/13 - 2459/01/19"/>
          <s v="2459/01/20 - 2459/01/26"/>
          <s v="2459/01/27 - 2459/02/02"/>
          <s v="2459/02/03 - 2459/02/09"/>
          <s v="2459/02/10 - 2459/02/16"/>
          <s v="2459/02/17 - 2459/02/23"/>
          <s v="2459/02/24 - 2459/03/02"/>
          <s v="2459/03/03 - 2459/03/09"/>
          <s v="2459/03/10 - 2459/03/16"/>
          <s v="2459/03/17 - 2459/03/23"/>
          <s v="2459/03/24 - 2459/03/30"/>
          <s v="2459/03/31 - 2459/04/06"/>
          <s v="2459/04/07 - 2459/04/13"/>
          <s v="2459/04/14 - 2459/04/20"/>
          <s v="2459/04/21 - 2459/04/27"/>
          <s v="2459/04/28 - 2459/05/04"/>
          <s v="2459/05/05 - 2459/05/11"/>
          <s v="2459/05/12 - 2459/05/18"/>
          <s v="2459/05/19 - 2459/05/25"/>
          <s v="2459/05/26 - 2459/06/01"/>
          <s v="2459/06/02 - 2459/06/08"/>
          <s v="2459/06/09 - 2459/06/15"/>
          <s v="2459/06/16 - 2459/06/22"/>
          <s v="2459/06/23 - 2459/06/29"/>
          <s v="2459/06/30 - 2459/07/06"/>
          <s v="2459/07/07 - 2459/07/13"/>
          <s v="2459/07/14 - 2459/07/20"/>
          <s v="2459/07/21 - 2459/07/27"/>
          <s v="2459/07/28 - 2459/08/03"/>
          <s v="2459/08/04 - 2459/08/10"/>
          <s v="2459/08/11 - 2459/08/17"/>
          <s v="2459/08/18 - 2459/08/24"/>
          <s v="2459/08/25 - 2459/08/31"/>
          <s v="2459/09/01 - 2459/09/07"/>
          <s v="2459/09/08 - 2459/09/14"/>
          <s v="2459/09/15 - 2459/09/21"/>
          <s v="2459/09/22 - 2459/09/28"/>
          <s v="2459/09/29 - 2459/10/05"/>
          <s v="2459/10/06 - 2459/10/12"/>
          <s v="2459/10/13 - 2459/10/19"/>
          <s v="2459/10/20 - 2459/10/26"/>
          <s v="2459/10/27 - 2459/11/02"/>
          <s v="2459/11/03 - 2459/11/09"/>
          <s v="2459/11/10 - 2459/11/16"/>
          <s v="2459/11/17 - 2459/11/23"/>
          <s v="2459/11/24 - 2459/11/30"/>
          <s v="2459/12/01 - 2459/12/07"/>
          <s v="2459/12/08 - 2459/12/14"/>
          <s v="2459/12/15 - 2459/12/21"/>
          <s v="2459/12/22 - 2459/12/28"/>
          <s v="2459/12/29 - 2460/01/04"/>
          <s v="2460/01/05 - 2460/01/11"/>
          <s v="2460/01/12 - 2460/01/18"/>
          <s v="2460/01/19 - 2460/01/25"/>
          <s v="2460/01/26 - 2460/02/01"/>
          <s v="2460/02/02 - 2460/02/08"/>
          <s v="2460/02/09 - 2460/02/15"/>
          <s v="2460/02/16 - 2460/02/22"/>
          <s v="2460/02/23 - 2460/02/29"/>
          <s v="2460/03/01 - 2460/03/07"/>
          <s v="2460/03/08 - 2460/03/14"/>
          <s v="2460/03/15 - 2460/03/21"/>
          <s v="2460/03/22 - 2460/03/28"/>
          <s v="2460/03/29 - 2460/04/04"/>
          <s v="2460/04/05 - 2460/04/11"/>
          <s v="2460/04/12 - 2460/04/18"/>
          <s v="2460/04/19 - 2460/04/25"/>
          <s v="2460/04/26 - 2460/05/02"/>
          <s v="2460/05/03 - 2460/05/09"/>
          <s v="2460/05/10 - 2460/05/16"/>
          <s v="2460/05/17 - 2460/05/23"/>
          <s v="2460/05/24 - 2460/05/30"/>
          <s v="2460/05/31 - 2460/06/06"/>
          <s v="2460/06/07 - 2460/06/13"/>
          <s v="2460/06/14 - 2460/06/20"/>
          <s v="2460/06/21 - 2460/06/27"/>
          <s v="2460/06/28 - 2460/07/04"/>
          <s v="2460/07/05 - 2460/07/11"/>
          <s v="2460/07/12 - 2460/07/18"/>
          <s v="2460/07/19 - 2460/07/25"/>
          <s v="2460/07/26 - 2460/08/01"/>
          <s v="2460/08/02 - 2460/08/08"/>
          <s v="2460/08/09 - 2460/08/15"/>
          <s v="2460/08/16 - 2460/08/22"/>
          <s v="2460/08/23 - 2460/08/29"/>
          <s v="2460/08/30 - 2460/09/05"/>
          <s v="2460/09/06 - 2460/09/12"/>
          <s v="2460/09/13 - 2460/09/19"/>
          <s v="2460/09/20 - 2460/09/26"/>
          <s v="2460/09/27 - 2460/10/03"/>
          <s v="2460/10/04 - 2460/10/10"/>
          <s v="2460/10/11 - 2460/10/17"/>
          <s v="2460/10/18 - 2460/10/24"/>
          <s v="2460/10/25 - 2460/10/31"/>
          <s v="2460/11/01 - 2460/11/07"/>
          <s v="2460/11/08 - 2460/11/14"/>
          <s v="2460/11/15 - 2460/11/21"/>
          <s v="2460/11/22 - 2460/11/28"/>
          <s v="2460/11/29 - 2460/12/05"/>
          <s v="2460/12/06 - 2460/12/12"/>
          <s v="2460/12/13 - 2460/12/19"/>
          <s v="2460/12/20 - 2460/12/26"/>
          <s v="2460/12/27 - 2461/01/02"/>
          <s v="2461/01/03 - 2461/01/09"/>
          <s v="2461/01/10 - 2461/01/16"/>
          <s v="2461/01/17 - 2461/01/23"/>
          <s v="2461/01/24 - 2461/01/30"/>
          <s v="2461/01/31 - 2461/02/06"/>
          <s v="2461/02/07 - 2461/02/13"/>
          <s v="2461/02/14 - 2461/02/20"/>
          <s v="2461/02/21 - 2461/02/27"/>
          <s v="2461/02/28 - 2461/03/06"/>
          <s v="2461/03/07 - 2461/03/13"/>
          <s v="2461/03/14 - 2461/03/20"/>
          <s v="2461/03/21 - 2461/03/27"/>
          <s v="2461/03/28 - 2461/04/03"/>
          <s v="2461/04/04 - 2461/04/10"/>
          <s v="2461/04/11 - 2461/04/17"/>
          <s v="2461/04/18 - 2461/04/24"/>
          <s v="2461/04/25 - 2461/05/01"/>
          <s v="2461/05/02 - 2461/05/08"/>
          <s v="2461/05/09 - 2461/05/15"/>
          <s v="2461/05/16 - 2461/05/22"/>
          <s v="2461/05/23 - 2461/05/29"/>
          <s v="2461/05/30 - 2461/06/05"/>
          <s v="2461/06/06 - 2461/06/12"/>
          <s v="2461/06/13 - 2461/06/19"/>
          <s v="2461/06/20 - 2461/06/26"/>
          <s v="2461/06/27 - 2461/07/03"/>
          <s v="2461/07/04 - 2461/07/10"/>
          <s v="2461/07/11 - 2461/07/17"/>
          <s v="2461/07/18 - 2461/07/24"/>
          <s v="2461/07/25 - 2461/07/31"/>
          <s v="2461/08/01 - 2461/08/07"/>
          <s v="2461/08/08 - 2461/08/14"/>
          <s v="2461/08/15 - 2461/08/21"/>
          <s v="2461/08/22 - 2461/08/28"/>
          <s v="2461/08/29 - 2461/09/04"/>
          <s v="2461/09/05 - 2461/09/11"/>
          <s v="2461/09/12 - 2461/09/18"/>
          <s v="2461/09/19 - 2461/09/25"/>
          <s v="2461/09/26 - 2461/10/02"/>
          <s v="2461/10/03 - 2461/10/09"/>
          <s v="2461/10/10 - 2461/10/16"/>
          <s v="2461/10/17 - 2461/10/23"/>
          <s v="2461/10/24 - 2461/10/30"/>
          <s v="2461/10/31 - 2461/11/06"/>
          <s v="2461/11/07 - 2461/11/13"/>
          <s v="2461/11/14 - 2461/11/20"/>
          <s v="2461/11/21 - 2461/11/27"/>
          <s v="2461/11/28 - 2461/12/04"/>
          <s v="2461/12/05 - 2461/12/11"/>
          <s v="2461/12/12 - 2461/12/18"/>
          <s v="2461/12/19 - 2461/12/25"/>
          <s v="2461/12/26 - 2462/01/01"/>
          <s v="2462/01/02 - 2462/01/08"/>
          <s v="2462/01/09 - 2462/01/15"/>
          <s v="2462/01/16 - 2462/01/22"/>
          <s v="2462/01/23 - 2462/01/29"/>
          <s v="2462/01/30 - 2462/02/05"/>
          <s v="2462/02/06 - 2462/02/12"/>
          <s v="2462/02/13 - 2462/02/19"/>
          <s v="2462/02/20 - 2462/02/26"/>
          <s v="2462/02/27 - 2462/03/05"/>
          <s v="2462/03/06 - 2462/03/12"/>
          <s v="2462/03/13 - 2462/03/19"/>
          <s v="2462/03/20 - 2462/03/26"/>
          <s v="2462/03/27 - 2462/04/02"/>
          <s v="2462/04/03 - 2462/04/09"/>
          <s v="2462/04/10 - 2462/04/16"/>
          <s v="2462/04/17 - 2462/04/23"/>
          <s v="2462/04/24 - 2462/04/30"/>
          <s v="2462/05/01 - 2462/05/07"/>
          <s v="2462/05/08 - 2462/05/14"/>
          <s v="2462/05/15 - 2462/05/21"/>
          <s v="2462/05/22 - 2462/05/28"/>
          <s v="2462/05/29 - 2462/06/04"/>
          <s v="2462/06/05 - 2462/06/11"/>
          <s v="2462/06/12 - 2462/06/18"/>
          <s v="2462/06/19 - 2462/06/25"/>
          <s v="2462/06/26 - 2462/07/02"/>
          <s v="2462/07/03 - 2462/07/09"/>
          <s v="2462/07/10 - 2462/07/16"/>
          <s v="2462/07/17 - 2462/07/23"/>
          <s v="2462/07/24 - 2462/07/30"/>
          <s v="2462/07/31 - 2462/08/06"/>
          <s v="2462/08/07 - 2462/08/13"/>
          <s v="2462/08/14 - 2462/08/20"/>
          <s v="2462/08/21 - 2462/08/27"/>
          <s v="2462/08/28 - 2462/09/03"/>
          <s v="2462/09/04 - 2462/09/10"/>
          <s v="2462/09/11 - 2462/09/17"/>
          <s v="2462/09/18 - 2462/09/24"/>
          <s v="2462/09/25 - 2462/10/01"/>
          <s v="2462/10/02 - 2462/10/08"/>
          <s v="2462/10/09 - 2462/10/15"/>
          <s v="2462/10/16 - 2462/10/22"/>
          <s v="2462/10/23 - 2462/10/29"/>
          <s v="2462/10/30 - 2462/11/05"/>
          <s v="2462/11/06 - 2462/11/12"/>
          <s v="2462/11/13 - 2462/11/19"/>
          <s v="2462/11/20 - 2462/11/26"/>
          <s v="2462/11/27 - 2462/12/03"/>
          <s v="2462/12/04 - 2462/12/10"/>
          <s v="2462/12/11 - 2462/12/17"/>
          <s v="2462/12/18 - 2462/12/24"/>
          <s v="2462/12/25 - 2462/12/31"/>
          <s v="2463/01/01 - 2463/01/07"/>
          <s v="2463/01/08 - 2463/01/14"/>
          <s v="2463/01/15 - 2463/01/21"/>
          <s v="2463/01/22 - 2463/01/28"/>
          <s v="2463/01/29 - 2463/02/04"/>
          <s v="2463/02/05 - 2463/02/11"/>
          <s v="2463/02/12 - 2463/02/18"/>
          <s v="2463/02/19 - 2463/02/25"/>
          <s v="2463/02/26 - 2463/03/04"/>
          <s v="2463/03/05 - 2463/03/11"/>
          <s v="2463/03/12 - 2463/03/18"/>
          <s v="2463/03/19 - 2463/03/25"/>
          <s v="2463/03/26 - 2463/04/01"/>
          <s v="2463/04/02 - 2463/04/08"/>
          <s v="2463/04/09 - 2463/04/15"/>
          <s v="2463/04/16 - 2463/04/22"/>
          <s v="2463/04/23 - 2463/04/29"/>
          <s v="2463/04/30 - 2463/05/06"/>
          <s v="2463/05/07 - 2463/05/13"/>
          <s v="2463/05/14 - 2463/05/20"/>
          <s v="2463/05/21 - 2463/05/27"/>
          <s v="2463/05/28 - 2463/06/03"/>
          <s v="2463/06/04 - 2463/06/10"/>
          <s v="2463/06/11 - 2463/06/17"/>
          <s v="2463/06/18 - 2463/06/24"/>
          <s v="2463/06/25 - 2463/07/01"/>
          <s v="2463/07/02 - 2463/07/08"/>
          <s v="2463/07/09 - 2463/07/15"/>
          <s v="2463/07/16 - 2463/07/22"/>
          <s v="2463/07/23 - 2463/07/29"/>
          <s v="2463/07/30 - 2463/08/05"/>
          <s v="2463/08/06 - 2463/08/12"/>
          <s v="2463/08/13 - 2463/08/19"/>
          <s v="2463/08/20 - 2463/08/26"/>
          <s v="2463/08/27 - 2463/09/02"/>
          <s v="2463/09/03 - 2463/09/09"/>
          <s v="2463/09/10 - 2463/09/16"/>
          <s v="2463/09/17 - 2463/09/23"/>
          <s v="2463/09/24 - 2463/09/30"/>
          <s v="2463/10/01 - 2463/10/07"/>
          <s v="2463/10/08 - 2463/10/14"/>
          <s v="2463/10/15 - 2463/10/21"/>
          <s v="2463/10/22 - 2463/10/28"/>
          <s v="2463/10/29 - 2463/11/04"/>
          <s v="2463/11/05 - 2463/11/11"/>
          <s v="2463/11/12 - 2463/11/18"/>
          <s v="2463/11/19 - 2463/11/25"/>
          <s v="2463/11/26 - 2463/12/02"/>
          <s v="2463/12/03 - 2463/12/09"/>
          <s v="2463/12/10 - 2463/12/16"/>
          <s v="2463/12/17 - 2463/12/23"/>
          <s v="2463/12/24 - 2463/12/30"/>
          <s v="2463/12/31 - 2464/01/06"/>
          <s v="2464/01/07 - 2464/01/13"/>
          <s v="2464/01/14 - 2464/01/20"/>
          <s v="2464/01/21 - 2464/01/27"/>
          <s v="2464/01/28 - 2464/02/03"/>
          <s v="2464/02/04 - 2464/02/10"/>
          <s v="2464/02/11 - 2464/02/17"/>
          <s v="2464/02/18 - 2464/02/24"/>
          <s v="2464/02/25 - 2464/03/02"/>
          <s v="2464/03/03 - 2464/03/09"/>
          <s v="2464/03/10 - 2464/03/16"/>
          <s v="2464/03/17 - 2464/03/23"/>
          <s v="2464/03/24 - 2464/03/30"/>
          <s v="2464/03/31 - 2464/04/06"/>
          <s v="2464/04/07 - 2464/04/13"/>
          <s v="2464/04/14 - 2464/04/20"/>
          <s v="2464/04/21 - 2464/04/27"/>
          <s v="2464/04/28 - 2464/05/04"/>
          <s v="2464/05/05 - 2464/05/11"/>
          <s v="2464/05/12 - 2464/05/18"/>
          <s v="2464/05/19 - 2464/05/25"/>
          <s v="2464/05/26 - 2464/06/01"/>
          <s v="2464/06/02 - 2464/06/08"/>
          <s v="2464/06/09 - 2464/06/15"/>
          <s v="2464/06/16 - 2464/06/22"/>
          <s v="2464/06/23 - 2464/06/29"/>
          <s v="2464/06/30 - 2464/07/06"/>
          <s v="2464/07/07 - 2464/07/13"/>
          <s v="2464/07/14 - 2464/07/20"/>
          <s v="2464/07/21 - 2464/07/27"/>
          <s v="2464/07/28 - 2464/08/03"/>
          <s v="2464/08/04 - 2464/08/10"/>
          <s v="2464/08/11 - 2464/08/17"/>
          <s v="2464/08/18 - 2464/08/24"/>
          <s v="2464/08/25 - 2464/08/31"/>
          <s v="2464/09/01 - 2464/09/07"/>
          <s v="2464/09/08 - 2464/09/14"/>
          <s v="2464/09/15 - 2464/09/21"/>
          <s v="2464/09/22 - 2464/09/28"/>
          <s v="2464/09/29 - 2464/10/05"/>
          <s v="2464/10/06 - 2464/10/12"/>
          <s v="2464/10/13 - 2464/10/19"/>
          <s v="2464/10/20 - 2464/10/26"/>
          <s v="2464/10/27 - 2464/11/02"/>
          <s v="2464/11/03 - 2464/11/09"/>
          <s v="2464/11/10 - 2464/11/16"/>
          <s v="2464/11/17 - 2464/11/23"/>
          <s v="2464/11/24 - 2464/11/30"/>
          <s v="2464/12/01 - 2464/12/07"/>
          <s v="2464/12/08 - 2464/12/14"/>
          <s v="2464/12/15 - 2464/12/21"/>
          <s v="2464/12/22 - 2464/12/28"/>
          <s v="2464/12/29 - 2465/01/04"/>
          <s v="2465/01/05 - 2465/01/11"/>
          <s v="2465/01/12 - 2465/01/18"/>
          <s v="2465/01/19 - 2465/01/25"/>
          <s v="2465/01/26 - 2465/02/01"/>
          <s v="2465/02/02 - 2465/02/08"/>
          <s v="2465/02/09 - 2465/02/15"/>
          <s v="2465/02/16 - 2465/02/22"/>
          <s v="2465/02/23 - 2465/03/01"/>
          <s v="2465/03/02 - 2465/03/08"/>
          <s v="2465/03/09 - 2465/03/15"/>
          <s v="2465/03/16 - 2465/03/22"/>
          <s v="2465/03/23 - 2465/03/29"/>
          <s v="2465/03/30 - 2465/04/05"/>
          <s v="2465/04/06 - 2465/04/12"/>
          <s v="2465/04/13 - 2465/04/19"/>
          <s v="2465/04/20 - 2465/04/26"/>
          <s v="2465/04/27 - 2465/05/03"/>
          <s v="2465/05/04 - 2465/05/10"/>
          <s v="2465/05/11 - 2465/05/17"/>
          <s v="2465/05/18 - 2465/05/24"/>
          <s v="2465/05/25 - 2465/05/31"/>
          <s v="2465/06/01 - 2465/06/07"/>
          <s v="2465/06/08 - 2465/06/14"/>
          <s v="2465/06/15 - 2465/06/21"/>
          <s v="2465/06/22 - 2465/06/28"/>
          <s v="2465/06/29 - 2465/07/05"/>
          <s v="2465/07/06 - 2465/07/12"/>
          <s v="2465/07/13 - 2465/07/19"/>
          <s v="2465/07/20 - 2465/07/26"/>
          <s v="2465/07/27 - 2465/08/02"/>
          <s v="2465/08/03 - 2465/08/09"/>
          <s v="2465/08/10 - 2465/08/16"/>
          <s v="2465/08/17 - 2465/08/23"/>
          <s v="2465/08/24 - 2465/08/30"/>
          <s v="2465/08/31 - 2465/09/06"/>
          <s v="2465/09/07 - 2465/09/13"/>
          <s v="2465/09/14 - 2465/09/20"/>
          <s v="2465/09/21 - 2465/09/27"/>
          <s v="2465/09/28 - 2465/10/04"/>
          <s v="2465/10/05 - 2465/10/11"/>
          <s v="2465/10/12 - 2465/10/18"/>
          <s v="2465/10/19 - 2465/10/25"/>
          <s v="2465/10/26 - 2465/11/01"/>
          <s v="2465/11/02 - 2465/11/08"/>
          <s v="2465/11/09 - 2465/11/15"/>
          <s v="2465/11/16 - 2465/11/22"/>
          <s v="2465/11/23 - 2465/11/29"/>
          <s v="2465/11/30 - 2465/12/06"/>
          <s v="2465/12/07 - 2465/12/13"/>
          <s v="2465/12/14 - 2465/12/20"/>
          <s v="2465/12/21 - 2465/12/27"/>
          <s v="2465/12/28 - 2466/01/03"/>
          <s v="2466/01/04 - 2466/01/10"/>
          <s v="2466/01/11 - 2466/01/17"/>
          <s v="2466/01/18 - 2466/01/24"/>
          <s v="2466/01/25 - 2466/01/31"/>
          <s v="2466/02/01 - 2466/02/07"/>
          <s v="2466/02/08 - 2466/02/14"/>
          <s v="2466/02/15 - 2466/02/21"/>
          <s v="2466/02/22 - 2466/02/28"/>
          <s v="2466/03/01 - 2466/03/07"/>
          <s v="2466/03/08 - 2466/03/14"/>
          <s v="2466/03/15 - 2466/03/21"/>
          <s v="2466/03/22 - 2466/03/28"/>
          <s v="2466/03/29 - 2466/04/04"/>
          <s v="2466/04/05 - 2466/04/11"/>
          <s v="2466/04/12 - 2466/04/18"/>
          <s v="2466/04/19 - 2466/04/25"/>
          <s v="2466/04/26 - 2466/05/02"/>
          <s v="2466/05/03 - 2466/05/09"/>
          <s v="2466/05/10 - 2466/05/16"/>
          <s v="2466/05/17 - 2466/05/23"/>
          <s v="2466/05/24 - 2466/05/30"/>
          <s v="2466/05/31 - 2466/06/06"/>
          <s v="2466/06/07 - 2466/06/13"/>
          <s v="2466/06/14 - 2466/06/20"/>
          <s v="2466/06/21 - 2466/06/27"/>
          <s v="2466/06/28 - 2466/07/04"/>
          <s v="2466/07/05 - 2466/07/11"/>
          <s v="2466/07/12 - 2466/07/18"/>
          <s v="2466/07/19 - 2466/07/25"/>
          <s v="2466/07/26 - 2466/08/01"/>
          <s v="2466/08/02 - 2466/08/08"/>
          <s v="2466/08/09 - 2466/08/15"/>
          <s v="2466/08/16 - 2466/08/22"/>
          <s v="2466/08/23 - 2466/08/29"/>
          <s v="2466/08/30 - 2466/09/05"/>
          <s v="2466/09/06 - 2466/09/12"/>
          <s v="2466/09/13 - 2466/09/19"/>
          <s v="2466/09/20 - 2466/09/26"/>
          <s v="2466/09/27 - 2466/10/03"/>
          <s v="2466/10/04 - 2466/10/10"/>
          <s v="2466/10/11 - 2466/10/17"/>
          <s v="2466/10/18 - 2466/10/24"/>
          <s v="2466/10/25 - 2466/10/31"/>
          <s v="2466/11/01 - 2466/11/07"/>
          <s v="2466/11/08 - 2466/11/14"/>
          <s v="2466/11/15 - 2466/11/21"/>
          <s v="2466/11/22 - 2466/11/28"/>
          <s v="2466/11/29 - 2466/12/05"/>
          <s v="2466/12/06 - 2466/12/12"/>
          <s v="2466/12/13 - 2466/12/19"/>
          <s v="2466/12/20 - 2466/12/26"/>
          <s v="2466/12/27 - 2467/01/02"/>
          <s v="2467/01/03 - 2467/01/09"/>
          <s v="2467/01/10 - 2467/01/16"/>
          <s v="2467/01/17 - 2467/01/23"/>
          <s v="2467/01/24 - 2467/01/30"/>
          <s v="2467/01/31 - 2467/02/06"/>
          <s v="2467/02/07 - 2467/02/13"/>
          <s v="2467/02/14 - 2467/02/20"/>
          <s v="2467/02/21 - 2467/02/27"/>
          <s v="2467/02/28 - 2467/03/06"/>
          <s v="2467/03/07 - 2467/03/13"/>
          <s v="2467/03/14 - 2467/03/20"/>
          <s v="2467/03/21 - 2467/03/27"/>
          <s v="2467/03/28 - 2467/04/03"/>
          <s v="2467/04/04 - 2467/04/10"/>
          <s v="2467/04/11 - 2467/04/17"/>
          <s v="2467/04/18 - 2467/04/24"/>
          <s v="2467/04/25 - 2467/05/01"/>
          <s v="2467/05/02 - 2467/05/08"/>
          <s v="2467/05/09 - 2467/05/15"/>
          <s v="2467/05/16 - 2467/05/22"/>
          <s v="2467/05/23 - 2467/05/29"/>
          <s v="2467/05/30 - 2467/06/05"/>
          <s v="2467/06/06 - 2467/06/12"/>
          <s v="2467/06/13 - 2467/06/19"/>
          <s v="2467/06/20 - 2467/06/26"/>
          <s v="2467/06/27 - 2467/07/03"/>
          <s v="2467/07/04 - 2467/07/10"/>
          <s v="2467/07/11 - 2467/07/17"/>
          <s v="2467/07/18 - 2467/07/24"/>
          <s v="2467/07/25 - 2467/07/31"/>
          <s v="2467/08/01 - 2467/08/07"/>
          <s v="2467/08/08 - 2467/08/14"/>
          <s v="2467/08/15 - 2467/08/21"/>
          <s v="2467/08/22 - 2467/08/28"/>
          <s v="2467/08/29 - 2467/09/04"/>
          <s v="2467/09/05 - 2467/09/11"/>
          <s v="2467/09/12 - 2467/09/18"/>
          <s v="2467/09/19 - 2467/09/25"/>
          <s v="2467/09/26 - 2467/10/02"/>
          <s v="2467/10/03 - 2467/10/09"/>
          <s v="2467/10/10 - 2467/10/16"/>
          <s v="2467/10/17 - 2467/10/23"/>
          <s v="2467/10/24 - 2467/10/30"/>
          <s v="2467/10/31 - 2467/11/06"/>
          <s v="2467/11/07 - 2467/11/13"/>
          <s v="2467/11/14 - 2467/11/20"/>
          <s v="2467/11/21 - 2467/11/27"/>
          <s v="2467/11/28 - 2467/12/04"/>
          <s v="2467/12/05 - 2467/12/11"/>
          <s v="2467/12/12 - 2467/12/18"/>
          <s v="2467/12/19 - 2467/12/25"/>
          <s v="2467/12/26 - 2468/01/01"/>
          <s v="2468/01/02 - 2468/01/08"/>
          <s v="2468/01/09 - 2468/01/15"/>
          <s v="2468/01/16 - 2468/01/22"/>
          <s v="2468/01/23 - 2468/01/29"/>
          <s v="2468/01/30 - 2468/02/05"/>
          <s v="2468/02/06 - 2468/02/12"/>
          <s v="2468/02/13 - 2468/02/19"/>
          <s v="2468/02/20 - 2468/02/26"/>
          <s v="2468/02/27 - 2468/03/04"/>
          <s v="2468/03/05 - 2468/03/11"/>
          <s v="2468/03/12 - 2468/03/18"/>
          <s v="2468/03/19 - 2468/03/25"/>
          <s v="2468/03/26 - 2468/04/01"/>
          <s v="2468/04/02 - 2468/04/08"/>
          <s v="2468/04/09 - 2468/04/15"/>
          <s v="2468/04/16 - 2468/04/22"/>
          <s v="2468/04/23 - 2468/04/29"/>
          <s v="2468/04/30 - 2468/05/06"/>
          <s v="2468/05/07 - 2468/05/13"/>
          <s v="2468/05/14 - 2468/05/20"/>
          <s v="2468/05/21 - 2468/05/27"/>
          <s v="2468/05/28 - 2468/06/03"/>
          <s v="2468/06/04 - 2468/06/10"/>
          <s v="2468/06/11 - 2468/06/17"/>
          <s v="2468/06/18 - 2468/06/24"/>
          <s v="2468/06/25 - 2468/07/01"/>
          <s v="2468/07/02 - 2468/07/08"/>
          <s v="2468/07/09 - 2468/07/15"/>
          <s v="2468/07/16 - 2468/07/22"/>
          <s v="2468/07/23 - 2468/07/29"/>
          <s v="2468/07/30 - 2468/08/05"/>
          <s v="2468/08/06 - 2468/08/12"/>
          <s v="2468/08/13 - 2468/08/19"/>
          <s v="2468/08/20 - 2468/08/26"/>
          <s v="2468/08/27 - 2468/09/02"/>
          <s v="2468/09/03 - 2468/09/09"/>
          <s v="2468/09/10 - 2468/09/16"/>
          <s v="2468/09/17 - 2468/09/23"/>
          <s v="2468/09/24 - 2468/09/30"/>
          <s v="2468/10/01 - 2468/10/07"/>
          <s v="2468/10/08 - 2468/10/14"/>
          <s v="2468/10/15 - 2468/10/21"/>
          <s v="2468/10/22 - 2468/10/28"/>
          <s v="2468/10/29 - 2468/11/04"/>
          <s v="2468/11/05 - 2468/11/11"/>
          <s v="2468/11/12 - 2468/11/18"/>
          <s v="2468/11/19 - 2468/11/25"/>
          <s v="2468/11/26 - 2468/12/02"/>
          <s v="2468/12/03 - 2468/12/09"/>
          <s v="2468/12/10 - 2468/12/16"/>
          <s v="2468/12/17 - 2468/12/23"/>
          <s v="2468/12/24 - 2468/12/30"/>
          <s v="2468/12/31 - 2469/01/06"/>
          <s v="2469/01/07 - 2469/01/13"/>
          <s v="2469/01/14 - 2469/01/20"/>
          <s v="2469/01/21 - 2469/01/27"/>
          <s v="2469/01/28 - 2469/02/03"/>
          <s v="2469/02/04 - 2469/02/10"/>
          <s v="2469/02/11 - 2469/02/17"/>
          <s v="2469/02/18 - 2469/02/24"/>
          <s v="2469/02/25 - 2469/03/03"/>
          <s v="2469/03/04 - 2469/03/10"/>
          <s v="2469/03/11 - 2469/03/17"/>
          <s v="2469/03/18 - 2469/03/24"/>
          <s v="2469/03/25 - 2469/03/31"/>
          <s v="2469/04/01 - 2469/04/07"/>
          <s v="2469/04/08 - 2469/04/14"/>
          <s v="2469/04/15 - 2469/04/21"/>
          <s v="2469/04/22 - 2469/04/28"/>
          <s v="2469/04/29 - 2469/05/05"/>
          <s v="2469/05/06 - 2469/05/12"/>
          <s v="2469/05/13 - 2469/05/19"/>
          <s v="2469/05/20 - 2469/05/26"/>
          <s v="2469/05/27 - 2469/06/02"/>
          <s v="2469/06/03 - 2469/06/09"/>
          <s v="2469/06/10 - 2469/06/16"/>
          <s v="2469/06/17 - 2469/06/23"/>
          <s v="2469/06/24 - 2469/06/30"/>
          <s v="2469/07/01 - 2469/07/07"/>
          <s v="2469/07/08 - 2469/07/14"/>
          <s v="2469/07/15 - 2469/07/21"/>
          <s v="2469/07/22 - 2469/07/28"/>
          <s v="2469/07/29 - 2469/08/04"/>
          <s v="2469/08/05 - 2469/08/11"/>
          <s v="2469/08/12 - 2469/08/18"/>
          <s v="2469/08/19 - 2469/08/25"/>
          <s v="2469/08/26 - 2469/09/01"/>
          <s v="2469/09/02 - 2469/09/08"/>
          <s v="2469/09/09 - 2469/09/15"/>
          <s v="2469/09/16 - 2469/09/22"/>
          <s v="2469/09/23 - 2469/09/29"/>
          <s v="2469/09/30 - 2469/10/06"/>
          <s v="2469/10/07 - 2469/10/13"/>
          <s v="2469/10/14 - 2469/10/20"/>
          <s v="2469/10/21 - 2469/10/27"/>
          <s v="2469/10/28 - 2469/11/03"/>
          <s v="2469/11/04 - 2469/11/10"/>
          <s v="2469/11/11 - 2469/11/17"/>
          <s v="2469/11/18 - 2469/11/24"/>
          <s v="2469/11/25 - 2469/12/01"/>
          <s v="2469/12/02 - 2469/12/08"/>
          <s v="2469/12/09 - 2469/12/15"/>
          <s v="2469/12/16 - 2469/12/22"/>
          <s v="2469/12/23 - 2469/12/29"/>
          <s v="2469/12/30 - 2470/01/05"/>
          <s v="2470/01/06 - 2470/01/12"/>
          <s v="2470/01/13 - 2470/01/19"/>
          <s v="2470/01/20 - 2470/01/26"/>
          <s v="2470/01/27 - 2470/02/02"/>
          <s v="2470/02/03 - 2470/02/09"/>
          <s v="2470/02/10 - 2470/02/16"/>
          <s v="2470/02/17 - 2470/02/23"/>
          <s v="2470/02/24 - 2470/03/02"/>
          <s v="2470/03/03 - 2470/03/09"/>
          <s v="2470/03/10 - 2470/03/16"/>
          <s v="2470/03/17 - 2470/03/23"/>
          <s v="2470/03/24 - 2470/03/30"/>
          <s v="2470/03/31 - 2470/04/06"/>
          <s v="2470/04/07 - 2470/04/13"/>
          <s v="2470/04/14 - 2470/04/20"/>
          <s v="2470/04/21 - 2470/04/27"/>
          <s v="2470/04/28 - 2470/05/04"/>
          <s v="2470/05/05 - 2470/05/11"/>
          <s v="2470/05/12 - 2470/05/18"/>
          <s v="2470/05/19 - 2470/05/25"/>
          <s v="2470/05/26 - 2470/06/01"/>
          <s v="2470/06/02 - 2470/06/08"/>
          <s v="2470/06/09 - 2470/06/15"/>
          <s v="2470/06/16 - 2470/06/22"/>
          <s v="2470/06/23 - 2470/06/29"/>
          <s v="2470/06/30 - 2470/07/06"/>
          <s v="2470/07/07 - 2470/07/13"/>
          <s v="2470/07/14 - 2470/07/20"/>
          <s v="2470/07/21 - 2470/07/27"/>
          <s v="2470/07/28 - 2470/08/03"/>
          <s v="2470/08/04 - 2470/08/10"/>
          <s v="2470/08/11 - 2470/08/17"/>
          <s v="2470/08/18 - 2470/08/24"/>
          <s v="2470/08/25 - 2470/08/31"/>
          <s v="2470/09/01 - 2470/09/07"/>
          <s v="2470/09/08 - 2470/09/14"/>
          <s v="2470/09/15 - 2470/09/21"/>
          <s v="2470/09/22 - 2470/09/28"/>
          <s v="2470/09/29 - 2470/10/05"/>
          <s v="2470/10/06 - 2470/10/12"/>
          <s v="2470/10/13 - 2470/10/19"/>
          <s v="2470/10/20 - 2470/10/26"/>
          <s v="2470/10/27 - 2470/11/02"/>
          <s v="2470/11/03 - 2470/11/09"/>
          <s v="2470/11/10 - 2470/11/16"/>
          <s v="2470/11/17 - 2470/11/23"/>
          <s v="2470/11/24 - 2470/11/30"/>
          <s v="2470/12/01 - 2470/12/07"/>
          <s v="2470/12/08 - 2470/12/14"/>
          <s v="2470/12/15 - 2470/12/21"/>
          <s v="2470/12/22 - 2470/12/28"/>
          <s v="2470/12/29 - 2471/01/04"/>
          <s v="2471/01/05 - 2471/01/11"/>
          <s v="2471/01/12 - 2471/01/18"/>
          <s v="2471/01/19 - 2471/01/25"/>
          <s v="2471/01/26 - 2471/02/01"/>
          <s v="2471/02/02 - 2471/02/08"/>
          <s v="2471/02/09 - 2471/02/15"/>
          <s v="2471/02/16 - 2471/02/22"/>
          <s v="2471/02/23 - 2471/03/01"/>
          <s v="2471/03/02 - 2471/03/08"/>
          <s v="2471/03/09 - 2471/03/15"/>
          <s v="2471/03/16 - 2471/03/22"/>
          <s v="2471/03/23 - 2471/03/29"/>
          <s v="2471/03/30 - 2471/04/05"/>
          <s v="2471/04/06 - 2471/04/12"/>
          <s v="2471/04/13 - 2471/04/19"/>
          <s v="2471/04/20 - 2471/04/26"/>
          <s v="2471/04/27 - 2471/05/03"/>
          <s v="2471/05/04 - 2471/05/10"/>
          <s v="2471/05/11 - 2471/05/17"/>
          <s v="2471/05/18 - 2471/05/24"/>
          <s v="2471/05/25 - 2471/05/31"/>
          <s v="2471/06/01 - 2471/06/07"/>
          <s v="2471/06/08 - 2471/06/14"/>
          <s v="2471/06/15 - 2471/06/21"/>
          <s v="2471/06/22 - 2471/06/28"/>
          <s v="2471/06/29 - 2471/07/05"/>
          <s v="2471/07/06 - 2471/07/12"/>
          <s v="2471/07/13 - 2471/07/19"/>
          <s v="2471/07/20 - 2471/07/26"/>
          <s v="2471/07/27 - 2471/08/02"/>
          <s v="2471/08/03 - 2471/08/09"/>
          <s v="2471/08/10 - 2471/08/16"/>
          <s v="2471/08/17 - 2471/08/23"/>
          <s v="2471/08/24 - 2471/08/30"/>
          <s v="2471/08/31 - 2471/09/06"/>
          <s v="2471/09/07 - 2471/09/13"/>
          <s v="2471/09/14 - 2471/09/20"/>
          <s v="2471/09/21 - 2471/09/27"/>
          <s v="2471/09/28 - 2471/10/04"/>
          <s v="2471/10/05 - 2471/10/11"/>
          <s v="2471/10/12 - 2471/10/18"/>
          <s v="2471/10/19 - 2471/10/25"/>
          <s v="2471/10/26 - 2471/11/01"/>
          <s v="2471/11/02 - 2471/11/08"/>
          <s v="2471/11/09 - 2471/11/15"/>
          <s v="2471/11/16 - 2471/11/22"/>
          <s v="2471/11/23 - 2471/11/29"/>
          <s v="2471/11/30 - 2471/12/06"/>
          <s v="2471/12/07 - 2471/12/13"/>
          <s v="2471/12/14 - 2471/12/20"/>
          <s v="2471/12/21 - 2471/12/27"/>
          <s v="2471/12/28 - 2472/01/03"/>
          <s v="2472/01/04 - 2472/01/10"/>
          <s v="2472/01/11 - 2472/01/17"/>
          <s v="2472/01/18 - 2472/01/24"/>
          <s v="2472/01/25 - 2472/01/31"/>
          <s v="2472/02/01 - 2472/02/07"/>
          <s v="2472/02/08 - 2472/02/14"/>
          <s v="2472/02/15 - 2472/02/21"/>
          <s v="2472/02/22 - 2472/02/28"/>
          <s v="2472/02/29 - 2472/03/06"/>
          <s v="2472/03/07 - 2472/03/13"/>
          <s v="2472/03/14 - 2472/03/20"/>
          <s v="2472/03/21 - 2472/03/27"/>
          <s v="2472/03/28 - 2472/04/03"/>
          <s v="2472/04/04 - 2472/04/10"/>
          <s v="2472/04/11 - 2472/04/17"/>
          <s v="2472/04/18 - 2472/04/24"/>
          <s v="2472/04/25 - 2472/05/01"/>
          <s v="2472/05/02 - 2472/05/08"/>
          <s v="2472/05/09 - 2472/05/15"/>
          <s v="2472/05/16 - 2472/05/22"/>
          <s v="2472/05/23 - 2472/05/29"/>
          <s v="2472/05/30 - 2472/06/05"/>
          <s v="2472/06/06 - 2472/06/12"/>
          <s v="2472/06/13 - 2472/06/19"/>
          <s v="2472/06/20 - 2472/06/26"/>
          <s v="2472/06/27 - 2472/07/03"/>
          <s v="2472/07/04 - 2472/07/10"/>
          <s v="2472/07/11 - 2472/07/17"/>
          <s v="2472/07/18 - 2472/07/24"/>
          <s v="2472/07/25 - 2472/07/31"/>
          <s v="2472/08/01 - 2472/08/07"/>
          <s v="2472/08/08 - 2472/08/14"/>
          <s v="2472/08/15 - 2472/08/21"/>
          <s v="2472/08/22 - 2472/08/28"/>
          <s v="2472/08/29 - 2472/09/04"/>
          <s v="2472/09/05 - 2472/09/11"/>
          <s v="2472/09/12 - 2472/09/18"/>
          <s v="2472/09/19 - 2472/09/25"/>
          <s v="2472/09/26 - 2472/10/02"/>
          <s v="2472/10/03 - 2472/10/09"/>
          <s v="2472/10/10 - 2472/10/16"/>
          <s v="2472/10/17 - 2472/10/23"/>
          <s v="2472/10/24 - 2472/10/30"/>
          <s v="2472/10/31 - 2472/11/06"/>
          <s v="2472/11/07 - 2472/11/13"/>
          <s v="2472/11/14 - 2472/11/20"/>
          <s v="2472/11/21 - 2472/11/27"/>
          <s v="2472/11/28 - 2472/12/04"/>
          <s v="2472/12/05 - 2472/12/11"/>
          <s v="2472/12/12 - 2472/12/18"/>
          <s v="2472/12/19 - 2472/12/25"/>
          <s v="2472/12/26 - 2473/01/01"/>
          <s v="2473/01/02 - 2473/01/08"/>
          <s v="2473/01/09 - 2473/01/15"/>
          <s v="2473/01/16 - 2473/01/22"/>
          <s v="2473/01/23 - 2473/01/29"/>
          <s v="2473/01/30 - 2473/02/05"/>
          <s v="2473/02/06 - 2473/02/12"/>
          <s v="2473/02/13 - 2473/02/19"/>
          <s v="2473/02/20 - 2473/02/26"/>
          <s v="2473/02/27 - 2473/03/05"/>
          <s v="2473/03/06 - 2473/03/12"/>
          <s v="2473/03/13 - 2473/03/19"/>
          <s v="2473/03/20 - 2473/03/26"/>
          <s v="2473/03/27 - 2473/04/02"/>
          <s v="2473/04/03 - 2473/04/09"/>
          <s v="2473/04/10 - 2473/04/16"/>
          <s v="2473/04/17 - 2473/04/23"/>
          <s v="2473/04/24 - 2473/04/30"/>
          <s v="2473/05/01 - 2473/05/07"/>
          <s v="2473/05/08 - 2473/05/14"/>
          <s v="2473/05/15 - 2473/05/21"/>
          <s v="2473/05/22 - 2473/05/28"/>
          <s v="2473/05/29 - 2473/06/04"/>
          <s v="2473/06/05 - 2473/06/11"/>
          <s v="2473/06/12 - 2473/06/18"/>
          <s v="2473/06/19 - 2473/06/25"/>
          <s v="2473/06/26 - 2473/07/02"/>
          <s v="2473/07/03 - 2473/07/09"/>
          <s v="2473/07/10 - 2473/07/16"/>
          <s v="2473/07/17 - 2473/07/23"/>
          <s v="2473/07/24 - 2473/07/30"/>
          <s v="2473/07/31 - 2473/08/06"/>
          <s v="2473/08/07 - 2473/08/13"/>
          <s v="2473/08/14 - 2473/08/20"/>
          <s v="2473/08/21 - 2473/08/27"/>
          <s v="2473/08/28 - 2473/09/03"/>
          <s v="2473/09/04 - 2473/09/10"/>
          <s v="2473/09/11 - 2473/09/17"/>
          <s v="2473/09/18 - 2473/09/24"/>
          <s v="2473/09/25 - 2473/10/01"/>
          <s v="2473/10/02 - 2473/10/08"/>
          <s v="2473/10/09 - 2473/10/15"/>
          <s v="2473/10/16 - 2473/10/22"/>
          <s v="2473/10/23 - 2473/10/29"/>
          <s v="2473/10/30 - 2473/11/05"/>
          <s v="2473/11/06 - 2473/11/12"/>
          <s v="2473/11/13 - 2473/11/19"/>
          <s v="2473/11/20 - 2473/11/26"/>
          <s v="2473/11/27 - 2473/12/03"/>
          <s v="2473/12/04 - 2473/12/10"/>
          <s v="2473/12/11 - 2473/12/17"/>
          <s v="2473/12/18 - 2473/12/24"/>
          <s v="2473/12/25 - 2473/12/31"/>
          <s v="2474/01/01 - 2474/01/07"/>
          <s v="2474/01/08 - 2474/01/14"/>
          <s v="2474/01/15 - 2474/01/21"/>
          <s v="2474/01/22 - 2474/01/28"/>
          <s v="2474/01/29 - 2474/02/04"/>
          <s v="2474/02/05 - 2474/02/11"/>
          <s v="2474/02/12 - 2474/02/18"/>
          <s v="2474/02/19 - 2474/02/25"/>
          <s v="2474/02/26 - 2474/03/04"/>
          <s v="2474/03/05 - 2474/03/11"/>
          <s v="2474/03/12 - 2474/03/18"/>
          <s v="2474/03/19 - 2474/03/25"/>
          <s v="2474/03/26 - 2474/04/01"/>
          <s v="2474/04/02 - 2474/04/08"/>
          <s v="2474/04/09 - 2474/04/15"/>
          <s v="2474/04/16 - 2474/04/22"/>
          <s v="2474/04/23 - 2474/04/29"/>
          <s v="2474/04/30 - 2474/05/06"/>
          <s v="2474/05/07 - 2474/05/13"/>
          <s v="2474/05/14 - 2474/05/20"/>
          <s v="2474/05/21 - 2474/05/27"/>
          <s v="2474/05/28 - 2474/06/03"/>
          <s v="2474/06/04 - 2474/06/10"/>
          <s v="2474/06/11 - 2474/06/17"/>
          <s v="2474/06/18 - 2474/06/24"/>
          <s v="2474/06/25 - 2474/07/01"/>
          <s v="2474/07/02 - 2474/07/08"/>
          <s v="2474/07/09 - 2474/07/15"/>
          <s v="2474/07/16 - 2474/07/22"/>
          <s v="2474/07/23 - 2474/07/29"/>
          <s v="2474/07/30 - 2474/08/05"/>
          <s v="2474/08/06 - 2474/08/12"/>
          <s v="2474/08/13 - 2474/08/19"/>
          <s v="2474/08/20 - 2474/08/26"/>
          <s v="2474/08/27 - 2474/09/02"/>
          <s v="2474/09/03 - 2474/09/09"/>
          <s v="2474/09/10 - 2474/09/16"/>
          <s v="2474/09/17 - 2474/09/23"/>
          <s v="2474/09/24 - 2474/09/30"/>
          <s v="2474/10/01 - 2474/10/07"/>
          <s v="2474/10/08 - 2474/10/14"/>
          <s v="2474/10/15 - 2474/10/21"/>
          <s v="2474/10/22 - 2474/10/28"/>
          <s v="2474/10/29 - 2474/11/04"/>
          <s v="2474/11/05 - 2474/11/11"/>
          <s v="2474/11/12 - 2474/11/18"/>
          <s v="2474/11/19 - 2474/11/25"/>
          <s v="2474/11/26 - 2474/12/02"/>
          <s v="2474/12/03 - 2474/12/09"/>
          <s v="2474/12/10 - 2474/12/16"/>
          <s v="2474/12/17 - 2474/12/23"/>
          <s v="2474/12/24 - 2474/12/30"/>
          <s v="2474/12/31 - 2475/01/06"/>
          <s v="2475/01/07 - 2475/01/13"/>
          <s v="2475/01/14 - 2475/01/20"/>
          <s v="2475/01/21 - 2475/01/27"/>
          <s v="2475/01/28 - 2475/02/03"/>
          <s v="2475/02/04 - 2475/02/10"/>
          <s v="2475/02/11 - 2475/02/17"/>
          <s v="2475/02/18 - 2475/02/24"/>
          <s v="2475/02/25 - 2475/03/03"/>
          <s v="2475/03/04 - 2475/03/10"/>
          <s v="2475/03/11 - 2475/03/17"/>
          <s v="2475/03/18 - 2475/03/24"/>
          <s v="2475/03/25 - 2475/03/31"/>
          <s v="2475/04/01 - 2475/04/07"/>
          <s v="2475/04/08 - 2475/04/14"/>
          <s v="2475/04/15 - 2475/04/21"/>
          <s v="2475/04/22 - 2475/04/28"/>
          <s v="2475/04/29 - 2475/05/05"/>
          <s v="2475/05/06 - 2475/05/12"/>
          <s v="2475/05/13 - 2475/05/19"/>
          <s v="2475/05/20 - 2475/05/26"/>
          <s v="2475/05/27 - 2475/06/02"/>
          <s v="2475/06/03 - 2475/06/09"/>
          <s v="2475/06/10 - 2475/06/16"/>
          <s v="2475/06/17 - 2475/06/23"/>
          <s v="2475/06/24 - 2475/06/30"/>
          <s v="2475/07/01 - 2475/07/07"/>
          <s v="2475/07/08 - 2475/07/14"/>
          <s v="2475/07/15 - 2475/07/21"/>
          <s v="2475/07/22 - 2475/07/28"/>
          <s v="2475/07/29 - 2475/08/04"/>
          <s v="2475/08/05 - 2475/08/11"/>
          <s v="2475/08/12 - 2475/08/18"/>
          <s v="2475/08/19 - 2475/08/25"/>
          <s v="2475/08/26 - 2475/09/01"/>
          <s v="2475/09/02 - 2475/09/08"/>
          <s v="2475/09/09 - 2475/09/15"/>
          <s v="2475/09/16 - 2475/09/22"/>
          <s v="2475/09/23 - 2475/09/29"/>
          <s v="2475/09/30 - 2475/10/06"/>
          <s v="2475/10/07 - 2475/10/13"/>
          <s v="2475/10/14 - 2475/10/20"/>
          <s v="2475/10/21 - 2475/10/27"/>
          <s v="2475/10/28 - 2475/11/03"/>
          <s v="2475/11/04 - 2475/11/10"/>
          <s v="2475/11/11 - 2475/11/17"/>
          <s v="2475/11/18 - 2475/11/24"/>
          <s v="2475/11/25 - 2475/12/01"/>
          <s v="2475/12/02 - 2475/12/08"/>
          <s v="2475/12/09 - 2475/12/15"/>
          <s v="2475/12/16 - 2475/12/22"/>
          <s v="2475/12/23 - 2475/12/29"/>
          <s v="2475/12/30 - 2476/01/05"/>
          <s v="2476/01/06 - 2476/01/12"/>
          <s v="2476/01/13 - 2476/01/19"/>
          <s v="2476/01/20 - 2476/01/26"/>
          <s v="2476/01/27 - 2476/02/02"/>
          <s v="2476/02/03 - 2476/02/09"/>
          <s v="2476/02/10 - 2476/02/16"/>
          <s v="2476/02/17 - 2476/02/23"/>
          <s v="2476/02/24 - 2476/03/01"/>
          <s v="2476/03/02 - 2476/03/08"/>
          <s v="2476/03/09 - 2476/03/15"/>
          <s v="2476/03/16 - 2476/03/22"/>
          <s v="2476/03/23 - 2476/03/29"/>
          <s v="2476/03/30 - 2476/04/05"/>
          <s v="2476/04/06 - 2476/04/12"/>
          <s v="2476/04/13 - 2476/04/19"/>
          <s v="2476/04/20 - 2476/04/26"/>
          <s v="2476/04/27 - 2476/05/03"/>
          <s v="2476/05/04 - 2476/05/10"/>
          <s v="2476/05/11 - 2476/05/17"/>
          <s v="2476/05/18 - 2476/05/24"/>
          <s v="2476/05/25 - 2476/05/31"/>
          <s v="2476/06/01 - 2476/06/07"/>
          <s v="2476/06/08 - 2476/06/14"/>
          <s v="2476/06/15 - 2476/06/21"/>
          <s v="2476/06/22 - 2476/06/28"/>
          <s v="2476/06/29 - 2476/07/05"/>
          <s v="2476/07/06 - 2476/07/12"/>
          <s v="2476/07/13 - 2476/07/19"/>
          <s v="2476/07/20 - 2476/07/26"/>
          <s v="2476/07/27 - 2476/08/02"/>
          <s v="2476/08/03 - 2476/08/09"/>
          <s v="2476/08/10 - 2476/08/16"/>
          <s v="2476/08/17 - 2476/08/23"/>
          <s v="2476/08/24 - 2476/08/30"/>
          <s v="2476/08/31 - 2476/09/06"/>
          <s v="2476/09/07 - 2476/09/13"/>
          <s v="2476/09/14 - 2476/09/20"/>
          <s v="2476/09/21 - 2476/09/27"/>
          <s v="2476/09/28 - 2476/10/04"/>
          <s v="2476/10/05 - 2476/10/11"/>
          <s v="2476/10/12 - 2476/10/18"/>
          <s v="2476/10/19 - 2476/10/25"/>
          <s v="2476/10/26 - 2476/11/01"/>
          <s v="2476/11/02 - 2476/11/08"/>
          <s v="2476/11/09 - 2476/11/15"/>
          <s v="2476/11/16 - 2476/11/22"/>
          <s v="2476/11/23 - 2476/11/29"/>
          <s v="2476/11/30 - 2476/12/06"/>
          <s v="2476/12/07 - 2476/12/13"/>
          <s v="2476/12/14 - 2476/12/20"/>
          <s v="2476/12/21 - 2476/12/27"/>
          <s v="2476/12/28 - 2477/01/03"/>
          <s v="2477/01/04 - 2477/01/10"/>
          <s v="2477/01/11 - 2477/01/17"/>
          <s v="2477/01/18 - 2477/01/24"/>
          <s v="2477/01/25 - 2477/01/31"/>
          <s v="2477/02/01 - 2477/02/07"/>
          <s v="2477/02/08 - 2477/02/14"/>
          <s v="2477/02/15 - 2477/02/21"/>
          <s v="2477/02/22 - 2477/02/28"/>
          <s v="2477/03/01 - 2477/03/07"/>
          <s v="2477/03/08 - 2477/03/14"/>
          <s v="2477/03/15 - 2477/03/21"/>
          <s v="2477/03/22 - 2477/03/28"/>
          <s v="2477/03/29 - 2477/04/04"/>
          <s v="2477/04/05 - 2477/04/11"/>
          <s v="2477/04/12 - 2477/04/18"/>
          <s v="2477/04/19 - 2477/04/25"/>
          <s v="2477/04/26 - 2477/05/02"/>
          <s v="2477/05/03 - 2477/05/09"/>
          <s v="2477/05/10 - 2477/05/16"/>
          <s v="2477/05/17 - 2477/05/23"/>
          <s v="2477/05/24 - 2477/05/30"/>
          <s v="2477/05/31 - 2477/06/06"/>
          <s v="2477/06/07 - 2477/06/13"/>
          <s v="2477/06/14 - 2477/06/20"/>
          <s v="2477/06/21 - 2477/06/27"/>
          <s v="2477/06/28 - 2477/07/04"/>
          <s v="2477/07/05 - 2477/07/11"/>
          <s v="2477/07/12 - 2477/07/18"/>
          <s v="2477/07/19 - 2477/07/25"/>
          <s v="2477/07/26 - 2477/08/01"/>
          <s v="2477/08/02 - 2477/08/08"/>
          <s v="2477/08/09 - 2477/08/15"/>
          <s v="2477/08/16 - 2477/08/22"/>
          <s v="2477/08/23 - 2477/08/29"/>
          <s v="2477/08/30 - 2477/09/05"/>
          <s v="2477/09/06 - 2477/09/12"/>
          <s v="2477/09/13 - 2477/09/19"/>
          <s v="2477/09/20 - 2477/09/26"/>
          <s v="2477/09/27 - 2477/10/03"/>
          <s v="2477/10/04 - 2477/10/10"/>
          <s v="2477/10/11 - 2477/10/17"/>
          <s v="2477/10/18 - 2477/10/24"/>
          <s v="2477/10/25 - 2477/10/31"/>
          <s v="2477/11/01 - 2477/11/07"/>
          <s v="2477/11/08 - 2477/11/14"/>
          <s v="2477/11/15 - 2477/11/21"/>
          <s v="2477/11/22 - 2477/11/28"/>
          <s v="2477/11/29 - 2477/12/05"/>
          <s v="2477/12/06 - 2477/12/12"/>
          <s v="2477/12/13 - 2477/12/19"/>
          <s v="2477/12/20 - 2477/12/26"/>
          <s v="2477/12/27 - 2478/01/02"/>
          <s v="2478/01/03 - 2478/01/09"/>
          <s v="2478/01/10 - 2478/01/16"/>
          <s v="2478/01/17 - 2478/01/23"/>
          <s v="2478/01/24 - 2478/01/30"/>
          <s v="2478/01/31 - 2478/02/06"/>
          <s v="2478/02/07 - 2478/02/13"/>
          <s v="2478/02/14 - 2478/02/20"/>
          <s v="2478/02/21 - 2478/02/27"/>
          <s v="2478/02/28 - 2478/03/06"/>
          <s v="2478/03/07 - 2478/03/13"/>
          <s v="2478/03/14 - 2478/03/20"/>
          <s v="2478/03/21 - 2478/03/27"/>
          <s v="2478/03/28 - 2478/04/03"/>
          <s v="2478/04/04 - 2478/04/10"/>
          <s v="2478/04/11 - 2478/04/17"/>
          <s v="2478/04/18 - 2478/04/24"/>
          <s v="2478/04/25 - 2478/05/01"/>
          <s v="2478/05/02 - 2478/05/08"/>
          <s v="2478/05/09 - 2478/05/15"/>
          <s v="2478/05/16 - 2478/05/22"/>
          <s v="2478/05/23 - 2478/05/29"/>
          <s v="2478/05/30 - 2478/06/05"/>
          <s v="2478/06/06 - 2478/06/12"/>
          <s v="2478/06/13 - 2478/06/19"/>
          <s v="2478/06/20 - 2478/06/26"/>
          <s v="2478/06/27 - 2478/07/03"/>
          <s v="2478/07/04 - 2478/07/10"/>
          <s v="2478/07/11 - 2478/07/17"/>
          <s v="2478/07/18 - 2478/07/24"/>
          <s v="2478/07/25 - 2478/07/31"/>
          <s v="2478/08/01 - 2478/08/07"/>
          <s v="2478/08/08 - 2478/08/14"/>
          <s v="2478/08/15 - 2478/08/21"/>
          <s v="2478/08/22 - 2478/08/28"/>
          <s v="2478/08/29 - 2478/09/04"/>
          <s v="2478/09/05 - 2478/09/11"/>
          <s v="2478/09/12 - 2478/09/18"/>
          <s v="2478/09/19 - 2478/09/25"/>
          <s v="2478/09/26 - 2478/10/02"/>
          <s v="2478/10/03 - 2478/10/09"/>
          <s v="2478/10/10 - 2478/10/16"/>
          <s v="2478/10/17 - 2478/10/23"/>
          <s v="2478/10/24 - 2478/10/30"/>
          <s v="2478/10/31 - 2478/11/06"/>
          <s v="2478/11/07 - 2478/11/13"/>
          <s v="2478/11/14 - 2478/11/20"/>
          <s v="2478/11/21 - 2478/11/27"/>
          <s v="2478/11/28 - 2478/12/04"/>
          <s v="2478/12/05 - 2478/12/11"/>
          <s v="2478/12/12 - 2478/12/18"/>
          <s v="2478/12/19 - 2478/12/25"/>
          <s v="2478/12/26 - 2479/01/01"/>
          <s v="2479/01/02 - 2479/01/08"/>
          <s v="2479/01/09 - 2479/01/15"/>
          <s v="2479/01/16 - 2479/01/22"/>
          <s v="2479/01/23 - 2479/01/29"/>
          <s v="2479/01/30 - 2479/02/05"/>
          <s v="2479/02/06 - 2479/02/12"/>
          <s v="2479/02/13 - 2479/02/19"/>
          <s v="2479/02/20 - 2479/02/26"/>
          <s v="2479/02/27 - 2479/03/05"/>
          <s v="2479/03/06 - 2479/03/12"/>
          <s v="2479/03/13 - 2479/03/19"/>
          <s v="2479/03/20 - 2479/03/26"/>
          <s v="2479/03/27 - 2479/04/02"/>
          <s v="2479/04/03 - 2479/04/09"/>
          <s v="2479/04/10 - 2479/04/16"/>
          <s v="2479/04/17 - 2479/04/23"/>
          <s v="2479/04/24 - 2479/04/30"/>
          <s v="2479/05/01 - 2479/05/07"/>
          <s v="2479/05/08 - 2479/05/14"/>
          <s v="2479/05/15 - 2479/05/21"/>
          <s v="2479/05/22 - 2479/05/28"/>
          <s v="2479/05/29 - 2479/06/04"/>
          <s v="2479/06/05 - 2479/06/11"/>
          <s v="2479/06/12 - 2479/06/18"/>
          <s v="2479/06/19 - 2479/06/25"/>
          <s v="2479/06/26 - 2479/07/02"/>
          <s v="2479/07/03 - 2479/07/09"/>
          <s v="2479/07/10 - 2479/07/16"/>
          <s v="2479/07/17 - 2479/07/23"/>
          <s v="2479/07/24 - 2479/07/30"/>
          <s v="2479/07/31 - 2479/08/06"/>
          <s v="2479/08/07 - 2479/08/13"/>
          <s v="2479/08/14 - 2479/08/20"/>
          <s v="2479/08/21 - 2479/08/27"/>
          <s v="2479/08/28 - 2479/09/03"/>
          <s v="2479/09/04 - 2479/09/10"/>
          <s v="2479/09/11 - 2479/09/17"/>
          <s v="2479/09/18 - 2479/09/24"/>
          <s v="2479/09/25 - 2479/10/01"/>
          <s v="2479/10/02 - 2479/10/08"/>
          <s v="2479/10/09 - 2479/10/15"/>
          <s v="2479/10/16 - 2479/10/22"/>
          <s v="2479/10/23 - 2479/10/29"/>
          <s v="2479/10/30 - 2479/11/05"/>
          <s v="2479/11/06 - 2479/11/12"/>
          <s v="2479/11/13 - 2479/11/19"/>
          <s v="2479/11/20 - 2479/11/26"/>
          <s v="2479/11/27 - 2479/12/03"/>
          <s v="2479/12/04 - 2479/12/10"/>
          <s v="2479/12/11 - 2479/12/17"/>
          <s v="2479/12/18 - 2479/12/24"/>
          <s v="2479/12/25 - 2479/12/31"/>
          <s v="2480/01/01 - 2480/01/07"/>
          <s v="2480/01/08 - 2480/01/14"/>
          <s v="2480/01/15 - 2480/01/21"/>
          <s v="2480/01/22 - 2480/01/28"/>
          <s v="2480/01/29 - 2480/02/04"/>
          <s v="2480/02/05 - 2480/02/11"/>
          <s v="2480/02/12 - 2480/02/18"/>
          <s v="2480/02/19 - 2480/02/25"/>
          <s v="2480/02/26 - 2480/03/03"/>
          <s v="2480/03/04 - 2480/03/10"/>
          <s v="2480/03/11 - 2480/03/17"/>
          <s v="2480/03/18 - 2480/03/24"/>
          <s v="2480/03/25 - 2480/03/31"/>
          <s v="2480/04/01 - 2480/04/07"/>
          <s v="2480/04/08 - 2480/04/14"/>
          <s v="2480/04/15 - 2480/04/21"/>
          <s v="2480/04/22 - 2480/04/28"/>
          <s v="2480/04/29 - 2480/05/05"/>
          <s v="2480/05/06 - 2480/05/12"/>
          <s v="2480/05/13 - 2480/05/19"/>
          <s v="2480/05/20 - 2480/05/26"/>
          <s v="2480/05/27 - 2480/06/02"/>
          <s v="2480/06/03 - 2480/06/09"/>
          <s v="2480/06/10 - 2480/06/16"/>
          <s v="2480/06/17 - 2480/06/23"/>
          <s v="2480/06/24 - 2480/06/30"/>
          <s v="2480/07/01 - 2480/07/07"/>
          <s v="2480/07/08 - 2480/07/14"/>
          <s v="2480/07/15 - 2480/07/21"/>
          <s v="2480/07/22 - 2480/07/28"/>
          <s v="2480/07/29 - 2480/08/04"/>
          <s v="2480/08/05 - 2480/08/11"/>
          <s v="2480/08/12 - 2480/08/18"/>
          <s v="2480/08/19 - 2480/08/25"/>
          <s v="2480/08/26 - 2480/09/01"/>
          <s v="2480/09/02 - 2480/09/08"/>
          <s v="2480/09/09 - 2480/09/15"/>
          <s v="2480/09/16 - 2480/09/22"/>
          <s v="2480/09/23 - 2480/09/29"/>
          <s v="2480/09/30 - 2480/10/06"/>
          <s v="2480/10/07 - 2480/10/13"/>
          <s v="2480/10/14 - 2480/10/20"/>
          <s v="2480/10/21 - 2480/10/27"/>
          <s v="2480/10/28 - 2480/11/03"/>
          <s v="2480/11/04 - 2480/11/10"/>
          <s v="2480/11/11 - 2480/11/17"/>
          <s v="2480/11/18 - 2480/11/24"/>
          <s v="2480/11/25 - 2480/12/01"/>
          <s v="2480/12/02 - 2480/12/08"/>
          <s v="2480/12/09 - 2480/12/15"/>
          <s v="2480/12/16 - 2480/12/22"/>
          <s v="2480/12/23 - 2480/12/29"/>
          <s v="2480/12/30 - 2481/01/05"/>
          <s v="2481/01/06 - 2481/01/12"/>
          <s v="2481/01/13 - 2481/01/19"/>
          <s v="2481/01/20 - 2481/01/26"/>
          <s v="2481/01/27 - 2481/02/02"/>
          <s v="2481/02/03 - 2481/02/09"/>
          <s v="2481/02/10 - 2481/02/16"/>
          <s v="2481/02/17 - 2481/02/23"/>
          <s v="2481/02/24 - 2481/03/02"/>
          <s v="2481/03/03 - 2481/03/09"/>
          <s v="2481/03/10 - 2481/03/16"/>
          <s v="2481/03/17 - 2481/03/23"/>
          <s v="2481/03/24 - 2481/03/30"/>
          <s v="2481/03/31 - 2481/04/06"/>
          <s v="2481/04/07 - 2481/04/13"/>
          <s v="2481/04/14 - 2481/04/20"/>
          <s v="2481/04/21 - 2481/04/27"/>
          <s v="2481/04/28 - 2481/05/04"/>
          <s v="2481/05/05 - 2481/05/11"/>
          <s v="2481/05/12 - 2481/05/18"/>
          <s v="2481/05/19 - 2481/05/25"/>
          <s v="2481/05/26 - 2481/06/01"/>
          <s v="2481/06/02 - 2481/06/08"/>
          <s v="2481/06/09 - 2481/06/15"/>
          <s v="2481/06/16 - 2481/06/22"/>
          <s v="2481/06/23 - 2481/06/29"/>
          <s v="2481/06/30 - 2481/07/06"/>
          <s v="2481/07/07 - 2481/07/13"/>
          <s v="2481/07/14 - 2481/07/20"/>
          <s v="2481/07/21 - 2481/07/27"/>
          <s v="2481/07/28 - 2481/08/03"/>
          <s v="2481/08/04 - 2481/08/10"/>
          <s v="2481/08/11 - 2481/08/17"/>
          <s v="2481/08/18 - 2481/08/24"/>
          <s v="2481/08/25 - 2481/08/31"/>
          <s v="2481/09/01 - 2481/09/07"/>
          <s v="2481/09/08 - 2481/09/14"/>
          <s v="2481/09/15 - 2481/09/21"/>
          <s v="2481/09/22 - 2481/09/28"/>
          <s v="2481/09/29 - 2481/10/05"/>
          <s v="2481/10/06 - 2481/10/12"/>
          <s v="2481/10/13 - 2481/10/19"/>
          <s v="2481/10/20 - 2481/10/26"/>
          <s v="2481/10/27 - 2481/11/02"/>
          <s v="2481/11/03 - 2481/11/09"/>
          <s v="2481/11/10 - 2481/11/16"/>
          <s v="2481/11/17 - 2481/11/23"/>
          <s v="2481/11/24 - 2481/11/30"/>
          <s v="2481/12/01 - 2481/12/07"/>
          <s v="2481/12/08 - 2481/12/14"/>
          <s v="2481/12/15 - 2481/12/21"/>
          <s v="2481/12/22 - 2481/12/28"/>
          <s v="2481/12/29 - 2482/01/04"/>
          <s v="2482/01/05 - 2482/01/11"/>
          <s v="2482/01/12 - 2482/01/18"/>
          <s v="2482/01/19 - 2482/01/25"/>
          <s v="2482/01/26 - 2482/02/01"/>
          <s v="2482/02/02 - 2482/02/08"/>
          <s v="2482/02/09 - 2482/02/15"/>
          <s v="2482/02/16 - 2482/02/22"/>
          <s v="2482/02/23 - 2482/03/01"/>
          <s v="2482/03/02 - 2482/03/08"/>
          <s v="2482/03/09 - 2482/03/15"/>
          <s v="2482/03/16 - 2482/03/22"/>
          <s v="2482/03/23 - 2482/03/29"/>
          <s v="2482/03/30 - 2482/04/05"/>
          <s v="2482/04/06 - 2482/04/12"/>
          <s v="2482/04/13 - 2482/04/19"/>
          <s v="2482/04/20 - 2482/04/26"/>
          <s v="2482/04/27 - 2482/05/03"/>
          <s v="2482/05/04 - 2482/05/10"/>
          <s v="2482/05/11 - 2482/05/17"/>
          <s v="2482/05/18 - 2482/05/24"/>
          <s v="2482/05/25 - 2482/05/31"/>
          <s v="2482/06/01 - 2482/06/07"/>
          <s v="2482/06/08 - 2482/06/14"/>
          <s v="2482/06/15 - 2482/06/21"/>
          <s v="2482/06/22 - 2482/06/28"/>
          <s v="2482/06/29 - 2482/07/05"/>
          <s v="2482/07/06 - 2482/07/12"/>
          <s v="2482/07/13 - 2482/07/19"/>
          <s v="2482/07/20 - 2482/07/26"/>
          <s v="2482/07/27 - 2482/08/02"/>
          <s v="2482/08/03 - 2482/08/09"/>
          <s v="2482/08/10 - 2482/08/16"/>
          <s v="2482/08/17 - 2482/08/23"/>
          <s v="2482/08/24 - 2482/08/30"/>
          <s v="2482/08/31 - 2482/09/06"/>
          <s v="2482/09/07 - 2482/09/13"/>
          <s v="2482/09/14 - 2482/09/20"/>
          <s v="2482/09/21 - 2482/09/27"/>
          <s v="2482/09/28 - 2482/10/04"/>
          <s v="2482/10/05 - 2482/10/11"/>
          <s v="2482/10/12 - 2482/10/18"/>
          <s v="2482/10/19 - 2482/10/25"/>
          <s v="2482/10/26 - 2482/11/01"/>
          <s v="2482/11/02 - 2482/11/08"/>
          <s v="2482/11/09 - 2482/11/15"/>
          <s v="2482/11/16 - 2482/11/22"/>
          <s v="2482/11/23 - 2482/11/29"/>
          <s v="2482/11/30 - 2482/12/06"/>
          <s v="2482/12/07 - 2482/12/13"/>
          <s v="2482/12/14 - 2482/12/20"/>
          <s v="2482/12/21 - 2482/12/27"/>
          <s v="2482/12/28 - 2483/01/03"/>
          <s v="2483/01/04 - 2483/01/10"/>
          <s v="2483/01/11 - 2483/01/17"/>
          <s v="2483/01/18 - 2483/01/24"/>
          <s v="2483/01/25 - 2483/01/31"/>
          <s v="2483/02/01 - 2483/02/07"/>
          <s v="2483/02/08 - 2483/02/14"/>
          <s v="2483/02/15 - 2483/02/21"/>
          <s v="2483/02/22 - 2483/02/28"/>
          <s v="2483/03/01 - 2483/03/07"/>
          <s v="2483/03/08 - 2483/03/14"/>
          <s v="2483/03/15 - 2483/03/21"/>
          <s v="2483/03/22 - 2483/03/28"/>
          <s v="2483/03/29 - 2483/04/04"/>
          <s v="2483/04/05 - 2483/04/11"/>
          <s v="2483/04/12 - 2483/04/18"/>
          <s v="2483/04/19 - 2483/04/25"/>
          <s v="2483/04/26 - 2483/05/02"/>
          <s v="2483/05/03 - 2483/05/09"/>
          <s v="2483/05/10 - 2483/05/16"/>
          <s v="2483/05/17 - 2483/05/23"/>
          <s v="2483/05/24 - 2483/05/30"/>
          <s v="2483/05/31 - 2483/06/06"/>
          <s v="2483/06/07 - 2483/06/13"/>
          <s v="2483/06/14 - 2483/06/20"/>
          <s v="2483/06/21 - 2483/06/27"/>
          <s v="2483/06/28 - 2483/07/04"/>
          <s v="2483/07/05 - 2483/07/11"/>
          <s v="2483/07/12 - 2483/07/18"/>
          <s v="2483/07/19 - 2483/07/25"/>
          <s v="2483/07/26 - 2483/08/01"/>
          <s v="2483/08/02 - 2483/08/08"/>
          <s v="2483/08/09 - 2483/08/15"/>
          <s v="2483/08/16 - 2483/08/22"/>
          <s v="2483/08/23 - 2483/08/29"/>
          <s v="2483/08/30 - 2483/09/05"/>
          <s v="2483/09/06 - 2483/09/12"/>
          <s v="2483/09/13 - 2483/09/19"/>
          <s v="2483/09/20 - 2483/09/26"/>
          <s v="2483/09/27 - 2483/10/03"/>
          <s v="2483/10/04 - 2483/10/10"/>
          <s v="2483/10/11 - 2483/10/17"/>
          <s v="2483/10/18 - 2483/10/24"/>
          <s v="2483/10/25 - 2483/10/31"/>
          <s v="2483/11/01 - 2483/11/07"/>
          <s v="2483/11/08 - 2483/11/14"/>
          <s v="2483/11/15 - 2483/11/21"/>
          <s v="2483/11/22 - 2483/11/28"/>
          <s v="2483/11/29 - 2483/12/05"/>
          <s v="2483/12/06 - 2483/12/12"/>
          <s v="2483/12/13 - 2483/12/19"/>
          <s v="2483/12/20 - 2483/12/26"/>
          <s v="2483/12/27 - 2484/01/02"/>
          <s v="2484/01/03 - 2484/01/09"/>
          <s v="2484/01/10 - 2484/01/16"/>
          <s v="2484/01/17 - 2484/01/23"/>
          <s v="2484/01/24 - 2484/01/30"/>
          <s v="2484/01/31 - 2484/02/06"/>
          <s v="2484/02/07 - 2484/02/13"/>
          <s v="2484/02/14 - 2484/02/20"/>
          <s v="2484/02/21 - 2484/02/27"/>
          <s v="2484/02/28 - 2484/03/05"/>
          <s v="2484/03/06 - 2484/03/12"/>
          <s v="2484/03/13 - 2484/03/19"/>
          <s v="2484/03/20 - 2484/03/26"/>
          <s v="2484/03/27 - 2484/04/02"/>
          <s v="2484/04/03 - 2484/04/09"/>
          <s v="2484/04/10 - 2484/04/16"/>
          <s v="2484/04/17 - 2484/04/23"/>
          <s v="2484/04/24 - 2484/04/30"/>
          <s v="2484/05/01 - 2484/05/07"/>
          <s v="2484/05/08 - 2484/05/14"/>
          <s v="2484/05/15 - 2484/05/21"/>
          <s v="2484/05/22 - 2484/05/28"/>
          <s v="2484/05/29 - 2484/06/04"/>
          <s v="2484/06/05 - 2484/06/11"/>
          <s v="2484/06/12 - 2484/06/18"/>
          <s v="2484/06/19 - 2484/06/25"/>
          <s v="2484/06/26 - 2484/07/02"/>
          <s v="2484/07/03 - 2484/07/09"/>
          <s v="2484/07/10 - 2484/07/16"/>
          <s v="2484/07/17 - 2484/07/23"/>
          <s v="2484/07/24 - 2484/07/30"/>
          <s v="2484/07/31 - 2484/08/06"/>
          <s v="2484/08/07 - 2484/08/13"/>
          <s v="2484/08/14 - 2484/08/20"/>
          <s v="2484/08/21 - 2484/08/27"/>
          <s v="2484/08/28 - 2484/09/03"/>
          <s v="2484/09/04 - 2484/09/10"/>
          <s v="2484/09/11 - 2484/09/17"/>
          <s v="2484/09/18 - 2484/09/24"/>
          <s v="2484/09/25 - 2484/10/01"/>
          <s v="2484/10/02 - 2484/10/08"/>
          <s v="2484/10/09 - 2484/10/15"/>
          <s v="2484/10/16 - 2484/10/22"/>
          <s v="2484/10/23 - 2484/10/29"/>
          <s v="2484/10/30 - 2484/11/05"/>
          <s v="2484/11/06 - 2484/11/12"/>
          <s v="2484/11/13 - 2484/11/19"/>
          <s v="2484/11/20 - 2484/11/26"/>
          <s v="2484/11/27 - 2484/12/03"/>
          <s v="2484/12/04 - 2484/12/10"/>
          <s v="2484/12/11 - 2484/12/17"/>
          <s v="2484/12/18 - 2484/12/24"/>
          <s v="2484/12/25 - 2484/12/31"/>
          <s v="2485/01/01 - 2485/01/07"/>
          <s v="2485/01/08 - 2485/01/14"/>
          <s v="2485/01/15 - 2485/01/21"/>
          <s v="2485/01/22 - 2485/01/28"/>
          <s v="2485/01/29 - 2485/02/04"/>
          <s v="2485/02/05 - 2485/02/11"/>
          <s v="2485/02/12 - 2485/02/18"/>
          <s v="2485/02/19 - 2485/02/25"/>
          <s v="2485/02/26 - 2485/03/04"/>
          <s v="2485/03/05 - 2485/03/11"/>
          <s v="2485/03/12 - 2485/03/18"/>
          <s v="2485/03/19 - 2485/03/25"/>
          <s v="2485/03/26 - 2485/04/01"/>
          <s v="2485/04/02 - 2485/04/08"/>
          <s v="2485/04/09 - 2485/04/15"/>
          <s v="2485/04/16 - 2485/04/22"/>
          <s v="2485/04/23 - 2485/04/29"/>
          <s v="2485/04/30 - 2485/05/06"/>
          <s v="2485/05/07 - 2485/05/13"/>
          <s v="2485/05/14 - 2485/05/20"/>
          <s v="2485/05/21 - 2485/05/27"/>
          <s v="2485/05/28 - 2485/06/03"/>
          <s v="2485/06/04 - 2485/06/10"/>
          <s v="2485/06/11 - 2485/06/17"/>
          <s v="2485/06/18 - 2485/06/24"/>
          <s v="2485/06/25 - 2485/07/01"/>
          <s v="2485/07/02 - 2485/07/08"/>
          <s v="2485/07/09 - 2485/07/15"/>
          <s v="2485/07/16 - 2485/07/22"/>
          <s v="2485/07/23 - 2485/07/29"/>
          <s v="2485/07/30 - 2485/08/05"/>
          <s v="2485/08/06 - 2485/08/12"/>
          <s v="2485/08/13 - 2485/08/19"/>
          <s v="2485/08/20 - 2485/08/26"/>
          <s v="2485/08/27 - 2485/09/02"/>
          <s v="2485/09/03 - 2485/09/09"/>
          <s v="2485/09/10 - 2485/09/16"/>
          <s v="2485/09/17 - 2485/09/23"/>
          <s v="2485/09/24 - 2485/09/30"/>
          <s v="2485/10/01 - 2485/10/07"/>
          <s v="2485/10/08 - 2485/10/14"/>
          <s v="2485/10/15 - 2485/10/21"/>
          <s v="2485/10/22 - 2485/10/28"/>
          <s v="2485/10/29 - 2485/11/04"/>
          <s v="2485/11/05 - 2485/11/11"/>
          <s v="2485/11/12 - 2485/11/18"/>
          <s v="2485/11/19 - 2485/11/25"/>
          <s v="2485/11/26 - 2485/12/02"/>
          <s v="2485/12/03 - 2485/12/09"/>
          <s v="2485/12/10 - 2485/12/16"/>
          <s v="2485/12/17 - 2485/12/23"/>
          <s v="2485/12/24 - 2485/12/30"/>
          <s v="2485/12/31 - 2486/01/06"/>
          <s v="2486/01/07 - 2486/01/13"/>
          <s v="2486/01/14 - 2486/01/20"/>
          <s v="2486/01/21 - 2486/01/27"/>
          <s v="2486/01/28 - 2486/02/03"/>
          <s v="2486/02/04 - 2486/02/10"/>
          <s v="2486/02/11 - 2486/02/17"/>
          <s v="2486/02/18 - 2486/02/24"/>
          <s v="2486/02/25 - 2486/03/03"/>
          <s v="2486/03/04 - 2486/03/10"/>
          <s v="2486/03/11 - 2486/03/17"/>
          <s v="2486/03/18 - 2486/03/24"/>
          <s v="2486/03/25 - 2486/03/31"/>
          <s v="2486/04/01 - 2486/04/07"/>
          <s v="2486/04/08 - 2486/04/14"/>
          <s v="2486/04/15 - 2486/04/21"/>
          <s v="2486/04/22 - 2486/04/28"/>
          <s v="2486/04/29 - 2486/05/05"/>
          <s v="2486/05/06 - 2486/05/12"/>
          <s v="2486/05/13 - 2486/05/19"/>
          <s v="2486/05/20 - 2486/05/26"/>
          <s v="2486/05/27 - 2486/06/02"/>
          <s v="2486/06/03 - 2486/06/09"/>
          <s v="2486/06/10 - 2486/06/16"/>
          <s v="2486/06/17 - 2486/06/23"/>
          <s v="2486/06/24 - 2486/06/30"/>
          <s v="2486/07/01 - 2486/07/07"/>
          <s v="2486/07/08 - 2486/07/14"/>
          <s v="2486/07/15 - 2486/07/21"/>
          <s v="2486/07/22 - 2486/07/28"/>
          <s v="2486/07/29 - 2486/08/04"/>
          <s v="2486/08/05 - 2486/08/11"/>
          <s v="2486/08/12 - 2486/08/18"/>
          <s v="2486/08/19 - 2486/08/25"/>
          <s v="2486/08/26 - 2486/09/01"/>
          <s v="2486/09/02 - 2486/09/08"/>
          <s v="2486/09/09 - 2486/09/15"/>
          <s v="2486/09/16 - 2486/09/22"/>
          <s v="2486/09/23 - 2486/09/29"/>
          <s v="2486/09/30 - 2486/10/06"/>
          <s v="2486/10/07 - 2486/10/13"/>
          <s v="2486/10/14 - 2486/10/20"/>
          <s v="2486/10/21 - 2486/10/27"/>
          <s v="2486/10/28 - 2486/11/03"/>
          <s v="2486/11/04 - 2486/11/10"/>
          <s v="2486/11/11 - 2486/11/17"/>
          <s v="2486/11/18 - 2486/11/24"/>
          <s v="2486/11/25 - 2486/12/01"/>
          <s v="2486/12/02 - 2486/12/08"/>
          <s v="2486/12/09 - 2486/12/15"/>
          <s v="2486/12/16 - 2486/12/22"/>
          <s v="2486/12/23 - 2486/12/29"/>
          <s v="2486/12/30 - 2487/01/05"/>
          <s v="2487/01/06 - 2487/01/12"/>
          <s v="2487/01/13 - 2487/01/19"/>
          <s v="2487/01/20 - 2487/01/26"/>
          <s v="2487/01/27 - 2487/02/02"/>
          <s v="2487/02/03 - 2487/02/09"/>
          <s v="2487/02/10 - 2487/02/16"/>
          <s v="2487/02/17 - 2487/02/23"/>
          <s v="2487/02/24 - 2487/03/02"/>
          <s v="2487/03/03 - 2487/03/09"/>
          <s v="2487/03/10 - 2487/03/16"/>
          <s v="2487/03/17 - 2487/03/23"/>
          <s v="2487/03/24 - 2487/03/30"/>
          <s v="2487/03/31 - 2487/04/06"/>
          <s v="2487/04/07 - 2487/04/13"/>
          <s v="2487/04/14 - 2487/04/20"/>
          <s v="2487/04/21 - 2487/04/27"/>
          <s v="2487/04/28 - 2487/05/04"/>
          <s v="2487/05/05 - 2487/05/11"/>
          <s v="2487/05/12 - 2487/05/18"/>
          <s v="2487/05/19 - 2487/05/25"/>
          <s v="2487/05/26 - 2487/06/01"/>
          <s v="2487/06/02 - 2487/06/08"/>
          <s v="2487/06/09 - 2487/06/15"/>
          <s v="2487/06/16 - 2487/06/22"/>
          <s v="2487/06/23 - 2487/06/29"/>
          <s v="2487/06/30 - 2487/07/06"/>
          <s v="2487/07/07 - 2487/07/13"/>
          <s v="2487/07/14 - 2487/07/20"/>
          <s v="2487/07/21 - 2487/07/27"/>
          <s v="2487/07/28 - 2487/08/03"/>
          <s v="2487/08/04 - 2487/08/10"/>
          <s v="2487/08/11 - 2487/08/17"/>
          <s v="2487/08/18 - 2487/08/24"/>
          <s v="2487/08/25 - 2487/08/31"/>
          <s v="2487/09/01 - 2487/09/07"/>
          <s v="2487/09/08 - 2487/09/14"/>
          <s v="2487/09/15 - 2487/09/21"/>
          <s v="2487/09/22 - 2487/09/28"/>
          <s v="2487/09/29 - 2487/10/05"/>
          <s v="2487/10/06 - 2487/10/12"/>
          <s v="2487/10/13 - 2487/10/19"/>
          <s v="2487/10/20 - 2487/10/26"/>
          <s v="2487/10/27 - 2487/11/02"/>
          <s v="2487/11/03 - 2487/11/09"/>
          <s v="2487/11/10 - 2487/11/16"/>
          <s v="2487/11/17 - 2487/11/23"/>
          <s v="2487/11/24 - 2487/11/30"/>
          <s v="2487/12/01 - 2487/12/07"/>
          <s v="2487/12/08 - 2487/12/14"/>
          <s v="2487/12/15 - 2487/12/21"/>
          <s v="2487/12/22 - 2487/12/28"/>
          <s v="2487/12/29 - 2488/01/04"/>
          <s v="2488/01/05 - 2488/01/11"/>
          <s v="2488/01/12 - 2488/01/18"/>
          <s v="2488/01/19 - 2488/01/25"/>
          <s v="2488/01/26 - 2488/02/01"/>
          <s v="2488/02/02 - 2488/02/08"/>
          <s v="2488/02/09 - 2488/02/15"/>
          <s v="2488/02/16 - 2488/02/22"/>
          <s v="2488/02/23 - 2488/02/29"/>
          <s v="2488/03/01 - 2488/03/07"/>
          <s v="2488/03/08 - 2488/03/14"/>
          <s v="2488/03/15 - 2488/03/21"/>
          <s v="2488/03/22 - 2488/03/28"/>
          <s v="2488/03/29 - 2488/04/04"/>
          <s v="2488/04/05 - 2488/04/11"/>
          <s v="2488/04/12 - 2488/04/18"/>
          <s v="2488/04/19 - 2488/04/25"/>
          <s v="2488/04/26 - 2488/05/02"/>
          <s v="2488/05/03 - 2488/05/09"/>
          <s v="2488/05/10 - 2488/05/16"/>
          <s v="2488/05/17 - 2488/05/23"/>
          <s v="2488/05/24 - 2488/05/30"/>
          <s v="2488/05/31 - 2488/06/06"/>
          <s v="2488/06/07 - 2488/06/13"/>
          <s v="2488/06/14 - 2488/06/20"/>
          <s v="2488/06/21 - 2488/06/27"/>
          <s v="2488/06/28 - 2488/07/04"/>
          <s v="2488/07/05 - 2488/07/11"/>
          <s v="2488/07/12 - 2488/07/18"/>
          <s v="2488/07/19 - 2488/07/25"/>
          <s v="2488/07/26 - 2488/08/01"/>
          <s v="2488/08/02 - 2488/08/08"/>
          <s v="2488/08/09 - 2488/08/15"/>
          <s v="2488/08/16 - 2488/08/22"/>
          <s v="2488/08/23 - 2488/08/29"/>
          <s v="2488/08/30 - 2488/09/05"/>
          <s v="2488/09/06 - 2488/09/12"/>
          <s v="2488/09/13 - 2488/09/19"/>
          <s v="2488/09/20 - 2488/09/26"/>
          <s v="2488/09/27 - 2488/10/03"/>
          <s v="2488/10/04 - 2488/10/10"/>
          <s v="2488/10/11 - 2488/10/17"/>
          <s v="2488/10/18 - 2488/10/24"/>
          <s v="2488/10/25 - 2488/10/31"/>
          <s v="2488/11/01 - 2488/11/07"/>
          <s v="2488/11/08 - 2488/11/14"/>
          <s v="2488/11/15 - 2488/11/21"/>
          <s v="2488/11/22 - 2488/11/28"/>
          <s v="2488/11/29 - 2488/12/05"/>
          <s v="2488/12/06 - 2488/12/12"/>
          <s v="2488/12/13 - 2488/12/19"/>
          <s v="2488/12/20 - 2488/12/26"/>
          <s v="2488/12/27 - 2489/01/02"/>
          <s v="2489/01/03 - 2489/01/09"/>
          <s v="2489/01/10 - 2489/01/16"/>
          <s v="2489/01/17 - 2489/01/23"/>
          <s v="2489/01/24 - 2489/01/30"/>
          <s v="2489/01/31 - 2489/02/06"/>
          <s v="2489/02/07 - 2489/02/13"/>
          <s v="2489/02/14 - 2489/02/20"/>
          <s v="2489/02/21 - 2489/02/27"/>
          <s v="2489/02/28 - 2489/03/06"/>
          <s v="2489/03/07 - 2489/03/13"/>
          <s v="2489/03/14 - 2489/03/20"/>
          <s v="2489/03/21 - 2489/03/27"/>
          <s v="2489/03/28 - 2489/04/03"/>
          <s v="2489/04/04 - 2489/04/10"/>
          <s v="2489/04/11 - 2489/04/17"/>
          <s v="2489/04/18 - 2489/04/24"/>
          <s v="2489/04/25 - 2489/05/01"/>
          <s v="2489/05/02 - 2489/05/08"/>
          <s v="2489/05/09 - 2489/05/15"/>
          <s v="2489/05/16 - 2489/05/22"/>
          <s v="2489/05/23 - 2489/05/29"/>
          <s v="2489/05/30 - 2489/06/05"/>
          <s v="2489/06/06 - 2489/06/12"/>
          <s v="2489/06/13 - 2489/06/19"/>
          <s v="2489/06/20 - 2489/06/26"/>
          <s v="2489/06/27 - 2489/07/03"/>
          <s v="2489/07/04 - 2489/07/10"/>
          <s v="2489/07/11 - 2489/07/17"/>
          <s v="2489/07/18 - 2489/07/24"/>
          <s v="2489/07/25 - 2489/07/31"/>
          <s v="2489/08/01 - 2489/08/07"/>
          <s v="2489/08/08 - 2489/08/14"/>
          <s v="2489/08/15 - 2489/08/21"/>
          <s v="2489/08/22 - 2489/08/28"/>
          <s v="2489/08/29 - 2489/09/04"/>
          <s v="2489/09/05 - 2489/09/11"/>
          <s v="2489/09/12 - 2489/09/18"/>
          <s v="2489/09/19 - 2489/09/25"/>
          <s v="2489/09/26 - 2489/10/02"/>
          <s v="2489/10/03 - 2489/10/09"/>
          <s v="2489/10/10 - 2489/10/16"/>
          <s v="2489/10/17 - 2489/10/23"/>
          <s v="2489/10/24 - 2489/10/30"/>
          <s v="2489/10/31 - 2489/11/06"/>
          <s v="2489/11/07 - 2489/11/13"/>
          <s v="2489/11/14 - 2489/11/20"/>
          <s v="2489/11/21 - 2489/11/27"/>
          <s v="2489/11/28 - 2489/12/04"/>
          <s v="2489/12/05 - 2489/12/11"/>
          <s v="2489/12/12 - 2489/12/18"/>
          <s v="2489/12/19 - 2489/12/25"/>
          <s v="2489/12/26 - 2490/01/01"/>
          <s v="2490/01/02 - 2490/01/08"/>
          <s v="2490/01/09 - 2490/01/15"/>
          <s v="2490/01/16 - 2490/01/22"/>
          <s v="2490/01/23 - 2490/01/29"/>
          <s v="2490/01/30 - 2490/02/05"/>
          <s v="2490/02/06 - 2490/02/12"/>
          <s v="2490/02/13 - 2490/02/19"/>
          <s v="2490/02/20 - 2490/02/26"/>
          <s v="2490/02/27 - 2490/03/05"/>
          <s v="2490/03/06 - 2490/03/12"/>
          <s v="2490/03/13 - 2490/03/19"/>
          <s v="2490/03/20 - 2490/03/26"/>
          <s v="2490/03/27 - 2490/04/02"/>
          <s v="2490/04/03 - 2490/04/09"/>
          <s v="2490/04/10 - 2490/04/16"/>
          <s v="2490/04/17 - 2490/04/23"/>
          <s v="2490/04/24 - 2490/04/30"/>
          <s v="2490/05/01 - 2490/05/07"/>
          <s v="2490/05/08 - 2490/05/14"/>
          <s v="2490/05/15 - 2490/05/21"/>
          <s v="2490/05/22 - 2490/05/28"/>
          <s v="2490/05/29 - 2490/06/04"/>
          <s v="2490/06/05 - 2490/06/11"/>
          <s v="2490/06/12 - 2490/06/18"/>
          <s v="2490/06/19 - 2490/06/25"/>
          <s v="2490/06/26 - 2490/07/02"/>
          <s v="2490/07/03 - 2490/07/09"/>
          <s v="2490/07/10 - 2490/07/16"/>
          <s v="2490/07/17 - 2490/07/23"/>
          <s v="2490/07/24 - 2490/07/30"/>
          <s v="2490/07/31 - 2490/08/06"/>
          <s v="2490/08/07 - 2490/08/13"/>
          <s v="2490/08/14 - 2490/08/20"/>
          <s v="2490/08/21 - 2490/08/27"/>
          <s v="2490/08/28 - 2490/09/03"/>
          <s v="2490/09/04 - 2490/09/10"/>
          <s v="2490/09/11 - 2490/09/17"/>
          <s v="2490/09/18 - 2490/09/24"/>
          <s v="2490/09/25 - 2490/10/01"/>
          <s v="2490/10/02 - 2490/10/08"/>
          <s v="2490/10/09 - 2490/10/15"/>
          <s v="2490/10/16 - 2490/10/22"/>
          <s v="2490/10/23 - 2490/10/29"/>
          <s v="2490/10/30 - 2490/11/05"/>
          <s v="2490/11/06 - 2490/11/12"/>
          <s v="2490/11/13 - 2490/11/19"/>
          <s v="2490/11/20 - 2490/11/26"/>
          <s v="2490/11/27 - 2490/12/03"/>
          <s v="2490/12/04 - 2490/12/10"/>
          <s v="2490/12/11 - 2490/12/17"/>
          <s v="2490/12/18 - 2490/12/24"/>
          <s v="2490/12/25 - 2490/12/31"/>
          <s v="2491/01/01 - 2491/01/07"/>
          <s v="2491/01/08 - 2491/01/14"/>
          <s v="2491/01/15 - 2491/01/21"/>
          <s v="2491/01/22 - 2491/01/28"/>
          <s v="2491/01/29 - 2491/02/04"/>
          <s v="2491/02/05 - 2491/02/11"/>
          <s v="2491/02/12 - 2491/02/18"/>
          <s v="2491/02/19 - 2491/02/25"/>
          <s v="2491/02/26 - 2491/03/04"/>
          <s v="2491/03/05 - 2491/03/11"/>
          <s v="2491/03/12 - 2491/03/18"/>
          <s v="2491/03/19 - 2491/03/25"/>
          <s v="2491/03/26 - 2491/04/01"/>
          <s v="2491/04/02 - 2491/04/08"/>
          <s v="2491/04/09 - 2491/04/15"/>
          <s v="2491/04/16 - 2491/04/22"/>
          <s v="2491/04/23 - 2491/04/29"/>
          <s v="2491/04/30 - 2491/05/06"/>
          <s v="2491/05/07 - 2491/05/13"/>
          <s v="2491/05/14 - 2491/05/20"/>
          <s v="2491/05/21 - 2491/05/27"/>
          <s v="2491/05/28 - 2491/06/03"/>
          <s v="2491/06/04 - 2491/06/10"/>
          <s v="2491/06/11 - 2491/06/17"/>
          <s v="2491/06/18 - 2491/06/24"/>
          <s v="2491/06/25 - 2491/07/01"/>
          <s v="2491/07/02 - 2491/07/08"/>
          <s v="2491/07/09 - 2491/07/15"/>
          <s v="2491/07/16 - 2491/07/22"/>
          <s v="2491/07/23 - 2491/07/29"/>
          <s v="2491/07/30 - 2491/08/05"/>
          <s v="2491/08/06 - 2491/08/12"/>
          <s v="2491/08/13 - 2491/08/19"/>
          <s v="2491/08/20 - 2491/08/26"/>
          <s v="2491/08/27 - 2491/09/02"/>
          <s v="2491/09/03 - 2491/09/09"/>
          <s v="2491/09/10 - 2491/09/16"/>
          <s v="2491/09/17 - 2491/09/23"/>
          <s v="2491/09/24 - 2491/09/30"/>
          <s v="2491/10/01 - 2491/10/07"/>
          <s v="2491/10/08 - 2491/10/14"/>
          <s v="2491/10/15 - 2491/10/21"/>
          <s v="2491/10/22 - 2491/10/28"/>
          <s v="2491/10/29 - 2491/11/04"/>
          <s v="2491/11/05 - 2491/11/11"/>
          <s v="2491/11/12 - 2491/11/18"/>
          <s v="2491/11/19 - 2491/11/25"/>
          <s v="2491/11/26 - 2491/12/02"/>
          <s v="2491/12/03 - 2491/12/09"/>
          <s v="2491/12/10 - 2491/12/16"/>
          <s v="2491/12/17 - 2491/12/23"/>
          <s v="2491/12/24 - 2491/12/30"/>
          <s v="2491/12/31 - 2492/01/06"/>
          <s v="2492/01/07 - 2492/01/13"/>
          <s v="2492/01/14 - 2492/01/20"/>
          <s v="2492/01/21 - 2492/01/27"/>
          <s v="2492/01/28 - 2492/02/03"/>
          <s v="2492/02/04 - 2492/02/10"/>
          <s v="2492/02/11 - 2492/02/17"/>
          <s v="2492/02/18 - 2492/02/24"/>
          <s v="2492/02/25 - 2492/03/02"/>
          <s v="2492/03/03 - 2492/03/09"/>
          <s v="2492/03/10 - 2492/03/16"/>
          <s v="2492/03/17 - 2492/03/23"/>
          <s v="2492/03/24 - 2492/03/30"/>
          <s v="2492/03/31 - 2492/04/06"/>
          <s v="2492/04/07 - 2492/04/13"/>
          <s v="2492/04/14 - 2492/04/20"/>
          <s v="2492/04/21 - 2492/04/27"/>
          <s v="2492/04/28 - 2492/05/04"/>
          <s v="2492/05/05 - 2492/05/11"/>
          <s v="2492/05/12 - 2492/05/18"/>
          <s v="2492/05/19 - 2492/05/25"/>
          <s v="2492/05/26 - 2492/06/01"/>
          <s v="2492/06/02 - 2492/06/08"/>
          <s v="2492/06/09 - 2492/06/15"/>
          <s v="2492/06/16 - 2492/06/22"/>
          <s v="2492/06/23 - 2492/06/29"/>
          <s v="2492/06/30 - 2492/07/06"/>
          <s v="2492/07/07 - 2492/07/13"/>
          <s v="2492/07/14 - 2492/07/20"/>
          <s v="2492/07/21 - 2492/07/27"/>
          <s v="2492/07/28 - 2492/08/03"/>
          <s v="2492/08/04 - 2492/08/10"/>
          <s v="2492/08/11 - 2492/08/17"/>
          <s v="2492/08/18 - 2492/08/24"/>
          <s v="2492/08/25 - 2492/08/31"/>
          <s v="2492/09/01 - 2492/09/07"/>
          <s v="2492/09/08 - 2492/09/14"/>
          <s v="2492/09/15 - 2492/09/21"/>
          <s v="2492/09/22 - 2492/09/28"/>
          <s v="2492/09/29 - 2492/10/05"/>
          <s v="2492/10/06 - 2492/10/12"/>
          <s v="2492/10/13 - 2492/10/19"/>
          <s v="2492/10/20 - 2492/10/26"/>
          <s v="2492/10/27 - 2492/11/02"/>
          <s v="2492/11/03 - 2492/11/09"/>
          <s v="2492/11/10 - 2492/11/16"/>
          <s v="2492/11/17 - 2492/11/23"/>
          <s v="2492/11/24 - 2492/11/30"/>
          <s v="2492/12/01 - 2492/12/07"/>
          <s v="2492/12/08 - 2492/12/14"/>
          <s v="2492/12/15 - 2492/12/21"/>
          <s v="2492/12/22 - 2492/12/28"/>
          <s v="2492/12/29 - 2493/01/04"/>
          <s v="2493/01/05 - 2493/01/11"/>
          <s v="2493/01/12 - 2493/01/18"/>
          <s v="2493/01/19 - 2493/01/25"/>
          <s v="2493/01/26 - 2493/02/01"/>
          <s v="2493/02/02 - 2493/02/08"/>
          <s v="2493/02/09 - 2493/02/15"/>
          <s v="2493/02/16 - 2493/02/22"/>
          <s v="2493/02/23 - 2493/03/01"/>
          <s v="2493/03/02 - 2493/03/08"/>
          <s v="2493/03/09 - 2493/03/15"/>
          <s v="2493/03/16 - 2493/03/22"/>
          <s v="2493/03/23 - 2493/03/29"/>
          <s v="2493/03/30 - 2493/04/05"/>
          <s v="2493/04/06 - 2493/04/12"/>
          <s v="2493/04/13 - 2493/04/19"/>
          <s v="2493/04/20 - 2493/04/26"/>
          <s v="2493/04/27 - 2493/05/03"/>
          <s v="2493/05/04 - 2493/05/10"/>
          <s v="2493/05/11 - 2493/05/17"/>
          <s v="2493/05/18 - 2493/05/24"/>
          <s v="2493/05/25 - 2493/05/31"/>
          <s v="2493/06/01 - 2493/06/07"/>
          <s v="2493/06/08 - 2493/06/14"/>
          <s v="2493/06/15 - 2493/06/21"/>
          <s v="2493/06/22 - 2493/06/28"/>
          <s v="2493/06/29 - 2493/07/05"/>
          <s v="2493/07/06 - 2493/07/12"/>
          <s v="2493/07/13 - 2493/07/19"/>
          <s v="2493/07/20 - 2493/07/26"/>
          <s v="2493/07/27 - 2493/08/02"/>
          <s v="2493/08/03 - 2493/08/09"/>
          <s v="2493/08/10 - 2493/08/16"/>
          <s v="2493/08/17 - 2493/08/23"/>
          <s v="2493/08/24 - 2493/08/30"/>
          <s v="2493/08/31 - 2493/09/06"/>
          <s v="2493/09/07 - 2493/09/13"/>
          <s v="2493/09/14 - 2493/09/20"/>
          <s v="2493/09/21 - 2493/09/27"/>
          <s v="2493/09/28 - 2493/10/04"/>
          <s v="2493/10/05 - 2493/10/11"/>
          <s v="2493/10/12 - 2493/10/18"/>
          <s v="2493/10/19 - 2493/10/25"/>
          <s v="2493/10/26 - 2493/11/01"/>
          <s v="2493/11/02 - 2493/11/08"/>
          <s v="2493/11/09 - 2493/11/15"/>
          <s v="2493/11/16 - 2493/11/22"/>
          <s v="2493/11/23 - 2493/11/29"/>
          <s v="2493/11/30 - 2493/12/06"/>
          <s v="2493/12/07 - 2493/12/13"/>
          <s v="2493/12/14 - 2493/12/20"/>
          <s v="2493/12/21 - 2493/12/27"/>
          <s v="2493/12/28 - 2494/01/03"/>
          <s v="2494/01/04 - 2494/01/10"/>
          <s v="2494/01/11 - 2494/01/17"/>
          <s v="2494/01/18 - 2494/01/24"/>
          <s v="2494/01/25 - 2494/01/31"/>
          <s v="2494/02/01 - 2494/02/07"/>
          <s v="2494/02/08 - 2494/02/14"/>
          <s v="2494/02/15 - 2494/02/21"/>
          <s v="2494/02/22 - 2494/02/28"/>
          <s v="2494/03/01 - 2494/03/07"/>
          <s v="2494/03/08 - 2494/03/14"/>
          <s v="2494/03/15 - 2494/03/21"/>
          <s v="2494/03/22 - 2494/03/28"/>
          <s v="2494/03/29 - 2494/04/04"/>
          <s v="2494/04/05 - 2494/04/11"/>
          <s v="2494/04/12 - 2494/04/18"/>
          <s v="2494/04/19 - 2494/04/25"/>
          <s v="2494/04/26 - 2494/05/02"/>
          <s v="2494/05/03 - 2494/05/09"/>
          <s v="2494/05/10 - 2494/05/16"/>
          <s v="2494/05/17 - 2494/05/23"/>
          <s v="2494/05/24 - 2494/05/30"/>
          <s v="2494/05/31 - 2494/06/06"/>
          <s v="2494/06/07 - 2494/06/13"/>
          <s v="2494/06/14 - 2494/06/20"/>
          <s v="2494/06/21 - 2494/06/27"/>
          <s v="2494/06/28 - 2494/07/04"/>
          <s v="2494/07/05 - 2494/07/11"/>
          <s v="2494/07/12 - 2494/07/18"/>
          <s v="2494/07/19 - 2494/07/25"/>
          <s v="2494/07/26 - 2494/08/01"/>
          <s v="2494/08/02 - 2494/08/08"/>
          <s v="2494/08/09 - 2494/08/15"/>
          <s v="2494/08/16 - 2494/08/22"/>
          <s v="2494/08/23 - 2494/08/29"/>
          <s v="2494/08/30 - 2494/09/05"/>
          <s v="2494/09/06 - 2494/09/12"/>
          <s v="2494/09/13 - 2494/09/19"/>
          <s v="2494/09/20 - 2494/09/26"/>
          <s v="2494/09/27 - 2494/10/03"/>
          <s v="2494/10/04 - 2494/10/10"/>
          <s v="2494/10/11 - 2494/10/17"/>
          <s v="2494/10/18 - 2494/10/24"/>
          <s v="2494/10/25 - 2494/10/31"/>
          <s v="2494/11/01 - 2494/11/07"/>
          <s v="2494/11/08 - 2494/11/14"/>
          <s v="2494/11/15 - 2494/11/21"/>
          <s v="2494/11/22 - 2494/11/28"/>
          <s v="2494/11/29 - 2494/12/05"/>
          <s v="2494/12/06 - 2494/12/12"/>
          <s v="2494/12/13 - 2494/12/19"/>
          <s v="2494/12/20 - 2494/12/26"/>
          <s v="2494/12/27 - 2495/01/02"/>
          <s v="2495/01/03 - 2495/01/09"/>
          <s v="2495/01/10 - 2495/01/16"/>
          <s v="2495/01/17 - 2495/01/23"/>
          <s v="2495/01/24 - 2495/01/30"/>
          <s v="2495/01/31 - 2495/02/06"/>
          <s v="2495/02/07 - 2495/02/13"/>
          <s v="2495/02/14 - 2495/02/20"/>
          <s v="2495/02/21 - 2495/02/27"/>
          <s v="2495/02/28 - 2495/03/06"/>
          <s v="2495/03/07 - 2495/03/13"/>
          <s v="2495/03/14 - 2495/03/20"/>
          <s v="2495/03/21 - 2495/03/27"/>
          <s v="2495/03/28 - 2495/04/03"/>
          <s v="2495/04/04 - 2495/04/10"/>
          <s v="2495/04/11 - 2495/04/17"/>
          <s v="2495/04/18 - 2495/04/24"/>
          <s v="2495/04/25 - 2495/05/01"/>
          <s v="2495/05/02 - 2495/05/08"/>
          <s v="2495/05/09 - 2495/05/15"/>
          <s v="2495/05/16 - 2495/05/22"/>
          <s v="2495/05/23 - 2495/05/29"/>
          <s v="2495/05/30 - 2495/06/05"/>
          <s v="2495/06/06 - 2495/06/12"/>
          <s v="2495/06/13 - 2495/06/19"/>
          <s v="2495/06/20 - 2495/06/26"/>
          <s v="2495/06/27 - 2495/07/03"/>
          <s v="2495/07/04 - 2495/07/10"/>
          <s v="2495/07/11 - 2495/07/17"/>
          <s v="2495/07/18 - 2495/07/24"/>
          <s v="2495/07/25 - 2495/07/31"/>
          <s v="2495/08/01 - 2495/08/07"/>
          <s v="2495/08/08 - 2495/08/14"/>
          <s v="2495/08/15 - 2495/08/21"/>
          <s v="2495/08/22 - 2495/08/28"/>
          <s v="2495/08/29 - 2495/09/04"/>
          <s v="2495/09/05 - 2495/09/11"/>
          <s v="2495/09/12 - 2495/09/18"/>
          <s v="2495/09/19 - 2495/09/25"/>
          <s v="2495/09/26 - 2495/10/02"/>
          <s v="2495/10/03 - 2495/10/09"/>
          <s v="2495/10/10 - 2495/10/16"/>
          <s v="2495/10/17 - 2495/10/23"/>
          <s v="2495/10/24 - 2495/10/30"/>
          <s v="2495/10/31 - 2495/11/06"/>
          <s v="2495/11/07 - 2495/11/13"/>
          <s v="2495/11/14 - 2495/11/20"/>
          <s v="2495/11/21 - 2495/11/27"/>
          <s v="2495/11/28 - 2495/12/04"/>
          <s v="2495/12/05 - 2495/12/11"/>
          <s v="2495/12/12 - 2495/12/18"/>
          <s v="2495/12/19 - 2495/12/25"/>
          <s v="2495/12/26 - 2496/01/01"/>
          <s v="2496/01/02 - 2496/01/08"/>
          <s v="2496/01/09 - 2496/01/15"/>
          <s v="2496/01/16 - 2496/01/22"/>
          <s v="2496/01/23 - 2496/01/29"/>
          <s v="2496/01/30 - 2496/02/05"/>
          <s v="2496/02/06 - 2496/02/12"/>
          <s v="2496/02/13 - 2496/02/19"/>
          <s v="2496/02/20 - 2496/02/26"/>
          <s v="2496/02/27 - 2496/03/04"/>
          <s v="2496/03/05 - 2496/03/11"/>
          <s v="2496/03/12 - 2496/03/18"/>
          <s v="2496/03/19 - 2496/03/25"/>
          <s v="2496/03/26 - 2496/04/01"/>
          <s v="2496/04/02 - 2496/04/08"/>
          <s v="2496/04/09 - 2496/04/15"/>
          <s v="2496/04/16 - 2496/04/22"/>
          <s v="2496/04/23 - 2496/04/29"/>
          <s v="2496/04/30 - 2496/05/06"/>
          <s v="2496/05/07 - 2496/05/13"/>
          <s v="2496/05/14 - 2496/05/20"/>
          <s v="2496/05/21 - 2496/05/27"/>
          <s v="2496/05/28 - 2496/06/03"/>
          <s v="2496/06/04 - 2496/06/10"/>
          <s v="2496/06/11 - 2496/06/17"/>
          <s v="2496/06/18 - 2496/06/24"/>
          <s v="2496/06/25 - 2496/07/01"/>
          <s v="2496/07/02 - 2496/07/08"/>
          <s v="2496/07/09 - 2496/07/15"/>
          <s v="2496/07/16 - 2496/07/22"/>
          <s v="2496/07/23 - 2496/07/29"/>
          <s v="2496/07/30 - 2496/08/05"/>
          <s v="2496/08/06 - 2496/08/12"/>
          <s v="2496/08/13 - 2496/08/19"/>
          <s v="2496/08/20 - 2496/08/26"/>
          <s v="2496/08/27 - 2496/09/02"/>
          <s v="2496/09/03 - 2496/09/09"/>
          <s v="2496/09/10 - 2496/09/16"/>
          <s v="2496/09/17 - 2496/09/23"/>
          <s v="2496/09/24 - 2496/09/30"/>
          <s v="2496/10/01 - 2496/10/07"/>
          <s v="2496/10/08 - 2496/10/14"/>
          <s v="2496/10/15 - 2496/10/21"/>
          <s v="2496/10/22 - 2496/10/28"/>
          <s v="2496/10/29 - 2496/11/04"/>
          <s v="2496/11/05 - 2496/11/11"/>
          <s v="2496/11/12 - 2496/11/18"/>
          <s v="2496/11/19 - 2496/11/25"/>
          <s v="2496/11/26 - 2496/12/02"/>
          <s v="2496/12/03 - 2496/12/09"/>
          <s v="2496/12/10 - 2496/12/16"/>
          <s v="2496/12/17 - 2496/12/23"/>
          <s v="2496/12/24 - 2496/12/30"/>
          <s v="2496/12/31 - 2497/01/06"/>
          <s v="2497/01/07 - 2497/01/13"/>
          <s v="2497/01/14 - 2497/01/20"/>
          <s v="2497/01/21 - 2497/01/27"/>
          <s v="2497/01/28 - 2497/02/03"/>
          <s v="2497/02/04 - 2497/02/10"/>
          <s v="2497/02/11 - 2497/02/17"/>
          <s v="2497/02/18 - 2497/02/24"/>
          <s v="2497/02/25 - 2497/03/03"/>
          <s v="2497/03/04 - 2497/03/10"/>
          <s v="2497/03/11 - 2497/03/17"/>
          <s v="2497/03/18 - 2497/03/24"/>
          <s v="2497/03/25 - 2497/03/31"/>
          <s v="2497/04/01 - 2497/04/07"/>
          <s v="2497/04/08 - 2497/04/14"/>
          <s v="2497/04/15 - 2497/04/21"/>
          <s v="2497/04/22 - 2497/04/28"/>
          <s v="2497/04/29 - 2497/05/05"/>
          <s v="2497/05/06 - 2497/05/12"/>
          <s v="2497/05/13 - 2497/05/19"/>
          <s v="2497/05/20 - 2497/05/26"/>
          <s v="2497/05/27 - 2497/06/02"/>
          <s v="2497/06/03 - 2497/06/09"/>
          <s v="2497/06/10 - 2497/06/16"/>
          <s v="2497/06/17 - 2497/06/23"/>
          <s v="2497/06/24 - 2497/06/30"/>
          <s v="2497/07/01 - 2497/07/07"/>
          <s v="2497/07/08 - 2497/07/14"/>
          <s v="2497/07/15 - 2497/07/21"/>
          <s v="2497/07/22 - 2497/07/28"/>
          <s v="2497/07/29 - 2497/08/04"/>
          <s v="2497/08/05 - 2497/08/11"/>
          <s v="2497/08/12 - 2497/08/18"/>
          <s v="2497/08/19 - 2497/08/25"/>
          <s v="2497/08/26 - 2497/09/01"/>
          <s v="2497/09/02 - 2497/09/08"/>
          <s v="2497/09/09 - 2497/09/15"/>
          <s v="2497/09/16 - 2497/09/22"/>
          <s v="2497/09/23 - 2497/09/29"/>
          <s v="2497/09/30 - 2497/10/06"/>
          <s v="2497/10/07 - 2497/10/13"/>
          <s v="2497/10/14 - 2497/10/20"/>
          <s v="2497/10/21 - 2497/10/27"/>
          <s v="2497/10/28 - 2497/11/03"/>
          <s v="2497/11/04 - 2497/11/10"/>
          <s v="2497/11/11 - 2497/11/17"/>
          <s v="2497/11/18 - 2497/11/24"/>
          <s v="2497/11/25 - 2497/12/01"/>
          <s v="2497/12/02 - 2497/12/08"/>
          <s v="2497/12/09 - 2497/12/15"/>
          <s v="2497/12/16 - 2497/12/22"/>
          <s v="2497/12/23 - 2497/12/29"/>
          <s v="2497/12/30 - 2498/01/05"/>
          <s v="2498/01/06 - 2498/01/12"/>
          <s v="2498/01/13 - 2498/01/19"/>
          <s v="2498/01/20 - 2498/01/26"/>
          <s v="2498/01/27 - 2498/02/02"/>
          <s v="2498/02/03 - 2498/02/09"/>
          <s v="2498/02/10 - 2498/02/16"/>
          <s v="2498/02/17 - 2498/02/23"/>
          <s v="2498/02/24 - 2498/03/02"/>
          <s v="2498/03/03 - 2498/03/09"/>
          <s v="2498/03/10 - 2498/03/16"/>
          <s v="2498/03/17 - 2498/03/23"/>
          <s v="2498/03/24 - 2498/03/30"/>
          <s v="2498/03/31 - 2498/04/06"/>
          <s v="2498/04/07 - 2498/04/13"/>
          <s v="2498/04/14 - 2498/04/20"/>
          <s v="2498/04/21 - 2498/04/27"/>
          <s v="2498/04/28 - 2498/05/04"/>
          <s v="2498/05/05 - 2498/05/11"/>
          <s v="2498/05/12 - 2498/05/18"/>
          <s v="2498/05/19 - 2498/05/25"/>
          <s v="2498/05/26 - 2498/06/01"/>
          <s v="2498/06/02 - 2498/06/08"/>
          <s v="2498/06/09 - 2498/06/15"/>
          <s v="2498/06/16 - 2498/06/22"/>
          <s v="2498/06/23 - 2498/06/29"/>
          <s v="2498/06/30 - 2498/07/06"/>
          <s v="2498/07/07 - 2498/07/13"/>
          <s v="2498/07/14 - 2498/07/20"/>
          <s v="2498/07/21 - 2498/07/27"/>
          <s v="2498/07/28 - 2498/08/03"/>
          <s v="2498/08/04 - 2498/08/10"/>
          <s v="2498/08/11 - 2498/08/17"/>
          <s v="2498/08/18 - 2498/08/24"/>
          <s v="2498/08/25 - 2498/08/31"/>
          <s v="2498/09/01 - 2498/09/07"/>
          <s v="2498/09/08 - 2498/09/14"/>
          <s v="2498/09/15 - 2498/09/21"/>
          <s v="2498/09/22 - 2498/09/28"/>
          <s v="2498/09/29 - 2498/10/05"/>
          <s v="2498/10/06 - 2498/10/12"/>
          <s v="2498/10/13 - 2498/10/19"/>
          <s v="2498/10/20 - 2498/10/26"/>
          <s v="2498/10/27 - 2498/11/02"/>
          <s v="2498/11/03 - 2498/11/09"/>
          <s v="2498/11/10 - 2498/11/16"/>
          <s v="2498/11/17 - 2498/11/23"/>
          <s v="2498/11/24 - 2498/11/30"/>
          <s v="2498/12/01 - 2498/12/07"/>
          <s v="2498/12/08 - 2498/12/14"/>
          <s v="2498/12/15 - 2498/12/21"/>
          <s v="2498/12/22 - 2498/12/28"/>
          <s v="2498/12/29 - 2499/01/04"/>
          <s v="2499/01/05 - 2499/01/11"/>
          <s v="2499/01/12 - 2499/01/18"/>
          <s v="2499/01/19 - 2499/01/25"/>
          <s v="2499/01/26 - 2499/02/01"/>
          <s v="2499/02/02 - 2499/02/08"/>
          <s v="2499/02/09 - 2499/02/15"/>
          <s v="2499/02/16 - 2499/02/22"/>
          <s v="2499/02/23 - 2499/03/01"/>
          <s v="2499/03/02 - 2499/03/08"/>
          <s v="2499/03/09 - 2499/03/15"/>
          <s v="2499/03/16 - 2499/03/22"/>
          <s v="2499/03/23 - 2499/03/29"/>
          <s v="2499/03/30 - 2499/04/05"/>
          <s v="2499/04/06 - 2499/04/12"/>
          <s v="2499/04/13 - 2499/04/19"/>
          <s v="2499/04/20 - 2499/04/26"/>
          <s v="2499/04/27 - 2499/05/03"/>
          <s v="2499/05/04 - 2499/05/10"/>
          <s v="2499/05/11 - 2499/05/17"/>
          <s v="2499/05/18 - 2499/05/24"/>
          <s v="2499/05/25 - 2499/05/31"/>
          <s v="2499/06/01 - 2499/06/07"/>
          <s v="2499/06/08 - 2499/06/14"/>
          <s v="2499/06/15 - 2499/06/21"/>
          <s v="2499/06/22 - 2499/06/28"/>
          <s v="2499/06/29 - 2499/07/05"/>
          <s v="2499/07/06 - 2499/07/12"/>
          <s v="2499/07/13 - 2499/07/19"/>
          <s v="2499/07/20 - 2499/07/26"/>
          <s v="2499/07/27 - 2499/08/02"/>
          <s v="2499/08/03 - 2499/08/09"/>
          <s v="2499/08/10 - 2499/08/16"/>
          <s v="2499/08/17 - 2499/08/23"/>
          <s v="2499/08/24 - 2499/08/30"/>
          <s v="2499/08/31 - 2499/09/06"/>
          <s v="2499/09/07 - 2499/09/13"/>
          <s v="2499/09/14 - 2499/09/20"/>
          <s v="2499/09/21 - 2499/09/27"/>
          <s v="2499/09/28 - 2499/10/04"/>
          <s v="2499/10/05 - 2499/10/11"/>
          <s v="2499/10/12 - 2499/10/18"/>
          <s v="2499/10/19 - 2499/10/25"/>
          <s v="2499/10/26 - 2499/11/01"/>
          <s v="2499/11/02 - 2499/11/08"/>
          <s v="2499/11/09 - 2499/11/15"/>
          <s v="2499/11/16 - 2499/11/22"/>
          <s v="2499/11/23 - 2499/11/29"/>
          <s v="2499/11/30 - 2499/12/06"/>
          <s v="2499/12/07 - 2499/12/13"/>
          <s v="2499/12/14 - 2499/12/20"/>
          <s v="2499/12/21 - 2499/12/27"/>
          <s v="2499/12/28 - 2500/01/01"/>
          <s v="&gt;2500/01/01"/>
        </groupItems>
      </fieldGroup>
    </cacheField>
  </cacheFields>
  <extLst>
    <ext xmlns:x14="http://schemas.microsoft.com/office/spreadsheetml/2009/9/main" uri="{725AE2AE-9491-48be-B2B4-4EB974FC3084}">
      <x14:pivotCacheDefinition pivotCacheId="900613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5">
  <r>
    <x v="0"/>
    <n v="5064"/>
    <s v="Qenehelo Matjama"/>
    <s v="qenehelomatjama@gmail.com"/>
    <x v="0"/>
    <x v="0"/>
    <x v="0"/>
    <x v="0"/>
  </r>
  <r>
    <x v="0"/>
    <n v="5065"/>
    <s v="Krishnakumar Sanjeeviraj"/>
    <s v="Kumar0072007@gmail.com"/>
    <x v="0"/>
    <x v="0"/>
    <x v="0"/>
    <x v="0"/>
  </r>
  <r>
    <x v="0"/>
    <n v="1740"/>
    <s v="Hlulani Mashaba"/>
    <s v="mashaba167@gmail.com"/>
    <x v="0"/>
    <x v="1"/>
    <x v="0"/>
    <x v="0"/>
  </r>
  <r>
    <x v="0"/>
    <n v="3361"/>
    <s v="Tinashe Chinyati"/>
    <s v="chinyatitb1@gmail.com"/>
    <x v="0"/>
    <x v="1"/>
    <x v="1"/>
    <x v="0"/>
  </r>
  <r>
    <x v="0"/>
    <n v="5066"/>
    <s v="Thapelo Moloto"/>
    <s v="mthapelo907@gmail.com"/>
    <x v="0"/>
    <x v="0"/>
    <x v="2"/>
    <x v="1"/>
  </r>
  <r>
    <x v="0"/>
    <n v="3673"/>
    <s v="Sikhumbuzo Donwald Mlotshwa"/>
    <s v="skhumlotshwa@gmail.com"/>
    <x v="0"/>
    <x v="1"/>
    <x v="1"/>
    <x v="0"/>
  </r>
  <r>
    <x v="0"/>
    <n v="3359"/>
    <s v="Dileep Naik"/>
    <s v="dileepsureshnaik@gmail.com"/>
    <x v="0"/>
    <x v="1"/>
    <x v="1"/>
    <x v="0"/>
  </r>
  <r>
    <x v="0"/>
    <n v="3198"/>
    <s v="Prince Baloyi"/>
    <s v="jpbaloyi1@gmail.com"/>
    <x v="0"/>
    <x v="1"/>
    <x v="1"/>
    <x v="0"/>
  </r>
  <r>
    <x v="0"/>
    <n v="904"/>
    <s v="Kabelo Theledi"/>
    <s v="princethld@gmail.com"/>
    <x v="0"/>
    <x v="1"/>
    <x v="1"/>
    <x v="0"/>
  </r>
  <r>
    <x v="1"/>
    <n v="2962"/>
    <s v="Ignasio Dondo"/>
    <s v="imdondo@gmail.com"/>
    <x v="0"/>
    <x v="1"/>
    <x v="2"/>
    <x v="2"/>
  </r>
  <r>
    <x v="1"/>
    <n v="5068"/>
    <s v="Tapiwanashe Shoshore"/>
    <s v="tapsshore@gmail.com"/>
    <x v="0"/>
    <x v="0"/>
    <x v="2"/>
    <x v="3"/>
  </r>
  <r>
    <x v="1"/>
    <n v="3249"/>
    <s v="Rambabu Tadepalli"/>
    <s v="ram.t.babu@gmail.com"/>
    <x v="0"/>
    <x v="1"/>
    <x v="0"/>
    <x v="0"/>
  </r>
  <r>
    <x v="1"/>
    <n v="5069"/>
    <s v="Vinay SaiRam"/>
    <s v="vinaysairamvadlamuri@gmail.com"/>
    <x v="0"/>
    <x v="0"/>
    <x v="2"/>
    <x v="4"/>
  </r>
  <r>
    <x v="1"/>
    <n v="2727"/>
    <s v="Sudheer Beemireddy"/>
    <s v="sudheer.bhemireddy@gmail.com"/>
    <x v="0"/>
    <x v="1"/>
    <x v="3"/>
    <x v="5"/>
  </r>
  <r>
    <x v="1"/>
    <n v="4136"/>
    <s v="Ryan Masimba Tapfumaneyi"/>
    <s v="rm.tapfumaneyi@gmail.com"/>
    <x v="0"/>
    <x v="1"/>
    <x v="0"/>
    <x v="0"/>
  </r>
  <r>
    <x v="2"/>
    <n v="5085"/>
    <s v="Tinashe Mzondiwa"/>
    <s v="tinashemzondiwa@gmail.com"/>
    <x v="1"/>
    <x v="0"/>
    <x v="1"/>
    <x v="0"/>
  </r>
  <r>
    <x v="2"/>
    <n v="5086"/>
    <s v="George Tsiga"/>
    <s v="tsiga.george@drivetrek.co.za"/>
    <x v="1"/>
    <x v="0"/>
    <x v="1"/>
    <x v="0"/>
  </r>
  <r>
    <x v="2"/>
    <n v="5087"/>
    <s v="Tlhogi Manye"/>
    <s v="manyethlogi@gmail.com"/>
    <x v="1"/>
    <x v="0"/>
    <x v="1"/>
    <x v="0"/>
  </r>
  <r>
    <x v="2"/>
    <n v="5088"/>
    <s v="Warren Mtawu"/>
    <s v="warrenmtawu@gmail.com"/>
    <x v="1"/>
    <x v="0"/>
    <x v="1"/>
    <x v="0"/>
  </r>
  <r>
    <x v="2"/>
    <n v="5089"/>
    <s v="Fundile Masumpa"/>
    <s v="fundilemasumpa@gmail.com"/>
    <x v="1"/>
    <x v="0"/>
    <x v="1"/>
    <x v="0"/>
  </r>
  <r>
    <x v="2"/>
    <n v="5090"/>
    <s v="Shepherd Siduli"/>
    <s v="shepherdsiduli@gmail.com"/>
    <x v="1"/>
    <x v="0"/>
    <x v="1"/>
    <x v="0"/>
  </r>
  <r>
    <x v="2"/>
    <n v="5091"/>
    <s v="Abdoul Ouattara"/>
    <s v="abdoulk@outlook.com"/>
    <x v="1"/>
    <x v="0"/>
    <x v="1"/>
    <x v="0"/>
  </r>
  <r>
    <x v="2"/>
    <n v="5092"/>
    <s v="Manpreet Singh Mall"/>
    <s v="manpreetsingh2991@gmail.com"/>
    <x v="1"/>
    <x v="0"/>
    <x v="1"/>
    <x v="0"/>
  </r>
  <r>
    <x v="2"/>
    <n v="5093"/>
    <s v="Banele Simelane"/>
    <s v="banelebin0@gmail.com"/>
    <x v="1"/>
    <x v="0"/>
    <x v="1"/>
    <x v="0"/>
  </r>
  <r>
    <x v="2"/>
    <n v="5094"/>
    <s v="Heinrich Glover"/>
    <s v="heinrich.glover@hotmail.com"/>
    <x v="1"/>
    <x v="0"/>
    <x v="2"/>
    <x v="0"/>
  </r>
  <r>
    <x v="2"/>
    <n v="5095"/>
    <s v="Dennies Luke"/>
    <s v="dennisluke11@gmail.com"/>
    <x v="1"/>
    <x v="0"/>
    <x v="2"/>
    <x v="0"/>
  </r>
  <r>
    <x v="2"/>
    <n v="5096"/>
    <s v="Bless Chiura"/>
    <s v="bless.mukuru@gmail.com"/>
    <x v="1"/>
    <x v="0"/>
    <x v="4"/>
    <x v="0"/>
  </r>
  <r>
    <x v="3"/>
    <n v="5097"/>
    <s v="Werner Jonker"/>
    <s v="wernerjnkr@gmail.com"/>
    <x v="1"/>
    <x v="0"/>
    <x v="4"/>
    <x v="0"/>
  </r>
  <r>
    <x v="4"/>
    <n v="5098"/>
    <s v="Jacques Jakobus"/>
    <s v="jacb277@gmail.com"/>
    <x v="1"/>
    <x v="0"/>
    <x v="1"/>
    <x v="0"/>
  </r>
  <r>
    <x v="4"/>
    <n v="5100"/>
    <s v="Zandile Ngxumza"/>
    <s v="mazandie@gmail.com"/>
    <x v="1"/>
    <x v="0"/>
    <x v="4"/>
    <x v="0"/>
  </r>
  <r>
    <x v="4"/>
    <n v="3049"/>
    <s v="Vincent Maponga"/>
    <s v="mapongavincent4@gmail.com"/>
    <x v="1"/>
    <x v="1"/>
    <x v="1"/>
    <x v="0"/>
  </r>
  <r>
    <x v="4"/>
    <s v="?"/>
    <m/>
    <s v="rajaonarivelo.mh@gmail.com"/>
    <x v="1"/>
    <x v="0"/>
    <x v="1"/>
    <x v="0"/>
  </r>
  <r>
    <x v="4"/>
    <n v="5101"/>
    <s v="Mounka Chigurupati"/>
    <s v="mounikachows111@gmail.com"/>
    <x v="1"/>
    <x v="0"/>
    <x v="1"/>
    <x v="0"/>
  </r>
  <r>
    <x v="5"/>
    <n v="4251"/>
    <s v="Augustine Anosike"/>
    <s v="anosike23a@gmail.com"/>
    <x v="2"/>
    <x v="1"/>
    <x v="1"/>
    <x v="0"/>
  </r>
  <r>
    <x v="5"/>
    <n v="5110"/>
    <s v="Muzi Kubeka"/>
    <s v="mailto:muzikhubeka@gmail.com"/>
    <x v="2"/>
    <x v="0"/>
    <x v="1"/>
    <x v="0"/>
  </r>
  <r>
    <x v="5"/>
    <n v="5111"/>
    <s v="Kim Birk"/>
    <s v="kimbirk26@gmail.com"/>
    <x v="2"/>
    <x v="0"/>
    <x v="2"/>
    <x v="6"/>
  </r>
  <r>
    <x v="5"/>
    <n v="3404"/>
    <s v="Naveen Kumar"/>
    <s v="gnk.java@gmail.com"/>
    <x v="2"/>
    <x v="1"/>
    <x v="1"/>
    <x v="0"/>
  </r>
  <r>
    <x v="6"/>
    <n v="5105"/>
    <s v="Ndiphiwe Nombula"/>
    <s v="ndiphiwe.nombula@gmail.com"/>
    <x v="2"/>
    <x v="0"/>
    <x v="4"/>
    <x v="0"/>
  </r>
  <r>
    <x v="4"/>
    <n v="5105"/>
    <s v="Ndiphiwe Nombula"/>
    <s v="ndiphiwe.nombula@gmail.com"/>
    <x v="2"/>
    <x v="0"/>
    <x v="4"/>
    <x v="0"/>
  </r>
  <r>
    <x v="6"/>
    <n v="5106"/>
    <s v="Isaac Amoah"/>
    <s v="aqwasey@gmail.com"/>
    <x v="2"/>
    <x v="0"/>
    <x v="2"/>
    <x v="0"/>
  </r>
  <r>
    <x v="6"/>
    <n v="5107"/>
    <s v="Khumo Mosidi"/>
    <s v="hopemosidi39@gmail.com"/>
    <x v="2"/>
    <x v="0"/>
    <x v="2"/>
    <x v="0"/>
  </r>
  <r>
    <x v="6"/>
    <n v="5108"/>
    <s v="Kutlo Maduma"/>
    <s v="neomaduma@gmail.com"/>
    <x v="2"/>
    <x v="0"/>
    <x v="1"/>
    <x v="0"/>
  </r>
  <r>
    <x v="7"/>
    <n v="5109"/>
    <s v="Tumo Maraisane"/>
    <s v="tumomp91@gmail.com"/>
    <x v="2"/>
    <x v="0"/>
    <x v="3"/>
    <x v="0"/>
  </r>
  <r>
    <x v="4"/>
    <n v="5109"/>
    <s v="Tumo Maraisane"/>
    <s v="tumomp91@gmail.com"/>
    <x v="2"/>
    <x v="0"/>
    <x v="3"/>
    <x v="0"/>
  </r>
  <r>
    <x v="5"/>
    <n v="3621"/>
    <s v="Siphamandla Zungu"/>
    <s v="sphamn@gmail.com"/>
    <x v="2"/>
    <x v="1"/>
    <x v="1"/>
    <x v="0"/>
  </r>
  <r>
    <x v="5"/>
    <n v="5112"/>
    <s v="Kavya Shettigara"/>
    <s v="shettigar1989kavya@gmail.com"/>
    <x v="2"/>
    <x v="0"/>
    <x v="1"/>
    <x v="0"/>
  </r>
  <r>
    <x v="5"/>
    <n v="5113"/>
    <s v="Themba Msiza"/>
    <s v="tfmzworld@gmail.com"/>
    <x v="2"/>
    <x v="0"/>
    <x v="1"/>
    <x v="0"/>
  </r>
  <r>
    <x v="5"/>
    <n v="5114"/>
    <s v="Shaun Reed"/>
    <s v="shaunreed116@outlook.com"/>
    <x v="2"/>
    <x v="0"/>
    <x v="2"/>
    <x v="0"/>
  </r>
  <r>
    <x v="4"/>
    <n v="5115"/>
    <s v="Owen Shiri "/>
    <s v="owenshiri@gmail.com"/>
    <x v="3"/>
    <x v="0"/>
    <x v="5"/>
    <x v="0"/>
  </r>
  <r>
    <x v="4"/>
    <n v="4175"/>
    <s v="Gopikrishna Vallabhaneni"/>
    <s v="vgk2020@yahoo.com"/>
    <x v="3"/>
    <x v="1"/>
    <x v="2"/>
    <x v="0"/>
  </r>
  <r>
    <x v="4"/>
    <n v="5116"/>
    <s v="Bhekithemba Nzuza"/>
    <s v="bheki.nzuza@hotmail.com"/>
    <x v="3"/>
    <x v="0"/>
    <x v="1"/>
    <x v="0"/>
  </r>
  <r>
    <x v="1"/>
    <n v="5120"/>
    <s v="khumzzz@gmail.com"/>
    <s v="khumzzz@gmail.com"/>
    <x v="3"/>
    <x v="0"/>
    <x v="1"/>
    <x v="0"/>
  </r>
  <r>
    <x v="0"/>
    <n v="3838"/>
    <s v="Yande Kapembwa Mwale"/>
    <s v="ymwale@gmail.com"/>
    <x v="3"/>
    <x v="1"/>
    <x v="1"/>
    <x v="0"/>
  </r>
  <r>
    <x v="0"/>
    <n v="4191"/>
    <s v="Ruthvik K"/>
    <s v="mail2ruthvik2103@gmail.com"/>
    <x v="3"/>
    <x v="1"/>
    <x v="1"/>
    <x v="0"/>
  </r>
  <r>
    <x v="0"/>
    <n v="3600"/>
    <s v="Tebogo Mathibela"/>
    <s v="tmathibela8@gmail.com"/>
    <x v="3"/>
    <x v="1"/>
    <x v="1"/>
    <x v="0"/>
  </r>
  <r>
    <x v="0"/>
    <n v="5122"/>
    <s v="Chwayita Dayile"/>
    <s v="chwayita.dayile787@gmail.com"/>
    <x v="3"/>
    <x v="0"/>
    <x v="1"/>
    <x v="0"/>
  </r>
  <r>
    <x v="0"/>
    <n v="5121"/>
    <s v="Fhatuwani Masala"/>
    <s v="fhatuwanimasala@gmail.com"/>
    <x v="3"/>
    <x v="0"/>
    <x v="1"/>
    <x v="0"/>
  </r>
  <r>
    <x v="4"/>
    <n v="4175"/>
    <s v="Gopikrishna Vallabhaneni"/>
    <s v="vgk2020@yahoo.com"/>
    <x v="3"/>
    <x v="1"/>
    <x v="1"/>
    <x v="0"/>
  </r>
  <r>
    <x v="0"/>
    <n v="718"/>
    <s v="Xolani Mthimkhulu"/>
    <s v="techxolani@gmail.com"/>
    <x v="4"/>
    <x v="1"/>
    <x v="1"/>
    <x v="0"/>
  </r>
  <r>
    <x v="2"/>
    <n v="5123"/>
    <s v="Heinrich Glover"/>
    <s v="heinrich.glover@hotmail.com"/>
    <x v="4"/>
    <x v="0"/>
    <x v="6"/>
    <x v="0"/>
  </r>
  <r>
    <x v="2"/>
    <n v="5124"/>
    <s v="Thabiso Ramolobeng"/>
    <s v="thabisoramolobeng@gmail.com"/>
    <x v="4"/>
    <x v="0"/>
    <x v="6"/>
    <x v="0"/>
  </r>
  <r>
    <x v="2"/>
    <n v="5095"/>
    <s v="Dennis Luke Owuor"/>
    <s v="dennisluke11@gmail.com"/>
    <x v="4"/>
    <x v="1"/>
    <x v="6"/>
    <x v="0"/>
  </r>
  <r>
    <x v="2"/>
    <n v="5125"/>
    <s v="Zama Onceya"/>
    <s v="deklerkliezl@gmail.com"/>
    <x v="4"/>
    <x v="0"/>
    <x v="6"/>
    <x v="0"/>
  </r>
  <r>
    <x v="2"/>
    <n v="5126"/>
    <s v="Blake Brent"/>
    <s v="dev.blakebrent@gmail.com"/>
    <x v="4"/>
    <x v="0"/>
    <x v="6"/>
    <x v="0"/>
  </r>
  <r>
    <x v="2"/>
    <n v="2782"/>
    <s v="Mpho Ndlela"/>
    <s v="mpho.c.ndlela@gmail.com"/>
    <x v="4"/>
    <x v="1"/>
    <x v="6"/>
    <x v="0"/>
  </r>
  <r>
    <x v="2"/>
    <n v="5127"/>
    <s v="Silethemba Dube"/>
    <s v="sledube@gmail.com"/>
    <x v="4"/>
    <x v="0"/>
    <x v="6"/>
    <x v="0"/>
  </r>
  <r>
    <x v="0"/>
    <n v="2747"/>
    <s v="Anudeep Bathula"/>
    <s v="bathulanudeep@gmail.com"/>
    <x v="4"/>
    <x v="1"/>
    <x v="1"/>
    <x v="0"/>
  </r>
  <r>
    <x v="5"/>
    <n v="1978"/>
    <s v="Mutyala Reddy"/>
    <s v="pveerabs@gmail.com "/>
    <x v="4"/>
    <x v="1"/>
    <x v="2"/>
    <x v="0"/>
  </r>
  <r>
    <x v="8"/>
    <n v="5128"/>
    <s v="Abdoul Karime Ouattara"/>
    <s v="nilesh8538@gmail.com"/>
    <x v="5"/>
    <x v="0"/>
    <x v="1"/>
    <x v="0"/>
  </r>
  <r>
    <x v="1"/>
    <n v="5130"/>
    <s v="Jyotsnamayee Purohit"/>
    <s v="jyotsnamayeepurohit87@gmail.com"/>
    <x v="5"/>
    <x v="0"/>
    <x v="1"/>
    <x v="0"/>
  </r>
  <r>
    <x v="1"/>
    <n v="379"/>
    <s v="David Mbaimbai"/>
    <s v="davymbaimbai@gmail.com"/>
    <x v="5"/>
    <x v="1"/>
    <x v="1"/>
    <x v="0"/>
  </r>
  <r>
    <x v="1"/>
    <n v="2962"/>
    <s v="Ignasio Dondo"/>
    <s v="imdondo@gmail.com"/>
    <x v="5"/>
    <x v="1"/>
    <x v="0"/>
    <x v="0"/>
  </r>
  <r>
    <x v="9"/>
    <n v="5131"/>
    <s v="Srikanth A"/>
    <s v="srikanth.sa.devops@gmail.com"/>
    <x v="6"/>
    <x v="0"/>
    <x v="1"/>
    <x v="0"/>
  </r>
  <r>
    <x v="9"/>
    <n v="5132"/>
    <s v="Siraj Shaik"/>
    <s v="shaikintiyazdevopseng@gmail.com"/>
    <x v="6"/>
    <x v="0"/>
    <x v="1"/>
    <x v="0"/>
  </r>
  <r>
    <x v="9"/>
    <n v="5133"/>
    <s v="Srikanth Cherupally"/>
    <s v="csree4@gmail.com"/>
    <x v="6"/>
    <x v="0"/>
    <x v="1"/>
    <x v="0"/>
  </r>
  <r>
    <x v="9"/>
    <n v="5134"/>
    <s v="Allan Dzingo"/>
    <s v="allandzingo@gmail.com"/>
    <x v="6"/>
    <x v="0"/>
    <x v="1"/>
    <x v="0"/>
  </r>
  <r>
    <x v="9"/>
    <n v="5135"/>
    <s v="Bala"/>
    <s v="Balaabhi001@gmail.com"/>
    <x v="6"/>
    <x v="0"/>
    <x v="1"/>
    <x v="0"/>
  </r>
  <r>
    <x v="9"/>
    <n v="5136"/>
    <s v="Ofentse Maphakela"/>
    <s v="omaphakela@gmail.com"/>
    <x v="6"/>
    <x v="0"/>
    <x v="1"/>
    <x v="0"/>
  </r>
  <r>
    <x v="9"/>
    <n v="5137"/>
    <s v="Prasanna Kumar"/>
    <s v="cherukumallaprasannakumar@gmail.com"/>
    <x v="6"/>
    <x v="0"/>
    <x v="0"/>
    <x v="0"/>
  </r>
  <r>
    <x v="9"/>
    <n v="3733"/>
    <s v="Raghavaraju Raju"/>
    <s v="raghavaraju1996@gmail.com"/>
    <x v="6"/>
    <x v="1"/>
    <x v="1"/>
    <x v="0"/>
  </r>
  <r>
    <x v="9"/>
    <n v="5138"/>
    <s v="Vamsi Krishna"/>
    <s v="vamsikrishna.da15@gmail.com"/>
    <x v="6"/>
    <x v="0"/>
    <x v="1"/>
    <x v="0"/>
  </r>
  <r>
    <x v="9"/>
    <n v="2160"/>
    <s v="Yashwanth"/>
    <s v="yashwanthdevops0818@gmail.com"/>
    <x v="6"/>
    <x v="1"/>
    <x v="1"/>
    <x v="0"/>
  </r>
  <r>
    <x v="9"/>
    <n v="5139"/>
    <s v="Ash Alex"/>
    <s v="ashllybr01@gmail.com"/>
    <x v="6"/>
    <x v="0"/>
    <x v="1"/>
    <x v="0"/>
  </r>
  <r>
    <x v="8"/>
    <n v="5140"/>
    <s v="Jobin Johny"/>
    <s v="jobinjohnyp@gmail.com"/>
    <x v="6"/>
    <x v="0"/>
    <x v="4"/>
    <x v="0"/>
  </r>
  <r>
    <x v="8"/>
    <n v="5141"/>
    <s v="Tatenda Audrey Chanakira"/>
    <s v="tate.audrie.charks@gmail.com"/>
    <x v="6"/>
    <x v="0"/>
    <x v="1"/>
    <x v="0"/>
  </r>
  <r>
    <x v="8"/>
    <n v="5142"/>
    <s v="Tapfuma Golden Chimusinde"/>
    <s v="goldenchimsy@gmail.com"/>
    <x v="6"/>
    <x v="0"/>
    <x v="1"/>
    <x v="0"/>
  </r>
  <r>
    <x v="8"/>
    <n v="5143"/>
    <s v="Daniel Senga"/>
    <s v="polyape@gmail.com"/>
    <x v="6"/>
    <x v="0"/>
    <x v="1"/>
    <x v="0"/>
  </r>
  <r>
    <x v="10"/>
    <n v="5144"/>
    <s v="Markus Liebenberg"/>
    <s v="markus.liebenberg7@gmail.com"/>
    <x v="6"/>
    <x v="0"/>
    <x v="1"/>
    <x v="0"/>
  </r>
  <r>
    <x v="10"/>
    <n v="5145"/>
    <s v="Vincent Mpho Riba"/>
    <s v="vincentmpho80@gmail.com"/>
    <x v="6"/>
    <x v="0"/>
    <x v="1"/>
    <x v="0"/>
  </r>
  <r>
    <x v="9"/>
    <n v="5146"/>
    <s v="Indran Subroyen"/>
    <s v="subroyenindran@gmail.com"/>
    <x v="6"/>
    <x v="0"/>
    <x v="1"/>
    <x v="0"/>
  </r>
  <r>
    <x v="9"/>
    <n v="5148"/>
    <s v="Ishmael Devison Muttermuka"/>
    <s v="butawauf@gmail.com"/>
    <x v="6"/>
    <x v="0"/>
    <x v="1"/>
    <x v="0"/>
  </r>
  <r>
    <x v="9"/>
    <n v="5149"/>
    <s v="Mutoriti Eliot"/>
    <s v="imuteremuka@yahoo.com"/>
    <x v="6"/>
    <x v="0"/>
    <x v="1"/>
    <x v="0"/>
  </r>
  <r>
    <x v="9"/>
    <n v="5149"/>
    <s v="Kranthi V"/>
    <s v="kranthiv340@gmail.com"/>
    <x v="7"/>
    <x v="0"/>
    <x v="1"/>
    <x v="0"/>
  </r>
  <r>
    <x v="9"/>
    <n v="5151"/>
    <s v="Simon Mathelela"/>
    <s v="simonmathelela@gmail.com'"/>
    <x v="7"/>
    <x v="0"/>
    <x v="1"/>
    <x v="0"/>
  </r>
  <r>
    <x v="9"/>
    <n v="660"/>
    <s v="Lokesh Nakkina"/>
    <s v="nakkinalokesh07@gmail.com"/>
    <x v="7"/>
    <x v="1"/>
    <x v="1"/>
    <x v="0"/>
  </r>
  <r>
    <x v="9"/>
    <n v="5152"/>
    <s v="Prosper Shoko"/>
    <s v="proeshoko@gmail.com"/>
    <x v="7"/>
    <x v="0"/>
    <x v="1"/>
    <x v="0"/>
  </r>
  <r>
    <x v="9"/>
    <n v="5154"/>
    <s v="Tokologo Chabalala"/>
    <s v="tokocha81@gmail.com"/>
    <x v="7"/>
    <x v="0"/>
    <x v="1"/>
    <x v="0"/>
  </r>
  <r>
    <x v="9"/>
    <n v="5155"/>
    <s v="Milton Furusa"/>
    <s v="msfurusa@gmail.com"/>
    <x v="7"/>
    <x v="0"/>
    <x v="0"/>
    <x v="0"/>
  </r>
  <r>
    <x v="9"/>
    <n v="3567"/>
    <s v="Valentine Nsukuzonke"/>
    <s v="valentino.nsukuzonke@gmail.com"/>
    <x v="7"/>
    <x v="1"/>
    <x v="1"/>
    <x v="0"/>
  </r>
  <r>
    <x v="9"/>
    <n v="5146"/>
    <s v="Indran Subroyen"/>
    <s v="subroyenindran@gmail.com"/>
    <x v="7"/>
    <x v="0"/>
    <x v="1"/>
    <x v="0"/>
  </r>
  <r>
    <x v="9"/>
    <n v="5158"/>
    <s v="Mathews Tjale"/>
    <s v="mathewstjale@gmail.com"/>
    <x v="7"/>
    <x v="0"/>
    <x v="1"/>
    <x v="0"/>
  </r>
  <r>
    <x v="9"/>
    <n v="5159"/>
    <s v="Riaan Pretorius"/>
    <s v="pretorius.riaan@gmail.com"/>
    <x v="7"/>
    <x v="0"/>
    <x v="1"/>
    <x v="0"/>
  </r>
  <r>
    <x v="9"/>
    <n v="5031"/>
    <s v="Padmaraju Raju"/>
    <s v="padamarajuashok@gmail.com"/>
    <x v="7"/>
    <x v="1"/>
    <x v="1"/>
    <x v="0"/>
  </r>
  <r>
    <x v="9"/>
    <n v="2422"/>
    <s v="Ibrahim Abdullahi"/>
    <s v="player.ibrahim00@gmail.com"/>
    <x v="7"/>
    <x v="1"/>
    <x v="2"/>
    <x v="7"/>
  </r>
  <r>
    <x v="1"/>
    <n v="3465"/>
    <s v="Nyiko Ngobeni"/>
    <s v="nyiko.ngobeni2020@gmail.com"/>
    <x v="7"/>
    <x v="1"/>
    <x v="2"/>
    <x v="8"/>
  </r>
  <r>
    <x v="6"/>
    <n v="3095"/>
    <s v="Nithin Rayudu"/>
    <s v="rayudunmc@gmail.com"/>
    <x v="7"/>
    <x v="1"/>
    <x v="3"/>
    <x v="0"/>
  </r>
  <r>
    <x v="9"/>
    <n v="5151"/>
    <s v="Simon Mathelela"/>
    <s v="emtoriti@gmail.com"/>
    <x v="7"/>
    <x v="0"/>
    <x v="1"/>
    <x v="0"/>
  </r>
  <r>
    <x v="9"/>
    <n v="5153"/>
    <s v="Jarred Thomas"/>
    <s v="jarredthomas101@gmail.com"/>
    <x v="7"/>
    <x v="0"/>
    <x v="1"/>
    <x v="0"/>
  </r>
  <r>
    <x v="9"/>
    <n v="5156"/>
    <s v="Jacques O Connel"/>
    <s v="oconnell.jacques@gmail.com"/>
    <x v="7"/>
    <x v="0"/>
    <x v="2"/>
    <x v="0"/>
  </r>
  <r>
    <x v="9"/>
    <n v="5157"/>
    <s v="Kevin Kapinga Muya"/>
    <s v="kfmuya@gmail.com"/>
    <x v="7"/>
    <x v="0"/>
    <x v="4"/>
    <x v="0"/>
  </r>
  <r>
    <x v="11"/>
    <n v="5160"/>
    <s v="Mfumbesi Sikhanyisele"/>
    <s v="sikhanyiselemfumbesi.sm@gmail.com"/>
    <x v="7"/>
    <x v="0"/>
    <x v="4"/>
    <x v="0"/>
  </r>
  <r>
    <x v="9"/>
    <n v="5161"/>
    <s v="Devon Patrick Adkins"/>
    <s v="Adkins.Devon@hotmail.com"/>
    <x v="7"/>
    <x v="0"/>
    <x v="1"/>
    <x v="0"/>
  </r>
  <r>
    <x v="9"/>
    <n v="5162"/>
    <s v="Clemtn Tshivhase"/>
    <s v="clementcd@gmail.com "/>
    <x v="7"/>
    <x v="0"/>
    <x v="1"/>
    <x v="0"/>
  </r>
  <r>
    <x v="7"/>
    <n v="3095"/>
    <s v="Nithin Rayudu"/>
    <s v="rayudunmc@gmail.com"/>
    <x v="7"/>
    <x v="1"/>
    <x v="1"/>
    <x v="0"/>
  </r>
  <r>
    <x v="12"/>
    <n v="1270"/>
    <s v="Thulani Ndlovu"/>
    <s v="thulanindl@hotmail.com "/>
    <x v="7"/>
    <x v="1"/>
    <x v="1"/>
    <x v="0"/>
  </r>
  <r>
    <x v="12"/>
    <n v="1679"/>
    <s v="Donny Vumbi"/>
    <s v="dvumbi@gmail.com"/>
    <x v="7"/>
    <x v="1"/>
    <x v="5"/>
    <x v="9"/>
  </r>
  <r>
    <x v="12"/>
    <n v="2160"/>
    <s v="Yashwanth"/>
    <s v="emails2yashwanth@gmail.com"/>
    <x v="7"/>
    <x v="1"/>
    <x v="1"/>
    <x v="9"/>
  </r>
  <r>
    <x v="4"/>
    <n v="4175"/>
    <s v="Gopikrishna Vallabhaneni"/>
    <s v="vgk2020@yahoo.com "/>
    <x v="7"/>
    <x v="1"/>
    <x v="1"/>
    <x v="0"/>
  </r>
  <r>
    <x v="4"/>
    <n v="1606"/>
    <s v="Yothi Puli"/>
    <s v="jyothinukala.cloud@gmail.com"/>
    <x v="7"/>
    <x v="1"/>
    <x v="5"/>
    <x v="0"/>
  </r>
  <r>
    <x v="1"/>
    <n v="2747"/>
    <s v="Anudeep Bathula"/>
    <s v="bathulanudeep@gmail.com"/>
    <x v="8"/>
    <x v="1"/>
    <x v="7"/>
    <x v="0"/>
  </r>
  <r>
    <x v="1"/>
    <n v="1418"/>
    <s v="Simbarashe Makura"/>
    <s v="simba.makura@gmail.com"/>
    <x v="8"/>
    <x v="1"/>
    <x v="1"/>
    <x v="0"/>
  </r>
  <r>
    <x v="11"/>
    <n v="5163"/>
    <s v="Sthembiso Mjoko"/>
    <s v="sjmjoko@gmail.com"/>
    <x v="8"/>
    <x v="0"/>
    <x v="1"/>
    <x v="0"/>
  </r>
  <r>
    <x v="11"/>
    <n v="5180"/>
    <s v="Francois Gouws"/>
    <s v="gouwsf7@gmail.com"/>
    <x v="8"/>
    <x v="0"/>
    <x v="6"/>
    <x v="0"/>
  </r>
  <r>
    <x v="13"/>
    <n v="5179"/>
    <s v="Gerald Mtetwa"/>
    <s v="mtetwagerald50@gmail.com"/>
    <x v="8"/>
    <x v="0"/>
    <x v="6"/>
    <x v="0"/>
  </r>
  <r>
    <x v="11"/>
    <n v="5178"/>
    <s v="Jacob Mashape Legong"/>
    <s v="legongjacob@gmail.com"/>
    <x v="8"/>
    <x v="0"/>
    <x v="6"/>
    <x v="0"/>
  </r>
  <r>
    <x v="13"/>
    <n v="5177"/>
    <s v="Mighty Kekana "/>
    <s v="mightytselana@gmail.com"/>
    <x v="8"/>
    <x v="0"/>
    <x v="6"/>
    <x v="0"/>
  </r>
  <r>
    <x v="11"/>
    <n v="5177"/>
    <s v="Mighty Kekana "/>
    <s v="mightytselana@gmail.com"/>
    <x v="8"/>
    <x v="0"/>
    <x v="6"/>
    <x v="0"/>
  </r>
  <r>
    <x v="11"/>
    <n v="3797"/>
    <s v="Rethabile Mafata"/>
    <s v="rethamaf@gmail.com"/>
    <x v="8"/>
    <x v="0"/>
    <x v="6"/>
    <x v="0"/>
  </r>
  <r>
    <x v="11"/>
    <n v="5176"/>
    <s v="Abhishek Kumar"/>
    <s v="kumaracloud27@gmail.com"/>
    <x v="8"/>
    <x v="0"/>
    <x v="6"/>
    <x v="0"/>
  </r>
  <r>
    <x v="13"/>
    <n v="5175"/>
    <s v="Elias Dan Phiri"/>
    <s v="eliasdphiri217@gmail.com"/>
    <x v="8"/>
    <x v="0"/>
    <x v="6"/>
    <x v="0"/>
  </r>
  <r>
    <x v="11"/>
    <n v="5175"/>
    <s v="Elias Dan Phiri"/>
    <s v="eliasdphiri217@gmail.com"/>
    <x v="8"/>
    <x v="0"/>
    <x v="6"/>
    <x v="0"/>
  </r>
  <r>
    <x v="13"/>
    <n v="2099"/>
    <s v="Praveen Kumar Srivastav"/>
    <s v="shri.yuvi17@gmail.com"/>
    <x v="8"/>
    <x v="1"/>
    <x v="6"/>
    <x v="0"/>
  </r>
  <r>
    <x v="11"/>
    <n v="2099"/>
    <s v="Praveen Kumar Srivastav"/>
    <s v="shri.yuvi17@gmail.com"/>
    <x v="8"/>
    <x v="1"/>
    <x v="6"/>
    <x v="0"/>
  </r>
  <r>
    <x v="13"/>
    <n v="5186"/>
    <s v="Zakariyyah Levy"/>
    <s v="akariyyahlevy@yahoo.co.za"/>
    <x v="8"/>
    <x v="0"/>
    <x v="6"/>
    <x v="0"/>
  </r>
  <r>
    <x v="14"/>
    <n v="5164"/>
    <s v="Jonathan Cubitt"/>
    <s v="jcubitt2.fb@gmail.com"/>
    <x v="9"/>
    <x v="0"/>
    <x v="1"/>
    <x v="0"/>
  </r>
  <r>
    <x v="14"/>
    <n v="1229"/>
    <s v="Njabulo Ayanda Shabalala"/>
    <s v="njabuloshabalala@gmail.com"/>
    <x v="9"/>
    <x v="1"/>
    <x v="1"/>
    <x v="0"/>
  </r>
  <r>
    <x v="14"/>
    <n v="5165"/>
    <s v="Cedrick Ramuada"/>
    <s v="vramuada@gmail.com"/>
    <x v="9"/>
    <x v="0"/>
    <x v="1"/>
    <x v="0"/>
  </r>
  <r>
    <x v="14"/>
    <n v="3678"/>
    <s v="Mokhuoane Mocwana"/>
    <s v="mokhuoane@gmail.com"/>
    <x v="9"/>
    <x v="1"/>
    <x v="1"/>
    <x v="0"/>
  </r>
  <r>
    <x v="14"/>
    <n v="1614"/>
    <s v="Siyabonga Zondi"/>
    <s v="swzondi22@gmail.com"/>
    <x v="9"/>
    <x v="1"/>
    <x v="1"/>
    <x v="0"/>
  </r>
  <r>
    <x v="14"/>
    <n v="5166"/>
    <s v="Thobani Mngoma"/>
    <s v="tmmngoma@gmail.com"/>
    <x v="9"/>
    <x v="0"/>
    <x v="1"/>
    <x v="0"/>
  </r>
  <r>
    <x v="14"/>
    <n v="1336"/>
    <s v="Michael Homera"/>
    <s v="homeranm@gmail.com"/>
    <x v="9"/>
    <x v="1"/>
    <x v="1"/>
    <x v="0"/>
  </r>
  <r>
    <x v="14"/>
    <n v="5167"/>
    <s v="Akhona Nqiwa"/>
    <s v="akhonanqiwa@gmail.com"/>
    <x v="9"/>
    <x v="0"/>
    <x v="1"/>
    <x v="0"/>
  </r>
  <r>
    <x v="14"/>
    <n v="5168"/>
    <s v="Alida Meira"/>
    <s v="alida.meira@outlook.com"/>
    <x v="9"/>
    <x v="0"/>
    <x v="2"/>
    <x v="10"/>
  </r>
  <r>
    <x v="1"/>
    <n v="5172"/>
    <s v="Munashe Hondo"/>
    <s v=" munashehondo@gmail.com"/>
    <x v="9"/>
    <x v="0"/>
    <x v="2"/>
    <x v="11"/>
  </r>
  <r>
    <x v="11"/>
    <n v="5175"/>
    <s v="Elias Dan Phiri"/>
    <s v=" eliasdphiri217@gmail.com"/>
    <x v="9"/>
    <x v="0"/>
    <x v="1"/>
    <x v="0"/>
  </r>
  <r>
    <x v="11"/>
    <n v="5176"/>
    <s v="Abhishek Kumar"/>
    <s v="kumaracloud27@gmail.com"/>
    <x v="9"/>
    <x v="0"/>
    <x v="1"/>
    <x v="0"/>
  </r>
  <r>
    <x v="11"/>
    <n v="3797"/>
    <s v="Rethabile Mafata"/>
    <s v="rethamaf@gmail.com"/>
    <x v="9"/>
    <x v="1"/>
    <x v="1"/>
    <x v="0"/>
  </r>
  <r>
    <x v="9"/>
    <n v="5177"/>
    <s v="Mighty Kekana "/>
    <s v=" mightytselana@gmail.com"/>
    <x v="9"/>
    <x v="0"/>
    <x v="2"/>
    <x v="12"/>
  </r>
  <r>
    <x v="9"/>
    <n v="5178"/>
    <s v="Jacob Mashape Legong"/>
    <s v="legongjacob@gmail.com"/>
    <x v="9"/>
    <x v="0"/>
    <x v="1"/>
    <x v="0"/>
  </r>
  <r>
    <x v="13"/>
    <n v="5179"/>
    <s v="Gerald Mtetwa"/>
    <s v="mtetwagerald50@gmail.com"/>
    <x v="9"/>
    <x v="0"/>
    <x v="2"/>
    <x v="12"/>
  </r>
  <r>
    <x v="14"/>
    <n v="5199"/>
    <s v="Fikile Mdiniso "/>
    <s v="fikilemdiniso2@gmail.com"/>
    <x v="9"/>
    <x v="0"/>
    <x v="1"/>
    <x v="0"/>
  </r>
  <r>
    <x v="14"/>
    <n v="5200"/>
    <s v="Sena Herbert Tamakloe"/>
    <s v="senahubert@gmail.com"/>
    <x v="9"/>
    <x v="0"/>
    <x v="4"/>
    <x v="0"/>
  </r>
  <r>
    <x v="14"/>
    <n v="5201"/>
    <s v="Thabiso Padi"/>
    <s v="padi.thabiso@yahoo.com"/>
    <x v="9"/>
    <x v="0"/>
    <x v="5"/>
    <x v="0"/>
  </r>
  <r>
    <x v="14"/>
    <n v="5202"/>
    <s v="Nicholas Gopolang Motlhoki"/>
    <s v="Nicholas.Motlhoki@gmail.com"/>
    <x v="9"/>
    <x v="0"/>
    <x v="1"/>
    <x v="0"/>
  </r>
  <r>
    <x v="14"/>
    <n v="1264"/>
    <s v="Praveen Muppalla"/>
    <s v="muppallapraveen.bi@gmail.com"/>
    <x v="9"/>
    <x v="1"/>
    <x v="1"/>
    <x v="0"/>
  </r>
  <r>
    <x v="14"/>
    <n v="5203"/>
    <s v="Harish CH"/>
    <s v="Chharish199515@gmail.com"/>
    <x v="9"/>
    <x v="0"/>
    <x v="0"/>
    <x v="0"/>
  </r>
  <r>
    <x v="14"/>
    <n v="5204"/>
    <s v="Macdonald Mofokeng"/>
    <s v="fkmac001@gmail.com"/>
    <x v="9"/>
    <x v="0"/>
    <x v="0"/>
    <x v="0"/>
  </r>
  <r>
    <x v="14"/>
    <n v="5206"/>
    <s v="Kelvin Kuzdzai Sipeyiye"/>
    <s v="kelvin.sipeyiye@gmail.com"/>
    <x v="9"/>
    <x v="0"/>
    <x v="1"/>
    <x v="0"/>
  </r>
  <r>
    <x v="14"/>
    <n v="5207"/>
    <s v="Aparna Sagi "/>
    <s v="aparnasagis@gmail.com"/>
    <x v="9"/>
    <x v="0"/>
    <x v="2"/>
    <x v="12"/>
  </r>
  <r>
    <x v="4"/>
    <n v="2765"/>
    <s v="Mohammed Titus"/>
    <s v="mohammedtitus@gmail.com"/>
    <x v="9"/>
    <x v="1"/>
    <x v="2"/>
    <x v="0"/>
  </r>
  <r>
    <x v="4"/>
    <n v="5182"/>
    <s v="Mfundiso Mnotoza"/>
    <s v=" shiyaamvh@cpconsulting.co.za"/>
    <x v="9"/>
    <x v="0"/>
    <x v="1"/>
    <x v="0"/>
  </r>
  <r>
    <x v="4"/>
    <n v="4111"/>
    <s v="Shiva Shanker Belluri"/>
    <s v="shanker8683@gmail.com"/>
    <x v="9"/>
    <x v="1"/>
    <x v="2"/>
    <x v="13"/>
  </r>
  <r>
    <x v="1"/>
    <n v="5114"/>
    <s v="Shaun Reed"/>
    <s v="shaunreed116@outlook.com"/>
    <x v="10"/>
    <x v="1"/>
    <x v="2"/>
    <x v="14"/>
  </r>
  <r>
    <x v="1"/>
    <n v="5112"/>
    <s v="Kavya Shettigara"/>
    <s v="shettigar1989kavya@gmail.com "/>
    <x v="10"/>
    <x v="1"/>
    <x v="1"/>
    <x v="0"/>
  </r>
  <r>
    <x v="1"/>
    <n v="5208"/>
    <s v="Mthobisi Dlamini"/>
    <s v="mtho.dlaminie@gmail.com "/>
    <x v="10"/>
    <x v="0"/>
    <x v="1"/>
    <x v="0"/>
  </r>
  <r>
    <x v="1"/>
    <n v="1739"/>
    <s v="Madi Muqattash"/>
    <s v="mmuqattash@gmail.com"/>
    <x v="10"/>
    <x v="1"/>
    <x v="1"/>
    <x v="0"/>
  </r>
  <r>
    <x v="1"/>
    <n v="5209"/>
    <s v="Nequito Eddy Khoza"/>
    <s v="khozaeddy@gmail.com "/>
    <x v="10"/>
    <x v="0"/>
    <x v="1"/>
    <x v="0"/>
  </r>
  <r>
    <x v="1"/>
    <n v="555"/>
    <s v="Sujatha Gundampadu"/>
    <s v="sujathateetla@gmail.com"/>
    <x v="10"/>
    <x v="1"/>
    <x v="1"/>
    <x v="0"/>
  </r>
  <r>
    <x v="1"/>
    <n v="3522"/>
    <s v="Molebogeng Maine"/>
    <s v="maleboprecious@gmail.com"/>
    <x v="10"/>
    <x v="1"/>
    <x v="1"/>
    <x v="0"/>
  </r>
  <r>
    <x v="15"/>
    <n v="5219"/>
    <s v="Pascal Londani Radzilani"/>
    <s v="pradzilani9@gmail.com"/>
    <x v="11"/>
    <x v="0"/>
    <x v="2"/>
    <x v="15"/>
  </r>
  <r>
    <x v="15"/>
    <n v="3382"/>
    <s v="Dennis Mosehla"/>
    <s v="dennis.mosehla@gmail.com"/>
    <x v="11"/>
    <x v="1"/>
    <x v="2"/>
    <x v="16"/>
  </r>
  <r>
    <x v="15"/>
    <n v="3067"/>
    <s v="Preetamsingh Bismohun"/>
    <s v="preetamsinghbismohun@yahoo.com"/>
    <x v="11"/>
    <x v="1"/>
    <x v="3"/>
    <x v="0"/>
  </r>
  <r>
    <x v="15"/>
    <n v="5099"/>
    <s v="Kaelin Pather"/>
    <s v="patherkaelin@gmail.com"/>
    <x v="11"/>
    <x v="1"/>
    <x v="2"/>
    <x v="17"/>
  </r>
  <r>
    <x v="15"/>
    <n v="5220"/>
    <s v="Charl du Toit"/>
    <s v="charl.dutoit85@gmail.com"/>
    <x v="11"/>
    <x v="0"/>
    <x v="2"/>
    <x v="18"/>
  </r>
  <r>
    <x v="15"/>
    <n v="3044"/>
    <s v="Percy Keetse"/>
    <s v="Mpkeetse@gmail.com"/>
    <x v="11"/>
    <x v="1"/>
    <x v="5"/>
    <x v="19"/>
  </r>
  <r>
    <x v="4"/>
    <n v="5222"/>
    <s v="Mahlatse Mogano"/>
    <s v="MahlatseMogano@ymail.com"/>
    <x v="11"/>
    <x v="0"/>
    <x v="4"/>
    <x v="0"/>
  </r>
  <r>
    <x v="15"/>
    <n v="5221"/>
    <s v="Junior Zwelethu Skosana"/>
    <s v="juniorskosana15@gmail.com"/>
    <x v="11"/>
    <x v="0"/>
    <x v="2"/>
    <x v="20"/>
  </r>
  <r>
    <x v="15"/>
    <n v="5528"/>
    <s v="Warren Ramgath"/>
    <s v="wramgath@gmail.com"/>
    <x v="11"/>
    <x v="0"/>
    <x v="1"/>
    <x v="0"/>
  </r>
  <r>
    <x v="15"/>
    <n v="5529"/>
    <s v="Nhlanhla Ngoveni"/>
    <s v="nlngoveni@gmail.com"/>
    <x v="11"/>
    <x v="0"/>
    <x v="1"/>
    <x v="0"/>
  </r>
  <r>
    <x v="15"/>
    <n v="5530"/>
    <s v="Sandisiwe Vutula"/>
    <s v="Sandisiwevutula28@gmail.com"/>
    <x v="11"/>
    <x v="0"/>
    <x v="1"/>
    <x v="0"/>
  </r>
  <r>
    <x v="15"/>
    <n v="5531"/>
    <s v="Leo Van Onselen"/>
    <s v="leonard.van.onselen@gmail.com"/>
    <x v="11"/>
    <x v="0"/>
    <x v="1"/>
    <x v="0"/>
  </r>
  <r>
    <x v="15"/>
    <n v="5532"/>
    <s v="Brian Nkosi"/>
    <s v="briannbnkosi@gmail.com"/>
    <x v="11"/>
    <x v="0"/>
    <x v="1"/>
    <x v="0"/>
  </r>
  <r>
    <x v="15"/>
    <n v="4553"/>
    <s v="Ndivhuwo Nthangeni "/>
    <s v="ndivhuwomokwelela@gmail.com "/>
    <x v="11"/>
    <x v="1"/>
    <x v="1"/>
    <x v="0"/>
  </r>
  <r>
    <x v="15"/>
    <n v="5533"/>
    <s v="Pavan Patke"/>
    <s v="pavan.patke@gmail.com"/>
    <x v="11"/>
    <x v="0"/>
    <x v="1"/>
    <x v="0"/>
  </r>
  <r>
    <x v="15"/>
    <n v="5547"/>
    <s v="Thabang Righie Mohlosana"/>
    <s v="0659639035 righiem@gmail.com"/>
    <x v="12"/>
    <x v="0"/>
    <x v="1"/>
    <x v="0"/>
  </r>
  <r>
    <x v="15"/>
    <n v="3716"/>
    <s v="SaiCharan Vepur"/>
    <s v=" vepursaicharan@gmail.com"/>
    <x v="12"/>
    <x v="1"/>
    <x v="1"/>
    <x v="0"/>
  </r>
  <r>
    <x v="15"/>
    <n v="3289"/>
    <s v="Murton Peters"/>
    <s v="murton.peters@gmail.com"/>
    <x v="12"/>
    <x v="1"/>
    <x v="7"/>
    <x v="21"/>
  </r>
  <r>
    <x v="15"/>
    <n v="5551"/>
    <s v="Tukello Mathole"/>
    <s v="matholecristian@gmail.com"/>
    <x v="12"/>
    <x v="0"/>
    <x v="1"/>
    <x v="0"/>
  </r>
  <r>
    <x v="15"/>
    <n v="5552"/>
    <s v="Neo Keaobaka Thobejane"/>
    <s v="neo.thobz@gmail.com"/>
    <x v="12"/>
    <x v="0"/>
    <x v="1"/>
    <x v="0"/>
  </r>
  <r>
    <x v="15"/>
    <n v="5553"/>
    <s v="Khaliq Phasha"/>
    <s v="abdul.sfinfo@gmail.com"/>
    <x v="12"/>
    <x v="0"/>
    <x v="1"/>
    <x v="0"/>
  </r>
  <r>
    <x v="15"/>
    <n v="5554"/>
    <s v="Rabbi Mathake"/>
    <s v="rabbimathake@gmail.com"/>
    <x v="12"/>
    <x v="0"/>
    <x v="2"/>
    <x v="8"/>
  </r>
  <r>
    <x v="15"/>
    <n v="5555"/>
    <s v="Lindani Mfeka"/>
    <s v="leemfeka01@gmail.com"/>
    <x v="12"/>
    <x v="0"/>
    <x v="1"/>
    <x v="0"/>
  </r>
  <r>
    <x v="15"/>
    <n v="5556"/>
    <s v="Mthokozisi Ngwenya"/>
    <s v="mthokozie@gmail.com"/>
    <x v="12"/>
    <x v="0"/>
    <x v="1"/>
    <x v="0"/>
  </r>
  <r>
    <x v="15"/>
    <n v="5557"/>
    <s v="Takudzwa Tongoona"/>
    <s v="tongoonat@outlook.com"/>
    <x v="12"/>
    <x v="0"/>
    <x v="1"/>
    <x v="0"/>
  </r>
  <r>
    <x v="15"/>
    <n v="5105"/>
    <s v="Ndiphiwe Nombula"/>
    <s v="ndiphiwe.nombula@gmail.com"/>
    <x v="12"/>
    <x v="1"/>
    <x v="1"/>
    <x v="0"/>
  </r>
  <r>
    <x v="15"/>
    <n v="1277"/>
    <s v="Malefane Mokhahle"/>
    <s v="jonasemokhahle@gmail.com"/>
    <x v="12"/>
    <x v="1"/>
    <x v="1"/>
    <x v="0"/>
  </r>
  <r>
    <x v="15"/>
    <n v="2274"/>
    <s v="Nevinson Moyo"/>
    <s v="nevinson@outlook.com"/>
    <x v="12"/>
    <x v="1"/>
    <x v="1"/>
    <x v="0"/>
  </r>
  <r>
    <x v="16"/>
    <n v="3416"/>
    <s v="Abraham Sibusiso Muziwakhile Dlamini"/>
    <s v="dlaminis79@gmail.com"/>
    <x v="12"/>
    <x v="1"/>
    <x v="1"/>
    <x v="0"/>
  </r>
  <r>
    <x v="16"/>
    <n v="5011"/>
    <s v="Venkaiah Inampudi"/>
    <s v="vcinampudi@gmail.com"/>
    <x v="12"/>
    <x v="1"/>
    <x v="1"/>
    <x v="0"/>
  </r>
  <r>
    <x v="16"/>
    <n v="3922"/>
    <s v="Mahesh Kalluri"/>
    <s v="maheshkalluri.rsa@gmail.com"/>
    <x v="12"/>
    <x v="1"/>
    <x v="1"/>
    <x v="0"/>
  </r>
  <r>
    <x v="16"/>
    <n v="5548"/>
    <s v="Prince Mafolo"/>
    <s v="mochabo.mafolo@gmail.com"/>
    <x v="12"/>
    <x v="1"/>
    <x v="0"/>
    <x v="0"/>
  </r>
  <r>
    <x v="16"/>
    <n v="5558"/>
    <s v="Thabiso Makgotloe"/>
    <s v="thasomk@gmail.com"/>
    <x v="12"/>
    <x v="0"/>
    <x v="1"/>
    <x v="0"/>
  </r>
  <r>
    <x v="16"/>
    <n v="5559"/>
    <s v="Phillip Makhate"/>
    <s v="makhates@gmail.com"/>
    <x v="12"/>
    <x v="0"/>
    <x v="1"/>
    <x v="0"/>
  </r>
  <r>
    <x v="16"/>
    <n v="3409"/>
    <s v="Gregory Zwane"/>
    <s v="gregzwane@gmail.com"/>
    <x v="12"/>
    <x v="1"/>
    <x v="1"/>
    <x v="0"/>
  </r>
  <r>
    <x v="16"/>
    <n v="5560"/>
    <s v="Shiva Krishna Budda"/>
    <s v="shivakrishnabudda@gmail.com"/>
    <x v="12"/>
    <x v="0"/>
    <x v="1"/>
    <x v="0"/>
  </r>
  <r>
    <x v="16"/>
    <n v="546"/>
    <s v="Anil Gillela"/>
    <s v="gillellaanil@gmail.com"/>
    <x v="12"/>
    <x v="1"/>
    <x v="1"/>
    <x v="0"/>
  </r>
  <r>
    <x v="16"/>
    <n v="2934"/>
    <s v="Vinoth Kumar"/>
    <s v="iamvinoth21@gmail.com"/>
    <x v="13"/>
    <x v="1"/>
    <x v="1"/>
    <x v="0"/>
  </r>
  <r>
    <x v="16"/>
    <n v="5567"/>
    <s v="Azeez Salawu"/>
    <s v="azeezsalawu3@icloud.com"/>
    <x v="13"/>
    <x v="0"/>
    <x v="2"/>
    <x v="22"/>
  </r>
  <r>
    <x v="16"/>
    <n v="3442"/>
    <s v="Abongile Maso"/>
    <s v="abongile.maso@gmail.com"/>
    <x v="13"/>
    <x v="1"/>
    <x v="1"/>
    <x v="0"/>
  </r>
  <r>
    <x v="16"/>
    <n v="5569"/>
    <s v="Jerry Moloi"/>
    <s v="matsemelamoloi@gmail.com"/>
    <x v="13"/>
    <x v="0"/>
    <x v="1"/>
    <x v="0"/>
  </r>
  <r>
    <x v="16"/>
    <n v="5570"/>
    <s v="Hunadi Mapulane"/>
    <s v="hmapulane@gmail.com"/>
    <x v="13"/>
    <x v="0"/>
    <x v="1"/>
    <x v="0"/>
  </r>
  <r>
    <x v="16"/>
    <n v="5571"/>
    <s v="Given Nengwane"/>
    <s v="aleng104@gmail.com"/>
    <x v="13"/>
    <x v="0"/>
    <x v="1"/>
    <x v="0"/>
  </r>
  <r>
    <x v="16"/>
    <n v="5572"/>
    <s v="Thato Qhusheka"/>
    <s v="thatoqhusheka@gmail.com"/>
    <x v="13"/>
    <x v="0"/>
    <x v="0"/>
    <x v="0"/>
  </r>
  <r>
    <x v="16"/>
    <n v="3412"/>
    <s v="Thembelani Shezi"/>
    <s v="thembelani045@gmail.com"/>
    <x v="13"/>
    <x v="1"/>
    <x v="1"/>
    <x v="0"/>
  </r>
  <r>
    <x v="16"/>
    <n v="4004"/>
    <s v="Jerry Komane"/>
    <s v="Jerrykomane0@gmail.com"/>
    <x v="13"/>
    <x v="1"/>
    <x v="1"/>
    <x v="0"/>
  </r>
  <r>
    <x v="16"/>
    <n v="5573"/>
    <s v="Osia Mahawani"/>
    <s v="mahawaniosia@gmail.com"/>
    <x v="13"/>
    <x v="0"/>
    <x v="0"/>
    <x v="0"/>
  </r>
  <r>
    <x v="16"/>
    <n v="3059"/>
    <s v=" Phumudzo Mamphaga"/>
    <s v="zridley005@gmail.com"/>
    <x v="13"/>
    <x v="1"/>
    <x v="1"/>
    <x v="0"/>
  </r>
  <r>
    <x v="16"/>
    <n v="4007"/>
    <s v="Ashley Neshitopeni"/>
    <s v="Ashley.neshitopeni@gmail.com"/>
    <x v="13"/>
    <x v="1"/>
    <x v="1"/>
    <x v="0"/>
  </r>
  <r>
    <x v="16"/>
    <n v="2874"/>
    <s v="Venkat Ravulapalli"/>
    <s v="venkatravulapalli@gmail.com"/>
    <x v="13"/>
    <x v="1"/>
    <x v="1"/>
    <x v="0"/>
  </r>
  <r>
    <x v="16"/>
    <n v="5548"/>
    <s v="Mochabo Prince Mafolo"/>
    <s v="mochabo.mafolo@gmail.com"/>
    <x v="13"/>
    <x v="0"/>
    <x v="1"/>
    <x v="0"/>
  </r>
  <r>
    <x v="16"/>
    <n v="5549"/>
    <s v="Abhilash Madanu"/>
    <s v="madanuabhilash1@gmail.com"/>
    <x v="13"/>
    <x v="0"/>
    <x v="1"/>
    <x v="0"/>
  </r>
  <r>
    <x v="16"/>
    <n v="546"/>
    <s v="Anil Gillela "/>
    <s v="gillellaanil@gmail.com"/>
    <x v="13"/>
    <x v="1"/>
    <x v="1"/>
    <x v="0"/>
  </r>
  <r>
    <x v="16"/>
    <n v="5550"/>
    <s v=" Simikshle Dlomo"/>
    <s v=" simikahledlomo@gmail.com"/>
    <x v="13"/>
    <x v="0"/>
    <x v="1"/>
    <x v="0"/>
  </r>
  <r>
    <x v="16"/>
    <n v="2962"/>
    <s v=" Ignasio Dondo"/>
    <s v="imdondo@gmail.com"/>
    <x v="13"/>
    <x v="1"/>
    <x v="1"/>
    <x v="0"/>
  </r>
  <r>
    <x v="16"/>
    <n v="5209"/>
    <s v=" Nequito Eddy Khoza"/>
    <s v=" khozaeddy@gmail.com"/>
    <x v="13"/>
    <x v="1"/>
    <x v="1"/>
    <x v="0"/>
  </r>
  <r>
    <x v="16"/>
    <n v="3337"/>
    <s v="Musawenkosi Mahlangu"/>
    <s v="musawenkosi.mahlangu07@gmail.com"/>
    <x v="13"/>
    <x v="1"/>
    <x v="1"/>
    <x v="0"/>
  </r>
  <r>
    <x v="16"/>
    <n v="4251"/>
    <s v="Augustine Anosike"/>
    <s v="anosike23a@gmail.com"/>
    <x v="13"/>
    <x v="1"/>
    <x v="1"/>
    <x v="0"/>
  </r>
  <r>
    <x v="16"/>
    <n v="5534"/>
    <s v="Sibusiso Makebesana"/>
    <s v="sbumakebz@gmail.com"/>
    <x v="13"/>
    <x v="0"/>
    <x v="1"/>
    <x v="0"/>
  </r>
  <r>
    <x v="16"/>
    <n v="5580"/>
    <s v="Miracle Malitsha"/>
    <s v="malitsha.miracle@gmail.com"/>
    <x v="13"/>
    <x v="0"/>
    <x v="1"/>
    <x v="0"/>
  </r>
  <r>
    <x v="16"/>
    <n v="4308"/>
    <s v="Madhuri Kurmapu"/>
    <s v="kurmapumadhuri.ba@gmail.com "/>
    <x v="13"/>
    <x v="1"/>
    <x v="1"/>
    <x v="0"/>
  </r>
  <r>
    <x v="16"/>
    <n v="5581"/>
    <s v="Hlavutelo Advocate Ngobeni"/>
    <s v="hlavutelomdu@gmail.com"/>
    <x v="13"/>
    <x v="0"/>
    <x v="2"/>
    <x v="23"/>
  </r>
  <r>
    <x v="16"/>
    <n v="5582"/>
    <s v="Senzo Mbuzwa"/>
    <s v="senzombuzwa42@gmail.com"/>
    <x v="13"/>
    <x v="0"/>
    <x v="1"/>
    <x v="0"/>
  </r>
  <r>
    <x v="16"/>
    <n v="5583"/>
    <s v="Chandu Gorantla"/>
    <s v="gcgorantla4747@gmail.com"/>
    <x v="13"/>
    <x v="0"/>
    <x v="1"/>
    <x v="0"/>
  </r>
  <r>
    <x v="16"/>
    <n v="5584"/>
    <s v="Sean Botha"/>
    <s v="Sean.botha722@gmail.com"/>
    <x v="13"/>
    <x v="0"/>
    <x v="1"/>
    <x v="0"/>
  </r>
  <r>
    <x v="16"/>
    <n v="5585"/>
    <s v="Gift Sebonyane"/>
    <s v="sebonyaneg@gmail.com"/>
    <x v="13"/>
    <x v="0"/>
    <x v="1"/>
    <x v="0"/>
  </r>
  <r>
    <x v="16"/>
    <n v="5586"/>
    <s v="Kresen Chetty"/>
    <s v="Kresen.c@gmail.com"/>
    <x v="13"/>
    <x v="0"/>
    <x v="1"/>
    <x v="0"/>
  </r>
  <r>
    <x v="16"/>
    <n v="3935"/>
    <s v="Shruthi Boregowda"/>
    <s v="shruthimbgowda23@gmail.com"/>
    <x v="13"/>
    <x v="1"/>
    <x v="1"/>
    <x v="0"/>
  </r>
  <r>
    <x v="15"/>
    <n v="334"/>
    <s v="Odwa Mtsaka"/>
    <s v="oddizzo@gmail.com"/>
    <x v="13"/>
    <x v="1"/>
    <x v="1"/>
    <x v="0"/>
  </r>
  <r>
    <x v="16"/>
    <n v="1512"/>
    <s v="Anesu Chiodza"/>
    <s v="anesuchiodza@gmail.com"/>
    <x v="14"/>
    <x v="1"/>
    <x v="1"/>
    <x v="0"/>
  </r>
  <r>
    <x v="16"/>
    <n v="5596"/>
    <s v="Mahlatse Moneiwa"/>
    <s v="mahlatsemoses@gmail.com"/>
    <x v="14"/>
    <x v="0"/>
    <x v="1"/>
    <x v="0"/>
  </r>
  <r>
    <x v="16"/>
    <n v="5597"/>
    <s v="Shubnam Pillay"/>
    <s v="elchapoveron@gmail.com "/>
    <x v="14"/>
    <x v="0"/>
    <x v="1"/>
    <x v="24"/>
  </r>
  <r>
    <x v="16"/>
    <n v="5598"/>
    <s v="Giovanni Tyers"/>
    <s v="giovanni.tyers@gmail.com"/>
    <x v="14"/>
    <x v="0"/>
    <x v="1"/>
    <x v="0"/>
  </r>
  <r>
    <x v="16"/>
    <n v="4503"/>
    <s v="John-Paul Masembe"/>
    <s v="johnmasembe17@gmail.com"/>
    <x v="14"/>
    <x v="1"/>
    <x v="1"/>
    <x v="0"/>
  </r>
  <r>
    <x v="16"/>
    <n v="2979"/>
    <s v="Rofhiwa Musandiwa"/>
    <s v="rofhmus@gmail.com"/>
    <x v="14"/>
    <x v="1"/>
    <x v="1"/>
    <x v="25"/>
  </r>
  <r>
    <x v="16"/>
    <n v="5599"/>
    <s v="Noah Emmanuel Nyatlo"/>
    <s v="nyatlon@gmail.com"/>
    <x v="14"/>
    <x v="0"/>
    <x v="1"/>
    <x v="26"/>
  </r>
  <r>
    <x v="4"/>
    <n v="5600"/>
    <s v="Malesela Mokwele"/>
    <s v="wmokwele@yahoo.com "/>
    <x v="14"/>
    <x v="0"/>
    <x v="1"/>
    <x v="0"/>
  </r>
  <r>
    <x v="17"/>
    <n v="5601"/>
    <s v="Bahle Ntshayisa"/>
    <s v="boitumelotshehla@gmail.com"/>
    <x v="14"/>
    <x v="0"/>
    <x v="1"/>
    <x v="0"/>
  </r>
  <r>
    <x v="15"/>
    <n v="3620"/>
    <s v="Andries Spies"/>
    <s v="andries.spies@gmail.com"/>
    <x v="14"/>
    <x v="1"/>
    <x v="1"/>
    <x v="0"/>
  </r>
  <r>
    <x v="17"/>
    <s v="n"/>
    <s v="n"/>
    <s v="simphiwemthanti76@gmail.com"/>
    <x v="15"/>
    <x v="0"/>
    <x v="1"/>
    <x v="0"/>
  </r>
  <r>
    <x v="17"/>
    <s v="n"/>
    <s v="n"/>
    <s v="vinod.meda999@gmail.com"/>
    <x v="15"/>
    <x v="0"/>
    <x v="1"/>
    <x v="0"/>
  </r>
  <r>
    <x v="17"/>
    <s v="n"/>
    <s v="n"/>
    <s v="madondoephraim@gmail.com"/>
    <x v="15"/>
    <x v="0"/>
    <x v="1"/>
    <x v="0"/>
  </r>
  <r>
    <x v="17"/>
    <s v="n"/>
    <s v="n"/>
    <s v="musa.ngobenim@gmail.com"/>
    <x v="15"/>
    <x v="0"/>
    <x v="1"/>
    <x v="0"/>
  </r>
  <r>
    <x v="17"/>
    <s v="n"/>
    <s v="n"/>
    <s v="robert.ndlala@gmail.com"/>
    <x v="15"/>
    <x v="0"/>
    <x v="1"/>
    <x v="0"/>
  </r>
  <r>
    <x v="17"/>
    <s v="n"/>
    <s v="n"/>
    <s v="dmatangany@gmail.com "/>
    <x v="15"/>
    <x v="0"/>
    <x v="1"/>
    <x v="0"/>
  </r>
  <r>
    <x v="17"/>
    <s v="n"/>
    <s v="n"/>
    <s v="nkwejustice@gmail.com"/>
    <x v="15"/>
    <x v="0"/>
    <x v="1"/>
    <x v="0"/>
  </r>
  <r>
    <x v="17"/>
    <s v="n"/>
    <s v="n"/>
    <s v="gouthamlinga90@gmail.com"/>
    <x v="15"/>
    <x v="0"/>
    <x v="1"/>
    <x v="0"/>
  </r>
  <r>
    <x v="18"/>
    <n v="5617"/>
    <s v="Tapiwa Tsikayi"/>
    <s v="totsikayi@gmail.com"/>
    <x v="15"/>
    <x v="0"/>
    <x v="1"/>
    <x v="0"/>
  </r>
  <r>
    <x v="18"/>
    <n v="5618"/>
    <s v="Masande Kendle"/>
    <s v="masande.kendle@gmail.com"/>
    <x v="15"/>
    <x v="0"/>
    <x v="1"/>
    <x v="0"/>
  </r>
  <r>
    <x v="18"/>
    <n v="5619"/>
    <s v="Sasja Solomons "/>
    <s v="asja.solomons1@gmail.com |"/>
    <x v="15"/>
    <x v="0"/>
    <x v="1"/>
    <x v="0"/>
  </r>
  <r>
    <x v="19"/>
    <n v="546"/>
    <s v=" Anil Gillela"/>
    <s v="gillellaanil@gmail.com"/>
    <x v="15"/>
    <x v="1"/>
    <x v="1"/>
    <x v="0"/>
  </r>
  <r>
    <x v="19"/>
    <n v="5228"/>
    <s v="Mpho Mathipa"/>
    <s v="mathipamphothomas@gmail.com"/>
    <x v="15"/>
    <x v="0"/>
    <x v="1"/>
    <x v="0"/>
  </r>
  <r>
    <x v="19"/>
    <n v="3798"/>
    <s v="Tshepo Nkuna"/>
    <s v=" mauricetnkuna@gmail.com"/>
    <x v="15"/>
    <x v="1"/>
    <x v="1"/>
    <x v="0"/>
  </r>
  <r>
    <x v="20"/>
    <n v="5624"/>
    <s v="Emmanuel Msimango"/>
    <s v="emmanuel.msimango@gmail.com"/>
    <x v="16"/>
    <x v="0"/>
    <x v="6"/>
    <x v="0"/>
  </r>
  <r>
    <x v="20"/>
    <n v="5587"/>
    <s v="Andrew Hawadi"/>
    <s v="ahawadi@gmail.com"/>
    <x v="16"/>
    <x v="1"/>
    <x v="6"/>
    <x v="0"/>
  </r>
  <r>
    <x v="2"/>
    <n v="5610"/>
    <s v="Karabo Monageng"/>
    <s v="kmonageng@gmail.com"/>
    <x v="16"/>
    <x v="1"/>
    <x v="6"/>
    <x v="0"/>
  </r>
  <r>
    <x v="2"/>
    <n v="449"/>
    <s v="Terence Baloyi"/>
    <s v="cube.musa@gmail.com"/>
    <x v="16"/>
    <x v="1"/>
    <x v="6"/>
    <x v="0"/>
  </r>
  <r>
    <x v="2"/>
    <n v="5625"/>
    <s v="Treasure Nkonyana"/>
    <s v="treasure.nkonyana@gmail.com"/>
    <x v="16"/>
    <x v="0"/>
    <x v="6"/>
    <x v="0"/>
  </r>
  <r>
    <x v="16"/>
    <n v="5244"/>
    <s v="Cebisa Kgopa"/>
    <s v="cebisa.kgopa32@gmail.com"/>
    <x v="16"/>
    <x v="0"/>
    <x v="6"/>
    <x v="0"/>
  </r>
  <r>
    <x v="16"/>
    <n v="3496"/>
    <s v="Ravi Chandra Singu"/>
    <s v="sravichandra0@gmail.com"/>
    <x v="16"/>
    <x v="1"/>
    <x v="1"/>
    <x v="0"/>
  </r>
  <r>
    <x v="21"/>
    <n v="4037"/>
    <s v="Matheswaran Palanisamy"/>
    <s v="mathesswaran@gmail.com "/>
    <x v="16"/>
    <x v="0"/>
    <x v="1"/>
    <x v="0"/>
  </r>
  <r>
    <x v="22"/>
    <n v="5241"/>
    <s v="Thami Nkosi"/>
    <s v="tthamtham@icloud.com"/>
    <x v="16"/>
    <x v="0"/>
    <x v="1"/>
    <x v="0"/>
  </r>
  <r>
    <x v="22"/>
    <n v="1955"/>
    <s v="Dylan van Rensburg"/>
    <s v="dylanvr@live.com"/>
    <x v="16"/>
    <x v="1"/>
    <x v="1"/>
    <x v="0"/>
  </r>
  <r>
    <x v="22"/>
    <n v="5242"/>
    <s v="Nhlakanipho Mkhabela"/>
    <s v=" mkhabela.n@gmail.com"/>
    <x v="16"/>
    <x v="0"/>
    <x v="1"/>
    <x v="0"/>
  </r>
  <r>
    <x v="22"/>
    <n v="5244"/>
    <s v="Seth Raman"/>
    <s v="seth.raman@outlook.com"/>
    <x v="16"/>
    <x v="0"/>
    <x v="1"/>
    <x v="0"/>
  </r>
  <r>
    <x v="22"/>
    <n v="5245"/>
    <s v="Charles Mosoeu"/>
    <s v="charlesmosoeu@gmail.com"/>
    <x v="16"/>
    <x v="0"/>
    <x v="1"/>
    <x v="0"/>
  </r>
  <r>
    <x v="17"/>
    <n v="3404"/>
    <s v="Naveen Kumar"/>
    <s v="gnk.java@gmail.com"/>
    <x v="17"/>
    <x v="1"/>
    <x v="6"/>
    <x v="0"/>
  </r>
  <r>
    <x v="17"/>
    <n v="3446"/>
    <s v="Jurgen Hanekom"/>
    <s v="hanekoms@gmail.com"/>
    <x v="17"/>
    <x v="1"/>
    <x v="2"/>
    <x v="27"/>
  </r>
  <r>
    <x v="17"/>
    <n v="555"/>
    <s v="Sujatha Gundampadu"/>
    <s v="sujathateetla@gmail.com"/>
    <x v="17"/>
    <x v="1"/>
    <x v="6"/>
    <x v="0"/>
  </r>
  <r>
    <x v="17"/>
    <n v="1783"/>
    <s v="Thato Mabeleng"/>
    <s v="tlmabeleng@gmail.com"/>
    <x v="17"/>
    <x v="1"/>
    <x v="6"/>
    <x v="0"/>
  </r>
  <r>
    <x v="17"/>
    <n v="5209"/>
    <s v="Nequito Khoza"/>
    <s v="khozaeddy@gmail.com"/>
    <x v="17"/>
    <x v="1"/>
    <x v="6"/>
    <x v="0"/>
  </r>
  <r>
    <x v="17"/>
    <n v="5626"/>
    <s v="Shireesha Reddy"/>
    <s v="shireeshachittireddy0711@gmail.com"/>
    <x v="17"/>
    <x v="0"/>
    <x v="7"/>
    <x v="0"/>
  </r>
  <r>
    <x v="17"/>
    <n v="5627"/>
    <s v="Uttam Kumar Paul"/>
    <s v="uttampaul2002@gmail.com"/>
    <x v="17"/>
    <x v="0"/>
    <x v="6"/>
    <x v="0"/>
  </r>
  <r>
    <x v="17"/>
    <n v="5628"/>
    <s v="Venkat Potu"/>
    <s v="potu32@gmail.com"/>
    <x v="17"/>
    <x v="0"/>
    <x v="2"/>
    <x v="8"/>
  </r>
  <r>
    <x v="17"/>
    <n v="1700"/>
    <s v="Daniel Qhobosheane"/>
    <s v="Qhobosheanedan@gmail.com"/>
    <x v="17"/>
    <x v="1"/>
    <x v="6"/>
    <x v="0"/>
  </r>
  <r>
    <x v="17"/>
    <n v="5629"/>
    <s v="Bennett Seodi Mafeka"/>
    <s v="mafekabs@gmail.com"/>
    <x v="17"/>
    <x v="0"/>
    <x v="6"/>
    <x v="0"/>
  </r>
  <r>
    <x v="17"/>
    <n v="5630"/>
    <s v="Godwill Makhubela"/>
    <s v="godwill.makhubela@gmail.com"/>
    <x v="17"/>
    <x v="0"/>
    <x v="6"/>
    <x v="0"/>
  </r>
  <r>
    <x v="17"/>
    <n v="5631"/>
    <s v="Phillip Rasethe"/>
    <s v="phillip.rasethe@gmail.com"/>
    <x v="17"/>
    <x v="0"/>
    <x v="7"/>
    <x v="0"/>
  </r>
  <r>
    <x v="17"/>
    <n v="2380"/>
    <s v="Tonderai Muchada"/>
    <s v="tonderaimuchada@gmail.com"/>
    <x v="17"/>
    <x v="1"/>
    <x v="6"/>
    <x v="0"/>
  </r>
  <r>
    <x v="17"/>
    <n v="5632"/>
    <s v="Rowen Hama"/>
    <s v="rowenhama@gmail.com"/>
    <x v="17"/>
    <x v="0"/>
    <x v="0"/>
    <x v="0"/>
  </r>
  <r>
    <x v="17"/>
    <n v="5633"/>
    <s v="Zainadine Abdulcadre"/>
    <s v="zainadineduarte@gmail.com"/>
    <x v="17"/>
    <x v="0"/>
    <x v="0"/>
    <x v="0"/>
  </r>
  <r>
    <x v="17"/>
    <n v="2925"/>
    <s v="Aubrey Nyelele"/>
    <s v="aubreyn64@gmail.com"/>
    <x v="17"/>
    <x v="1"/>
    <x v="6"/>
    <x v="0"/>
  </r>
  <r>
    <x v="17"/>
    <n v="5634"/>
    <s v="Juan du Preez"/>
    <s v="attentionjuan@gmail.com"/>
    <x v="17"/>
    <x v="0"/>
    <x v="6"/>
    <x v="0"/>
  </r>
  <r>
    <x v="17"/>
    <n v="5635"/>
    <s v="Thapelo Agus"/>
    <s v="thapelo.agus@gmail.com"/>
    <x v="17"/>
    <x v="0"/>
    <x v="6"/>
    <x v="0"/>
  </r>
  <r>
    <x v="17"/>
    <n v="5636"/>
    <s v="Ernest Mashele"/>
    <s v="ernest.mashele@gmail.com"/>
    <x v="17"/>
    <x v="0"/>
    <x v="6"/>
    <x v="0"/>
  </r>
  <r>
    <x v="8"/>
    <n v="5251"/>
    <s v=" Palavvi Aggarwal"/>
    <s v="pallavi10aggarwal@gmail.com"/>
    <x v="17"/>
    <x v="0"/>
    <x v="6"/>
    <x v="0"/>
  </r>
  <r>
    <x v="8"/>
    <n v="5252"/>
    <s v="Onanie Perseverance Mnisi"/>
    <s v="opmnisi@gmail.com"/>
    <x v="17"/>
    <x v="0"/>
    <x v="6"/>
    <x v="0"/>
  </r>
  <r>
    <x v="7"/>
    <n v="5254"/>
    <s v="Stefanus Foukaridis"/>
    <s v="steven.foukaridis@gmail.com"/>
    <x v="17"/>
    <x v="0"/>
    <x v="6"/>
    <x v="0"/>
  </r>
  <r>
    <x v="7"/>
    <n v="3044"/>
    <s v="Percy Keetse"/>
    <s v="mpkeetse@gmail.com"/>
    <x v="17"/>
    <x v="1"/>
    <x v="6"/>
    <x v="0"/>
  </r>
  <r>
    <x v="1"/>
    <n v="3404"/>
    <s v="Naveen kumar "/>
    <s v="gnk.java@gmail.com"/>
    <x v="18"/>
    <x v="1"/>
    <x v="2"/>
    <x v="28"/>
  </r>
  <r>
    <x v="23"/>
    <n v="2765"/>
    <s v="Mohammed Titus"/>
    <s v="mohammedtitus@gmail.com"/>
    <x v="18"/>
    <x v="1"/>
    <x v="2"/>
    <x v="0"/>
  </r>
  <r>
    <x v="23"/>
    <n v="2170"/>
    <s v="Surprise Maimane"/>
    <s v="surprino@gmail.com"/>
    <x v="18"/>
    <x v="1"/>
    <x v="1"/>
    <x v="0"/>
  </r>
  <r>
    <x v="23"/>
    <n v="5263"/>
    <s v="Thanyani Selby Mulelu"/>
    <s v="smulelu@icloud.com"/>
    <x v="18"/>
    <x v="0"/>
    <x v="1"/>
    <x v="0"/>
  </r>
  <r>
    <x v="23"/>
    <n v="5264"/>
    <s v="Mfoniso Ossom"/>
    <s v="mfoniso@gmail.com"/>
    <x v="18"/>
    <x v="0"/>
    <x v="1"/>
    <x v="0"/>
  </r>
  <r>
    <x v="23"/>
    <n v="3207"/>
    <s v="Marshall Chabanga "/>
    <s v="marshallchabanga@gmail.com "/>
    <x v="18"/>
    <x v="1"/>
    <x v="1"/>
    <x v="0"/>
  </r>
  <r>
    <x v="23"/>
    <n v="5265"/>
    <s v="Pontsho Maheso"/>
    <s v="pontshomaheso@gmail.com"/>
    <x v="18"/>
    <x v="0"/>
    <x v="1"/>
    <x v="0"/>
  </r>
  <r>
    <x v="7"/>
    <n v="5266"/>
    <s v="Choene Chokoe"/>
    <s v="chokoe.choene@outlook.com"/>
    <x v="18"/>
    <x v="0"/>
    <x v="1"/>
    <x v="0"/>
  </r>
  <r>
    <x v="24"/>
    <n v="5269"/>
    <s v="Buhle Taleni"/>
    <s v="buhle.taleni@gmail.com"/>
    <x v="18"/>
    <x v="0"/>
    <x v="1"/>
    <x v="0"/>
  </r>
  <r>
    <x v="24"/>
    <n v="5270"/>
    <s v="Nhamoinesu Tinosekwa"/>
    <s v="ntinosekwa@gmail.com"/>
    <x v="18"/>
    <x v="0"/>
    <x v="1"/>
    <x v="0"/>
  </r>
  <r>
    <x v="24"/>
    <n v="5271"/>
    <s v="Godfrey Mathipa"/>
    <s v="mathipa.godfrey@gmail.com"/>
    <x v="18"/>
    <x v="0"/>
    <x v="1"/>
    <x v="0"/>
  </r>
  <r>
    <x v="24"/>
    <n v="5272"/>
    <s v="Ronald Nene"/>
    <s v="ronaldnn9@gmail.com"/>
    <x v="18"/>
    <x v="0"/>
    <x v="3"/>
    <x v="0"/>
  </r>
  <r>
    <x v="1"/>
    <n v="5273"/>
    <s v="Sibongakonke Shange"/>
    <s v="sbongakonke.shange@gmail.com"/>
    <x v="18"/>
    <x v="0"/>
    <x v="1"/>
    <x v="0"/>
  </r>
  <r>
    <x v="1"/>
    <n v="5274"/>
    <s v="Vukani Xulu"/>
    <s v="cosmos.xulu@yahoo.com"/>
    <x v="18"/>
    <x v="0"/>
    <x v="1"/>
    <x v="0"/>
  </r>
  <r>
    <x v="7"/>
    <n v="5246"/>
    <s v="Joshua Segal"/>
    <s v="joshuasegal4@gmail.com"/>
    <x v="19"/>
    <x v="1"/>
    <x v="0"/>
    <x v="0"/>
  </r>
  <r>
    <x v="25"/>
    <n v="5278"/>
    <s v="Manas Maboka"/>
    <s v="mabokamanas@gmail.com"/>
    <x v="19"/>
    <x v="0"/>
    <x v="1"/>
    <x v="0"/>
  </r>
  <r>
    <x v="7"/>
    <n v="2049"/>
    <s v="Shintal Jamge"/>
    <s v="sjamge@gmail.com"/>
    <x v="19"/>
    <x v="1"/>
    <x v="1"/>
    <x v="0"/>
  </r>
  <r>
    <x v="0"/>
    <n v="2046"/>
    <s v="Nicholas Motlhoki"/>
    <s v="Nicholas.Motlhoki@gmail.com"/>
    <x v="19"/>
    <x v="1"/>
    <x v="1"/>
    <x v="0"/>
  </r>
  <r>
    <x v="1"/>
    <n v="5282"/>
    <s v="Chandra Lankey"/>
    <s v="chandra_sekharraj@yahoo.co.in "/>
    <x v="19"/>
    <x v="0"/>
    <x v="0"/>
    <x v="0"/>
  </r>
  <r>
    <x v="23"/>
    <n v="4007"/>
    <s v=" Ashley Neshitopeni"/>
    <s v="Ashley.neshitopeni@gmail.com"/>
    <x v="19"/>
    <x v="1"/>
    <x v="1"/>
    <x v="0"/>
  </r>
  <r>
    <x v="1"/>
    <n v="5287"/>
    <s v="Brij Yadav"/>
    <s v="brijkishoronline@gmail.com"/>
    <x v="19"/>
    <x v="0"/>
    <x v="1"/>
    <x v="0"/>
  </r>
  <r>
    <x v="26"/>
    <n v="5638"/>
    <s v="Gugu De Almeida"/>
    <s v="gugumazibuko341@gmail.com"/>
    <x v="20"/>
    <x v="0"/>
    <x v="1"/>
    <x v="0"/>
  </r>
  <r>
    <x v="26"/>
    <n v="5639"/>
    <s v="Thato Miyen"/>
    <s v="tatmiyen@gmail.com"/>
    <x v="20"/>
    <x v="0"/>
    <x v="2"/>
    <x v="29"/>
  </r>
  <r>
    <x v="26"/>
    <n v="5640"/>
    <s v="Nitasha Bissoonath"/>
    <s v="nitashab4@gmail.com"/>
    <x v="20"/>
    <x v="0"/>
    <x v="2"/>
    <x v="30"/>
  </r>
  <r>
    <x v="26"/>
    <n v="5641"/>
    <s v="Matthew Lowe"/>
    <s v="matthewlowe1998@gmail.com"/>
    <x v="20"/>
    <x v="0"/>
    <x v="1"/>
    <x v="0"/>
  </r>
  <r>
    <x v="26"/>
    <n v="1408"/>
    <s v="Tolulope Patrick"/>
    <s v="saintpatrick692@gmail.com"/>
    <x v="20"/>
    <x v="1"/>
    <x v="1"/>
    <x v="0"/>
  </r>
  <r>
    <x v="26"/>
    <n v="5642"/>
    <s v="Johannes Ditshego"/>
    <s v="johannes.ditshego@gmail.com"/>
    <x v="20"/>
    <x v="0"/>
    <x v="1"/>
    <x v="0"/>
  </r>
  <r>
    <x v="26"/>
    <n v="5643"/>
    <s v="Motsamayi Mokwatedi"/>
    <s v="Motsamayi@gmail.com"/>
    <x v="20"/>
    <x v="0"/>
    <x v="1"/>
    <x v="0"/>
  </r>
  <r>
    <x v="26"/>
    <n v="5644"/>
    <s v="Mutshinyalo Netsianda"/>
    <s v="mi.netsianda@outlook.com"/>
    <x v="20"/>
    <x v="0"/>
    <x v="2"/>
    <x v="31"/>
  </r>
  <r>
    <x v="26"/>
    <n v="5645"/>
    <s v="Ntombizonke Mpono"/>
    <s v="mazonkana2@gmail.com"/>
    <x v="20"/>
    <x v="0"/>
    <x v="1"/>
    <x v="0"/>
  </r>
  <r>
    <x v="15"/>
    <n v="4081"/>
    <s v="Morris Nkosi"/>
    <s v="nkosimorris7@gmail.com "/>
    <x v="20"/>
    <x v="1"/>
    <x v="1"/>
    <x v="0"/>
  </r>
  <r>
    <x v="15"/>
    <n v="5636"/>
    <s v="Ernest Mashele"/>
    <s v="ernest.mashele@gmail.com"/>
    <x v="20"/>
    <x v="1"/>
    <x v="1"/>
    <x v="0"/>
  </r>
  <r>
    <x v="15"/>
    <n v="4099"/>
    <s v="David Lekhooa"/>
    <s v="d.m.lekhooa@gmail.com"/>
    <x v="20"/>
    <x v="1"/>
    <x v="2"/>
    <x v="32"/>
  </r>
  <r>
    <x v="15"/>
    <n v="4511"/>
    <s v="Valerie Mbuli"/>
    <s v="veembulival@gmail.com "/>
    <x v="20"/>
    <x v="1"/>
    <x v="1"/>
    <x v="0"/>
  </r>
  <r>
    <x v="15"/>
    <n v="2635"/>
    <s v="Baitshoki Kubu"/>
    <s v="biologicaltk@gmail.com"/>
    <x v="20"/>
    <x v="1"/>
    <x v="1"/>
    <x v="0"/>
  </r>
  <r>
    <x v="26"/>
    <n v="5647"/>
    <s v="Julian Knight"/>
    <s v="julianknight089@gmail.com"/>
    <x v="21"/>
    <x v="0"/>
    <x v="1"/>
    <x v="0"/>
  </r>
  <r>
    <x v="26"/>
    <n v="5648"/>
    <s v="Neelash Goolab"/>
    <s v="goolab.neelash@gmail.com"/>
    <x v="21"/>
    <x v="0"/>
    <x v="0"/>
    <x v="0"/>
  </r>
  <r>
    <x v="26"/>
    <n v="5649"/>
    <s v="Sujal Mishra"/>
    <s v="mishra.sujal06@gmail.com"/>
    <x v="21"/>
    <x v="0"/>
    <x v="1"/>
    <x v="0"/>
  </r>
  <r>
    <x v="26"/>
    <n v="5650"/>
    <s v="Bruce Shikwambana"/>
    <s v="shikwambanabruce@gmail.com"/>
    <x v="21"/>
    <x v="0"/>
    <x v="1"/>
    <x v="0"/>
  </r>
  <r>
    <x v="26"/>
    <n v="5651"/>
    <s v="Elizabeth Wright"/>
    <s v="wright.elsabe@gmail.com"/>
    <x v="21"/>
    <x v="0"/>
    <x v="2"/>
    <x v="32"/>
  </r>
  <r>
    <x v="26"/>
    <n v="5652"/>
    <s v="Kuda Chikukwa"/>
    <s v="kchikwas@gmail.com"/>
    <x v="21"/>
    <x v="0"/>
    <x v="1"/>
    <x v="0"/>
  </r>
  <r>
    <x v="26"/>
    <n v="5653"/>
    <s v="Thabile Mofokeng"/>
    <s v="No email"/>
    <x v="21"/>
    <x v="0"/>
    <x v="1"/>
    <x v="0"/>
  </r>
  <r>
    <x v="26"/>
    <n v="2472"/>
    <s v="Sameer Ibrahim"/>
    <s v="sameerhawa786@gmail.com"/>
    <x v="21"/>
    <x v="1"/>
    <x v="1"/>
    <x v="0"/>
  </r>
  <r>
    <x v="26"/>
    <n v="5654"/>
    <s v="Theshen Reddy"/>
    <s v="theshenreddy@gmail.com"/>
    <x v="21"/>
    <x v="0"/>
    <x v="2"/>
    <x v="33"/>
  </r>
  <r>
    <x v="26"/>
    <n v="5655"/>
    <s v="Lucia Ndlovu"/>
    <s v="Vonnyndlovu2@gmail.com"/>
    <x v="21"/>
    <x v="0"/>
    <x v="1"/>
    <x v="0"/>
  </r>
  <r>
    <x v="27"/>
    <n v="5309"/>
    <s v="Fhumulani Matahela"/>
    <s v="matahelafm@gmail.com"/>
    <x v="21"/>
    <x v="0"/>
    <x v="1"/>
    <x v="0"/>
  </r>
  <r>
    <x v="28"/>
    <n v="1955"/>
    <s v="Dylan-van-Rensburg_"/>
    <s v="dylanvr@live.com"/>
    <x v="21"/>
    <x v="1"/>
    <x v="1"/>
    <x v="0"/>
  </r>
  <r>
    <x v="28"/>
    <n v="5206"/>
    <s v="Kelvin Kudzai Sipeyiye"/>
    <s v=" kelvin.sipeyiye@gmail.com"/>
    <x v="21"/>
    <x v="1"/>
    <x v="1"/>
    <x v="0"/>
  </r>
  <r>
    <x v="29"/>
    <n v="5310"/>
    <s v="Liz Allen"/>
    <s v="lizthaliaallen@gmail.com"/>
    <x v="21"/>
    <x v="0"/>
    <x v="1"/>
    <x v="0"/>
  </r>
  <r>
    <x v="29"/>
    <n v="5311"/>
    <s v="Ray Matlala"/>
    <s v="raym@rainbowbt.co.za "/>
    <x v="21"/>
    <x v="0"/>
    <x v="1"/>
    <x v="0"/>
  </r>
  <r>
    <x v="8"/>
    <n v="5128"/>
    <s v="Nileshkumar Prajapati"/>
    <s v="nilesh8538@gmail.com"/>
    <x v="21"/>
    <x v="1"/>
    <x v="1"/>
    <x v="0"/>
  </r>
  <r>
    <x v="8"/>
    <n v="5610"/>
    <s v="Karabo Monageng"/>
    <s v=" kmonageng@gmail.com "/>
    <x v="21"/>
    <x v="1"/>
    <x v="1"/>
    <x v="0"/>
  </r>
  <r>
    <x v="26"/>
    <n v="1108"/>
    <s v="Eternity Moabi"/>
    <s v="Eternitym722@gmail.com"/>
    <x v="22"/>
    <x v="1"/>
    <x v="1"/>
    <x v="0"/>
  </r>
  <r>
    <x v="26"/>
    <n v="977"/>
    <s v="Taurai Mpala"/>
    <s v="tauraicm@yahoo.com"/>
    <x v="22"/>
    <x v="1"/>
    <x v="1"/>
    <x v="0"/>
  </r>
  <r>
    <x v="26"/>
    <n v="2040"/>
    <s v="Tejesvini Sharma"/>
    <s v="stejesvini@gmail.com"/>
    <x v="22"/>
    <x v="1"/>
    <x v="1"/>
    <x v="0"/>
  </r>
  <r>
    <x v="26"/>
    <n v="4238"/>
    <s v="Gondai Siwela"/>
    <s v="gondaisiwela@gmail.com"/>
    <x v="22"/>
    <x v="1"/>
    <x v="0"/>
    <x v="0"/>
  </r>
  <r>
    <x v="26"/>
    <n v="5656"/>
    <s v="Samkelo Tshabalala"/>
    <s v="samutshaba@gmail.com"/>
    <x v="22"/>
    <x v="0"/>
    <x v="0"/>
    <x v="0"/>
  </r>
  <r>
    <x v="26"/>
    <n v="5657"/>
    <s v="Busisiwe Makhura"/>
    <s v="busisiwe.makhura@gmail.com"/>
    <x v="22"/>
    <x v="0"/>
    <x v="1"/>
    <x v="0"/>
  </r>
  <r>
    <x v="26"/>
    <n v="5658"/>
    <s v="Roelof du Plooy"/>
    <s v="RoelofJacobus.Duplooy@oldmutual.com"/>
    <x v="22"/>
    <x v="0"/>
    <x v="1"/>
    <x v="0"/>
  </r>
  <r>
    <x v="26"/>
    <n v="1203"/>
    <s v="Francois van der Merwe"/>
    <s v="francoisvdm100@gmail.com"/>
    <x v="22"/>
    <x v="1"/>
    <x v="2"/>
    <x v="34"/>
  </r>
  <r>
    <x v="26"/>
    <n v="5659"/>
    <s v="Lundi Dondolo"/>
    <s v="Ldondolo@gmail.com"/>
    <x v="22"/>
    <x v="0"/>
    <x v="1"/>
    <x v="0"/>
  </r>
  <r>
    <x v="26"/>
    <n v="5660"/>
    <s v="Sphumelele Matshivha"/>
    <s v="sphumelelenomalady@gmail.com"/>
    <x v="22"/>
    <x v="0"/>
    <x v="1"/>
    <x v="0"/>
  </r>
  <r>
    <x v="26"/>
    <n v="5661"/>
    <s v="Hope Madywabe"/>
    <s v="hope.madywabe@gmail.com"/>
    <x v="22"/>
    <x v="0"/>
    <x v="1"/>
    <x v="0"/>
  </r>
  <r>
    <x v="26"/>
    <n v="5662"/>
    <s v="Renier Richter"/>
    <s v="renier@procureconnect.co.za"/>
    <x v="22"/>
    <x v="0"/>
    <x v="2"/>
    <x v="34"/>
  </r>
  <r>
    <x v="30"/>
    <n v="5321"/>
    <s v="George Lehlohonono Ntshweng"/>
    <s v="Gntshweng@gmail.com"/>
    <x v="22"/>
    <x v="0"/>
    <x v="1"/>
    <x v="0"/>
  </r>
  <r>
    <x v="30"/>
    <n v="5322"/>
    <s v="Nkosikhona Mbali Dlamini"/>
    <s v="mbalied@gmail.com"/>
    <x v="22"/>
    <x v="0"/>
    <x v="5"/>
    <x v="0"/>
  </r>
  <r>
    <x v="30"/>
    <n v="5324"/>
    <s v="Kingdom Mangwende"/>
    <s v=" k.chief01@gmail.com "/>
    <x v="22"/>
    <x v="0"/>
    <x v="1"/>
    <x v="0"/>
  </r>
  <r>
    <x v="31"/>
    <n v="5316"/>
    <s v="Albert Mabweazara"/>
    <s v="6dbgain@gmail.com   "/>
    <x v="22"/>
    <x v="0"/>
    <x v="1"/>
    <x v="0"/>
  </r>
  <r>
    <x v="31"/>
    <n v="5663"/>
    <s v="Austine Ruwona"/>
    <s v="ausnoku@yahoo.co.uk"/>
    <x v="22"/>
    <x v="0"/>
    <x v="1"/>
    <x v="0"/>
  </r>
  <r>
    <x v="30"/>
    <n v="5664"/>
    <s v="Jim Themba Mahlangu"/>
    <s v="jimmahlangu@yahoo.co.za"/>
    <x v="22"/>
    <x v="0"/>
    <x v="1"/>
    <x v="0"/>
  </r>
  <r>
    <x v="30"/>
    <n v="5319"/>
    <s v="Neo Kau"/>
    <s v="kauneo04@gmail.com "/>
    <x v="22"/>
    <x v="0"/>
    <x v="1"/>
    <x v="0"/>
  </r>
  <r>
    <x v="30"/>
    <s v="?"/>
    <s v="Sipho Mahlangu"/>
    <s v="smahlangu07@gmail.com"/>
    <x v="22"/>
    <x v="0"/>
    <x v="6"/>
    <x v="0"/>
  </r>
  <r>
    <x v="30"/>
    <s v="?"/>
    <s v="Ayanda Dladla"/>
    <s v="Ayanda.dladla@hotmail.com "/>
    <x v="22"/>
    <x v="0"/>
    <x v="6"/>
    <x v="0"/>
  </r>
  <r>
    <x v="30"/>
    <s v="?"/>
    <s v="Christoper Maluleka"/>
    <s v="christophermaluleka@gmail.com"/>
    <x v="22"/>
    <x v="0"/>
    <x v="6"/>
    <x v="0"/>
  </r>
  <r>
    <x v="30"/>
    <n v="5665"/>
    <s v="Mulalo Justice Tshiambaro"/>
    <s v="Mulalojusticetshiambaro@gmail.com"/>
    <x v="22"/>
    <x v="0"/>
    <x v="1"/>
    <x v="0"/>
  </r>
  <r>
    <x v="28"/>
    <n v="1384"/>
    <s v="Faheem Suleman"/>
    <s v="faheem55@gmail.com "/>
    <x v="22"/>
    <x v="1"/>
    <x v="1"/>
    <x v="0"/>
  </r>
  <r>
    <x v="28"/>
    <n v="1399"/>
    <s v="Xhasiwe Bella Moqekwa"/>
    <s v="xhasiwe@gmail.com "/>
    <x v="22"/>
    <x v="1"/>
    <x v="1"/>
    <x v="0"/>
  </r>
  <r>
    <x v="16"/>
    <n v="1414"/>
    <s v="Clifford  Ralikhwatha"/>
    <s v="Survs21@gmail.com"/>
    <x v="22"/>
    <x v="1"/>
    <x v="1"/>
    <x v="0"/>
  </r>
  <r>
    <x v="1"/>
    <n v="1416"/>
    <s v="Ntibileng Moloi"/>
    <s v="ntibilengm@gmail.com"/>
    <x v="22"/>
    <x v="1"/>
    <x v="1"/>
    <x v="0"/>
  </r>
  <r>
    <x v="10"/>
    <n v="1419"/>
    <s v="Hhrishkesh"/>
    <s v="hrishikesh.bit72@gmail.com"/>
    <x v="22"/>
    <x v="1"/>
    <x v="1"/>
    <x v="0"/>
  </r>
  <r>
    <x v="28"/>
    <n v="1434"/>
    <s v="Tafadzwa Chuchu"/>
    <s v="tmandeyachuchu@gmail.com"/>
    <x v="22"/>
    <x v="1"/>
    <x v="1"/>
    <x v="0"/>
  </r>
  <r>
    <x v="17"/>
    <n v="1460"/>
    <s v="Carlton Musuka"/>
    <s v="kudakwashemusuka@gmail.com"/>
    <x v="22"/>
    <x v="1"/>
    <x v="1"/>
    <x v="0"/>
  </r>
  <r>
    <x v="8"/>
    <n v="5339"/>
    <s v="Brian Mukandiwa"/>
    <s v="bmukandiwa@outlook.com"/>
    <x v="23"/>
    <x v="0"/>
    <x v="1"/>
    <x v="0"/>
  </r>
  <r>
    <x v="32"/>
    <n v="3649"/>
    <s v="Jerome Govender"/>
    <s v="govenderjerome85@gmail.com"/>
    <x v="23"/>
    <x v="1"/>
    <x v="1"/>
    <x v="0"/>
  </r>
  <r>
    <x v="32"/>
    <n v="5175"/>
    <s v="Elias Dan Phiri"/>
    <s v="eliasdphiri217@gmail.com "/>
    <x v="23"/>
    <x v="1"/>
    <x v="1"/>
    <x v="0"/>
  </r>
  <r>
    <x v="32"/>
    <n v="2294"/>
    <s v="Kevin Nayagar"/>
    <s v="kevin.nayagar@gmail.com"/>
    <x v="23"/>
    <x v="1"/>
    <x v="1"/>
    <x v="0"/>
  </r>
  <r>
    <x v="32"/>
    <n v="3158"/>
    <s v="Neill Verreynne"/>
    <s v="nremnant4u@gmail.com"/>
    <x v="23"/>
    <x v="1"/>
    <x v="1"/>
    <x v="0"/>
  </r>
  <r>
    <x v="32"/>
    <n v="3378"/>
    <s v="Steven Murhula Kaho"/>
    <s v="engstevo@gmail.com"/>
    <x v="23"/>
    <x v="1"/>
    <x v="1"/>
    <x v="0"/>
  </r>
  <r>
    <x v="32"/>
    <n v="3601"/>
    <s v="Luke Simbabure"/>
    <s v="lukesimb@gmail.com"/>
    <x v="23"/>
    <x v="1"/>
    <x v="1"/>
    <x v="0"/>
  </r>
  <r>
    <x v="32"/>
    <n v="3838"/>
    <s v="Yande Mwale"/>
    <s v="ymwale@gmail.com"/>
    <x v="23"/>
    <x v="1"/>
    <x v="1"/>
    <x v="0"/>
  </r>
  <r>
    <x v="33"/>
    <n v="5533"/>
    <s v="Pavan Patke"/>
    <s v="pavan.patke@gmail.com"/>
    <x v="24"/>
    <x v="1"/>
    <x v="1"/>
    <x v="0"/>
  </r>
  <r>
    <x v="33"/>
    <n v="5666"/>
    <s v="Kyle Mudaly"/>
    <s v="Kyle.mudaly@gmail.com"/>
    <x v="24"/>
    <x v="0"/>
    <x v="1"/>
    <x v="0"/>
  </r>
  <r>
    <x v="33"/>
    <n v="5667"/>
    <s v="Sphiwe Masilela"/>
    <s v="masilsj@outlook.com"/>
    <x v="24"/>
    <x v="0"/>
    <x v="0"/>
    <x v="0"/>
  </r>
  <r>
    <x v="33"/>
    <n v="5668"/>
    <s v="Taib Metedad"/>
    <s v="taib.metedad@gmail.com"/>
    <x v="24"/>
    <x v="0"/>
    <x v="1"/>
    <x v="0"/>
  </r>
  <r>
    <x v="33"/>
    <n v="5669"/>
    <s v="Themba Mabuza"/>
    <s v="Thembagmabuza@gmail.com"/>
    <x v="24"/>
    <x v="0"/>
    <x v="7"/>
    <x v="0"/>
  </r>
  <r>
    <x v="33"/>
    <n v="3370"/>
    <s v="Khuthele Manakaza"/>
    <s v="khuthelemanakaza@gmail.com"/>
    <x v="24"/>
    <x v="1"/>
    <x v="1"/>
    <x v="0"/>
  </r>
  <r>
    <x v="33"/>
    <n v="5670"/>
    <s v="Radhika Pather"/>
    <s v="rads456@gmail.com"/>
    <x v="24"/>
    <x v="0"/>
    <x v="2"/>
    <x v="0"/>
  </r>
  <r>
    <x v="33"/>
    <n v="5671"/>
    <s v="Avuyile Malotana"/>
    <s v="vlvsmalotana@gmail.com"/>
    <x v="24"/>
    <x v="0"/>
    <x v="1"/>
    <x v="0"/>
  </r>
  <r>
    <x v="34"/>
    <n v="682"/>
    <s v="Panashe Masocha"/>
    <s v="panashemasocha@gmail.com"/>
    <x v="24"/>
    <x v="1"/>
    <x v="1"/>
    <x v="0"/>
  </r>
  <r>
    <x v="34"/>
    <n v="4084"/>
    <s v="Khande Sandeep"/>
    <s v="sandeepkhande02@gmail.com "/>
    <x v="24"/>
    <x v="1"/>
    <x v="1"/>
    <x v="0"/>
  </r>
  <r>
    <x v="34"/>
    <n v="718"/>
    <s v="Xolani Mthimkhulu"/>
    <s v="xolani@gmail.com"/>
    <x v="24"/>
    <x v="1"/>
    <x v="1"/>
    <x v="0"/>
  </r>
  <r>
    <x v="34"/>
    <n v="719"/>
    <s v="Tsholofelo Nkuna"/>
    <s v="tgnkuna768@gmail.com"/>
    <x v="24"/>
    <x v="1"/>
    <x v="1"/>
    <x v="0"/>
  </r>
  <r>
    <x v="34"/>
    <n v="5373"/>
    <s v="Mondo Sibeko"/>
    <s v="mondicesibeko@gmail.com"/>
    <x v="24"/>
    <x v="0"/>
    <x v="1"/>
    <x v="0"/>
  </r>
  <r>
    <x v="34"/>
    <n v="5374"/>
    <s v="Moraswi Maja"/>
    <s v="maja.moraswi@gmail.com"/>
    <x v="24"/>
    <x v="0"/>
    <x v="1"/>
    <x v="0"/>
  </r>
  <r>
    <x v="34"/>
    <n v="3166"/>
    <s v=" Gcobani Mkontwana"/>
    <s v="ggcobani@gmail.com"/>
    <x v="24"/>
    <x v="0"/>
    <x v="1"/>
    <x v="0"/>
  </r>
  <r>
    <x v="34"/>
    <n v="5584"/>
    <s v="Sean Botha"/>
    <s v="Sean.botha722@gmail.com"/>
    <x v="24"/>
    <x v="1"/>
    <x v="1"/>
    <x v="0"/>
  </r>
  <r>
    <x v="34"/>
    <n v="5374"/>
    <s v=" Fhatuwani Lancelot Tshikota"/>
    <s v="dvanskot@gmail.com"/>
    <x v="24"/>
    <x v="0"/>
    <x v="1"/>
    <x v="0"/>
  </r>
  <r>
    <x v="34"/>
    <n v="5063"/>
    <s v="Okuhle Somlota"/>
    <s v="somlotaokuhle@gmail.com"/>
    <x v="25"/>
    <x v="1"/>
    <x v="0"/>
    <x v="0"/>
  </r>
  <r>
    <x v="34"/>
    <n v="5672"/>
    <s v="Anele Zungu"/>
    <s v="anelezungu34@icloud.com"/>
    <x v="25"/>
    <x v="0"/>
    <x v="1"/>
    <x v="0"/>
  </r>
  <r>
    <x v="34"/>
    <n v="682"/>
    <s v="Panashe Masocha"/>
    <s v="panashemasocha@gmail.com"/>
    <x v="25"/>
    <x v="1"/>
    <x v="1"/>
    <x v="0"/>
  </r>
  <r>
    <x v="34"/>
    <n v="5374"/>
    <s v="Moraswi Maja"/>
    <s v="maja.moraswi@gmail.com"/>
    <x v="25"/>
    <x v="1"/>
    <x v="1"/>
    <x v="0"/>
  </r>
  <r>
    <x v="34"/>
    <n v="3096"/>
    <s v="Mawande Mdolo"/>
    <s v="asandamdolo09@gmail.com"/>
    <x v="25"/>
    <x v="1"/>
    <x v="1"/>
    <x v="0"/>
  </r>
  <r>
    <x v="34"/>
    <n v="5673"/>
    <s v="Simanga Khoza"/>
    <s v="h3khoza@gmail.com"/>
    <x v="25"/>
    <x v="0"/>
    <x v="1"/>
    <x v="0"/>
  </r>
  <r>
    <x v="34"/>
    <n v="5674"/>
    <s v="Nicholas Smith"/>
    <s v="nicholassmithzar@gmail.com"/>
    <x v="25"/>
    <x v="0"/>
    <x v="1"/>
    <x v="0"/>
  </r>
  <r>
    <x v="34"/>
    <n v="5675"/>
    <s v="Phumlani Mthembu"/>
    <s v="mthembup69@gmail.com"/>
    <x v="25"/>
    <x v="0"/>
    <x v="1"/>
    <x v="0"/>
  </r>
  <r>
    <x v="34"/>
    <n v="5107"/>
    <s v="Hope Mosidi"/>
    <s v="hopemosidi39@gmail.com"/>
    <x v="25"/>
    <x v="1"/>
    <x v="1"/>
    <x v="0"/>
  </r>
  <r>
    <x v="34"/>
    <n v="5676"/>
    <s v="Gloria Fulele"/>
    <s v="gloria.fulele@gmail.com"/>
    <x v="25"/>
    <x v="0"/>
    <x v="0"/>
    <x v="0"/>
  </r>
  <r>
    <x v="34"/>
    <n v="5677"/>
    <s v="Rahul Parathnandh"/>
    <s v="parathnandh@gmail.com"/>
    <x v="25"/>
    <x v="0"/>
    <x v="1"/>
    <x v="0"/>
  </r>
  <r>
    <x v="34"/>
    <n v="5678"/>
    <s v="Emmanuel Maneswa"/>
    <s v="emmanuelmaneswa@gmail.com"/>
    <x v="25"/>
    <x v="0"/>
    <x v="0"/>
    <x v="0"/>
  </r>
  <r>
    <x v="35"/>
    <n v="5392"/>
    <s v=" Privilege Mutangiri"/>
    <s v="priviemm@yahoo.co.uk"/>
    <x v="25"/>
    <x v="0"/>
    <x v="1"/>
    <x v="0"/>
  </r>
  <r>
    <x v="35"/>
    <n v="3096"/>
    <s v="Mawande Mdolo"/>
    <s v="asandamdolo09@gmail.com"/>
    <x v="25"/>
    <x v="1"/>
    <x v="1"/>
    <x v="0"/>
  </r>
  <r>
    <x v="16"/>
    <n v="5184"/>
    <s v="Vamshi Koyala "/>
    <s v="vamshikoyala128@gmail.com"/>
    <x v="25"/>
    <x v="1"/>
    <x v="5"/>
    <x v="0"/>
  </r>
  <r>
    <x v="16"/>
    <n v="5006"/>
    <s v="Lokesh Ravilla"/>
    <s v=" Lravilla@outlook.com "/>
    <x v="25"/>
    <x v="1"/>
    <x v="0"/>
    <x v="0"/>
  </r>
  <r>
    <x v="16"/>
    <n v="5257"/>
    <s v="Sinovuyo Lumka"/>
    <s v="lumkasinovuyo@gmail.com"/>
    <x v="25"/>
    <x v="1"/>
    <x v="1"/>
    <x v="0"/>
  </r>
  <r>
    <x v="5"/>
    <n v="5628"/>
    <s v="Venkat Potu"/>
    <s v="potu32@gmail.com"/>
    <x v="25"/>
    <x v="1"/>
    <x v="1"/>
    <x v="0"/>
  </r>
  <r>
    <x v="1"/>
    <n v="5273"/>
    <s v="Sibongakonke Shange"/>
    <s v="sbongakonke.shange@gmail.com"/>
    <x v="25"/>
    <x v="1"/>
    <x v="1"/>
    <x v="0"/>
  </r>
  <r>
    <x v="34"/>
    <n v="5394"/>
    <s v="Jyothi Nukala"/>
    <s v="jyothinukala.cloud@gmail.com"/>
    <x v="25"/>
    <x v="0"/>
    <x v="2"/>
    <x v="0"/>
  </r>
  <r>
    <x v="34"/>
    <n v="5061"/>
    <s v="Michael Mujabi"/>
    <s v="skillopp05@gmail.com"/>
    <x v="25"/>
    <x v="1"/>
    <x v="5"/>
    <x v="0"/>
  </r>
  <r>
    <x v="34"/>
    <n v="5019"/>
    <s v="Ntokozo Ngwenya"/>
    <s v="mthokozie@gmail.com "/>
    <x v="25"/>
    <x v="1"/>
    <x v="7"/>
    <x v="0"/>
  </r>
  <r>
    <x v="34"/>
    <n v="3777"/>
    <s v="Stephan Goosen"/>
    <s v="sggoosen3@gmail.com"/>
    <x v="25"/>
    <x v="1"/>
    <x v="1"/>
    <x v="0"/>
  </r>
  <r>
    <x v="16"/>
    <n v="5395"/>
    <s v="Vasavi Rayudu"/>
    <s v="vasavirayudu17@gmail.com"/>
    <x v="25"/>
    <x v="0"/>
    <x v="1"/>
    <x v="0"/>
  </r>
  <r>
    <x v="16"/>
    <n v="5396"/>
    <s v="Zakithi Dlomo"/>
    <s v="zakithisthoko@gmail.com"/>
    <x v="25"/>
    <x v="0"/>
    <x v="5"/>
    <x v="0"/>
  </r>
  <r>
    <x v="16"/>
    <n v="5397"/>
    <s v="Lakshmi Tejasri"/>
    <s v="bltejasri.09@gmail.com"/>
    <x v="25"/>
    <x v="0"/>
    <x v="1"/>
    <x v="0"/>
  </r>
  <r>
    <x v="35"/>
    <n v="5679"/>
    <s v="Kennedy Chengeta"/>
    <s v="kennedychengeta@gmail.com"/>
    <x v="26"/>
    <x v="0"/>
    <x v="1"/>
    <x v="0"/>
  </r>
  <r>
    <x v="35"/>
    <n v="5260"/>
    <s v="Patrick Muotoh"/>
    <s v="nduka.muotoh@gmail.com"/>
    <x v="26"/>
    <x v="1"/>
    <x v="1"/>
    <x v="0"/>
  </r>
  <r>
    <x v="35"/>
    <n v="5680"/>
    <s v="Ananth Samudrala"/>
    <s v="samudralas@gmail.com"/>
    <x v="26"/>
    <x v="0"/>
    <x v="1"/>
    <x v="0"/>
  </r>
  <r>
    <x v="35"/>
    <n v="5629"/>
    <s v="Bennett Mafeka"/>
    <s v="mafekabs@gmail.com"/>
    <x v="26"/>
    <x v="1"/>
    <x v="1"/>
    <x v="0"/>
  </r>
  <r>
    <x v="35"/>
    <n v="5681"/>
    <s v="Sidhartha Philander"/>
    <s v="sidharthaphilander@live.com"/>
    <x v="26"/>
    <x v="0"/>
    <x v="1"/>
    <x v="0"/>
  </r>
  <r>
    <x v="35"/>
    <n v="5682"/>
    <s v="Sibusiso Chris Mnisi"/>
    <s v="magezatandla@gmail.com"/>
    <x v="26"/>
    <x v="0"/>
    <x v="1"/>
    <x v="35"/>
  </r>
  <r>
    <x v="35"/>
    <n v="4413"/>
    <s v="Stephen Cloete"/>
    <s v="smcloete@outlook.com"/>
    <x v="26"/>
    <x v="1"/>
    <x v="1"/>
    <x v="0"/>
  </r>
  <r>
    <x v="35"/>
    <n v="5683"/>
    <s v="Meldrick Collen Mashau"/>
    <s v="collenmash3@gmail.com"/>
    <x v="26"/>
    <x v="0"/>
    <x v="2"/>
    <x v="36"/>
  </r>
  <r>
    <x v="35"/>
    <n v="5311"/>
    <s v="Ray Matlala"/>
    <s v="raym@rainbowbt.co.za"/>
    <x v="26"/>
    <x v="1"/>
    <x v="1"/>
    <x v="0"/>
  </r>
  <r>
    <x v="35"/>
    <n v="5684"/>
    <s v="Charmayne Tempel"/>
    <s v="charmaynet@gmail.com"/>
    <x v="26"/>
    <x v="0"/>
    <x v="1"/>
    <x v="0"/>
  </r>
  <r>
    <x v="35"/>
    <n v="5685"/>
    <s v="Mahlatse Chokoe"/>
    <s v="Mahlatsemc@gmail.com"/>
    <x v="26"/>
    <x v="0"/>
    <x v="1"/>
    <x v="0"/>
  </r>
  <r>
    <x v="35"/>
    <n v="5686"/>
    <s v="Grant Basson"/>
    <s v="g.d.basson@gmail.com"/>
    <x v="26"/>
    <x v="0"/>
    <x v="7"/>
    <x v="0"/>
  </r>
  <r>
    <x v="35"/>
    <n v="5260"/>
    <s v=" Patrick Muotoh"/>
    <s v="nduka.muotoh@gmail.com"/>
    <x v="26"/>
    <x v="1"/>
    <x v="7"/>
    <x v="0"/>
  </r>
  <r>
    <x v="36"/>
    <n v="2341"/>
    <s v="Takudzwa Muperi"/>
    <s v="tmpery@gmail.com"/>
    <x v="26"/>
    <x v="1"/>
    <x v="7"/>
    <x v="0"/>
  </r>
  <r>
    <x v="27"/>
    <n v="640"/>
    <s v="Musa Baloyi "/>
    <s v="happybugga.com@gmail.com"/>
    <x v="26"/>
    <x v="1"/>
    <x v="1"/>
    <x v="0"/>
  </r>
  <r>
    <x v="27"/>
    <n v="5405"/>
    <s v="Moshe Rampedi"/>
    <s v="mosram2@gmail.com"/>
    <x v="26"/>
    <x v="0"/>
    <x v="2"/>
    <x v="37"/>
  </r>
  <r>
    <x v="27"/>
    <n v="5406"/>
    <s v="Masese Molefe"/>
    <s v="sesemolefe@gmail.com"/>
    <x v="26"/>
    <x v="0"/>
    <x v="1"/>
    <x v="0"/>
  </r>
  <r>
    <x v="23"/>
    <n v="1860"/>
    <s v="Benson Takarinda"/>
    <s v="bensontaks@gmail.com"/>
    <x v="26"/>
    <x v="1"/>
    <x v="1"/>
    <x v="0"/>
  </r>
  <r>
    <x v="34"/>
    <n v="920"/>
    <s v="Venkatesh Paruchuri"/>
    <s v="Paruchuri646@gmail.com "/>
    <x v="26"/>
    <x v="1"/>
    <x v="1"/>
    <x v="0"/>
  </r>
  <r>
    <x v="28"/>
    <n v="975"/>
    <s v="Nizet Ewulu"/>
    <s v="kaytan15ewulu@gmail.com"/>
    <x v="26"/>
    <x v="1"/>
    <x v="1"/>
    <x v="0"/>
  </r>
  <r>
    <x v="1"/>
    <n v="993"/>
    <s v="Zared Ngila Nkuna"/>
    <s v="zarednkuna8@gmail.com"/>
    <x v="26"/>
    <x v="1"/>
    <x v="1"/>
    <x v="0"/>
  </r>
  <r>
    <x v="34"/>
    <n v="2049"/>
    <s v="Shintal Jamge"/>
    <s v="sjamge@gmail.com"/>
    <x v="26"/>
    <x v="1"/>
    <x v="1"/>
    <x v="0"/>
  </r>
  <r>
    <x v="34"/>
    <n v="5266"/>
    <s v="Choene Chokoe"/>
    <s v="chokoe.choene@outlook.com"/>
    <x v="26"/>
    <x v="1"/>
    <x v="1"/>
    <x v="0"/>
  </r>
  <r>
    <x v="35"/>
    <n v="5166"/>
    <s v="Thobani Mngoma"/>
    <s v="tmmngoma@gmail.com"/>
    <x v="26"/>
    <x v="1"/>
    <x v="1"/>
    <x v="0"/>
  </r>
  <r>
    <x v="35"/>
    <n v="4095"/>
    <s v="Jabulani Cele"/>
    <s v="mjizocele@gmail.com"/>
    <x v="26"/>
    <x v="1"/>
    <x v="1"/>
    <x v="0"/>
  </r>
  <r>
    <x v="23"/>
    <n v="3455"/>
    <s v="Leo Netshifhefhe"/>
    <s v="leonet001@outlook.com"/>
    <x v="26"/>
    <x v="1"/>
    <x v="1"/>
    <x v="0"/>
  </r>
  <r>
    <x v="5"/>
    <n v="5408"/>
    <s v=" Olebogeng Queeneth Mosito"/>
    <s v="mositoolebogeng@gmail.com"/>
    <x v="26"/>
    <x v="0"/>
    <x v="1"/>
    <x v="0"/>
  </r>
  <r>
    <x v="5"/>
    <n v="5409"/>
    <s v="Kevin Van Zyl"/>
    <s v="mrkvanzyl@gmail.com"/>
    <x v="26"/>
    <x v="0"/>
    <x v="4"/>
    <x v="38"/>
  </r>
  <r>
    <x v="5"/>
    <n v="5674"/>
    <s v=" Nicholas Smith"/>
    <s v="nicholassmithzar@gmail.com"/>
    <x v="26"/>
    <x v="1"/>
    <x v="1"/>
    <x v="0"/>
  </r>
  <r>
    <x v="34"/>
    <n v="3253"/>
    <s v="Brian Mathunyane"/>
    <s v="brianmathunyane@gmail.com"/>
    <x v="27"/>
    <x v="1"/>
    <x v="1"/>
    <x v="0"/>
  </r>
  <r>
    <x v="34"/>
    <n v="5687"/>
    <s v="Banele Ntuli"/>
    <s v="kamohelontuli@gmail.com"/>
    <x v="27"/>
    <x v="0"/>
    <x v="1"/>
    <x v="0"/>
  </r>
  <r>
    <x v="34"/>
    <n v="5688"/>
    <s v="Rorisang Madonko"/>
    <s v="rori.madonko@gmail.com"/>
    <x v="27"/>
    <x v="0"/>
    <x v="1"/>
    <x v="0"/>
  </r>
  <r>
    <x v="34"/>
    <n v="4084"/>
    <s v="Khande Sandeep"/>
    <s v="sandeepkhande02@gmail.com"/>
    <x v="27"/>
    <x v="1"/>
    <x v="1"/>
    <x v="0"/>
  </r>
  <r>
    <x v="34"/>
    <n v="5253"/>
    <s v="Brian Mathunyane"/>
    <s v="brianmathunyane@gmail.com"/>
    <x v="27"/>
    <x v="1"/>
    <x v="1"/>
    <x v="0"/>
  </r>
  <r>
    <x v="34"/>
    <n v="5689"/>
    <s v="Balukiye Mashego"/>
    <s v="balukiyemm@gmail.com"/>
    <x v="27"/>
    <x v="0"/>
    <x v="1"/>
    <x v="0"/>
  </r>
  <r>
    <x v="34"/>
    <n v="5690"/>
    <s v="Andre Nienaber"/>
    <s v="nienaber79@gmail.com"/>
    <x v="27"/>
    <x v="0"/>
    <x v="2"/>
    <x v="37"/>
  </r>
  <r>
    <x v="34"/>
    <n v="5691"/>
    <s v="Mayank Rajput"/>
    <s v="mayankrajput01@gmail.com"/>
    <x v="27"/>
    <x v="0"/>
    <x v="1"/>
    <x v="0"/>
  </r>
  <r>
    <x v="34"/>
    <n v="5692"/>
    <s v="Kudakwashe Nheyera"/>
    <s v="kmnheyera@gmail.com"/>
    <x v="27"/>
    <x v="0"/>
    <x v="1"/>
    <x v="0"/>
  </r>
  <r>
    <x v="34"/>
    <n v="5693"/>
    <s v="Philip Venter"/>
    <s v="philventer15@gmail.com"/>
    <x v="27"/>
    <x v="0"/>
    <x v="1"/>
    <x v="0"/>
  </r>
  <r>
    <x v="34"/>
    <n v="5694"/>
    <s v="Simphiwe Vilankulu"/>
    <s v="VilankuluSimphiwe@gmail.com"/>
    <x v="27"/>
    <x v="0"/>
    <x v="2"/>
    <x v="37"/>
  </r>
  <r>
    <x v="34"/>
    <n v="5695"/>
    <s v="Kgaogelo Tshabalala"/>
    <s v="fortunatekgaogelo@gmail.com"/>
    <x v="27"/>
    <x v="0"/>
    <x v="1"/>
    <x v="0"/>
  </r>
  <r>
    <x v="34"/>
    <n v="2638"/>
    <s v="Siyabonga Mbambo"/>
    <s v="mbambosiyabonga@gmail.com"/>
    <x v="27"/>
    <x v="1"/>
    <x v="1"/>
    <x v="0"/>
  </r>
  <r>
    <x v="34"/>
    <n v="4068"/>
    <s v="Mola Tshepo Kingsley"/>
    <s v="Molatshepo04@gmail.com"/>
    <x v="27"/>
    <x v="1"/>
    <x v="1"/>
    <x v="0"/>
  </r>
  <r>
    <x v="34"/>
    <n v="3564"/>
    <s v="Gilbert Mufuka"/>
    <s v="gilbert.s.mufuka@gmail.com"/>
    <x v="27"/>
    <x v="1"/>
    <x v="1"/>
    <x v="0"/>
  </r>
  <r>
    <x v="34"/>
    <n v="5696"/>
    <s v="Tsungai Kaviya"/>
    <s v="tsungai.kaviya@gmail.com"/>
    <x v="27"/>
    <x v="0"/>
    <x v="1"/>
    <x v="0"/>
  </r>
  <r>
    <x v="34"/>
    <n v="5697"/>
    <s v="Poojashree Dhananjaya"/>
    <s v="poojashree7770@gmail.com"/>
    <x v="27"/>
    <x v="0"/>
    <x v="1"/>
    <x v="0"/>
  </r>
  <r>
    <x v="34"/>
    <n v="5698"/>
    <s v="Sainty Mpheroane"/>
    <s v="mpheroanesainty21@gmail.com"/>
    <x v="27"/>
    <x v="0"/>
    <x v="1"/>
    <x v="0"/>
  </r>
  <r>
    <x v="34"/>
    <n v="4261"/>
    <s v="Stephan Gunter"/>
    <s v="stephangunter.sfg@gmail.com"/>
    <x v="27"/>
    <x v="1"/>
    <x v="1"/>
    <x v="0"/>
  </r>
  <r>
    <x v="34"/>
    <n v="2771"/>
    <s v="Bongeka Khwalo"/>
    <s v="bongeka.khwalo@gmail.com"/>
    <x v="27"/>
    <x v="1"/>
    <x v="1"/>
    <x v="0"/>
  </r>
  <r>
    <x v="21"/>
    <n v="5412"/>
    <s v="Simikahle Dlomo"/>
    <s v="simikahledlomo@gmail.com"/>
    <x v="27"/>
    <x v="1"/>
    <x v="1"/>
    <x v="0"/>
  </r>
  <r>
    <x v="21"/>
    <n v="3829"/>
    <s v="Bandile Myeni"/>
    <s v="bandymyeni@gmail.com"/>
    <x v="27"/>
    <x v="1"/>
    <x v="4"/>
    <x v="0"/>
  </r>
  <r>
    <x v="21"/>
    <n v="5414"/>
    <s v="Mlungisi-Mbele"/>
    <s v="mlu.mbele@gmail.com "/>
    <x v="27"/>
    <x v="0"/>
    <x v="1"/>
    <x v="0"/>
  </r>
  <r>
    <x v="37"/>
    <n v="5415"/>
    <s v="Ridwaan Khan"/>
    <s v=" ridwankhan2109@gmail.com "/>
    <x v="27"/>
    <x v="0"/>
    <x v="1"/>
    <x v="0"/>
  </r>
  <r>
    <x v="1"/>
    <n v="3184"/>
    <s v="Nomore Chikonyora"/>
    <s v="nchikonyora@gmail.com"/>
    <x v="27"/>
    <x v="1"/>
    <x v="1"/>
    <x v="0"/>
  </r>
  <r>
    <x v="1"/>
    <n v="1853"/>
    <s v="Kenneth Kwinda"/>
    <s v="kennethrido@gmail.com"/>
    <x v="27"/>
    <x v="1"/>
    <x v="5"/>
    <x v="0"/>
  </r>
  <r>
    <x v="1"/>
    <n v="685"/>
    <s v="Raja Gangavarapu"/>
    <s v="rajkumargv@gmail.com"/>
    <x v="27"/>
    <x v="1"/>
    <x v="1"/>
    <x v="0"/>
  </r>
  <r>
    <x v="19"/>
    <n v="3438"/>
    <s v="Srikanth Mathireddy"/>
    <s v="mathireddy.srikanth@gmail.com"/>
    <x v="27"/>
    <x v="1"/>
    <x v="1"/>
    <x v="0"/>
  </r>
  <r>
    <x v="26"/>
    <n v="5699"/>
    <s v="Zama Qithi"/>
    <s v="qithizama@gmail.com"/>
    <x v="28"/>
    <x v="0"/>
    <x v="2"/>
    <x v="39"/>
  </r>
  <r>
    <x v="26"/>
    <n v="5700"/>
    <s v="Aobakwe Gaborone"/>
    <s v="Gaboronea@gmail.com"/>
    <x v="28"/>
    <x v="0"/>
    <x v="1"/>
    <x v="0"/>
  </r>
  <r>
    <x v="26"/>
    <n v="5701"/>
    <s v="Beatka Spence"/>
    <s v="beebs.spence@gmail.com"/>
    <x v="28"/>
    <x v="0"/>
    <x v="1"/>
    <x v="0"/>
  </r>
  <r>
    <x v="26"/>
    <n v="5702"/>
    <s v="Madeleine Bihina"/>
    <s v="mbihina@yahoo.fr"/>
    <x v="28"/>
    <x v="0"/>
    <x v="1"/>
    <x v="0"/>
  </r>
  <r>
    <x v="26"/>
    <n v="5703"/>
    <s v="Moshe Maleka"/>
    <s v="moshemaleka@yahoo.com"/>
    <x v="28"/>
    <x v="0"/>
    <x v="2"/>
    <x v="37"/>
  </r>
  <r>
    <x v="26"/>
    <n v="5704"/>
    <s v="Moses Matsina"/>
    <s v="Moses.matsina@gmail.com"/>
    <x v="28"/>
    <x v="0"/>
    <x v="2"/>
    <x v="37"/>
  </r>
  <r>
    <x v="26"/>
    <n v="5705"/>
    <s v="Mfezeko Sodawe"/>
    <s v="sodawemfezeko@gmail.com"/>
    <x v="28"/>
    <x v="0"/>
    <x v="1"/>
    <x v="0"/>
  </r>
  <r>
    <x v="26"/>
    <n v="5706"/>
    <s v="Kevin Harilal"/>
    <s v="Kevin.Harilal@gmail.com"/>
    <x v="28"/>
    <x v="0"/>
    <x v="1"/>
    <x v="0"/>
  </r>
  <r>
    <x v="26"/>
    <n v="5707"/>
    <s v="Jurie Ferreira"/>
    <s v="JurieF04@gmail.com"/>
    <x v="28"/>
    <x v="0"/>
    <x v="2"/>
    <x v="37"/>
  </r>
  <r>
    <x v="26"/>
    <n v="5708"/>
    <s v="Warric Ritchie"/>
    <s v="warricritchie@gmail.com"/>
    <x v="28"/>
    <x v="0"/>
    <x v="1"/>
    <x v="0"/>
  </r>
  <r>
    <x v="26"/>
    <n v="5709"/>
    <s v="Phatudi Phago"/>
    <s v="phatudiphago@gmail.com"/>
    <x v="28"/>
    <x v="0"/>
    <x v="1"/>
    <x v="0"/>
  </r>
  <r>
    <x v="14"/>
    <n v="4534"/>
    <s v="Wynand du Plessis "/>
    <s v="wynand1979@outlook.com"/>
    <x v="28"/>
    <x v="1"/>
    <x v="5"/>
    <x v="40"/>
  </r>
  <r>
    <x v="14"/>
    <n v="2135"/>
    <s v="Prasad Reddy Nagam "/>
    <s v="nagamsai32@gmail.com "/>
    <x v="28"/>
    <x v="1"/>
    <x v="1"/>
    <x v="0"/>
  </r>
  <r>
    <x v="14"/>
    <n v="4223"/>
    <s v="Ravinaga K"/>
    <s v="ravinbk26@gmail.com"/>
    <x v="28"/>
    <x v="1"/>
    <x v="1"/>
    <x v="0"/>
  </r>
  <r>
    <x v="14"/>
    <n v="3743"/>
    <s v="Lebogang Ditibane "/>
    <s v="lditibane@gmail.com"/>
    <x v="28"/>
    <x v="0"/>
    <x v="1"/>
    <x v="0"/>
  </r>
  <r>
    <x v="14"/>
    <n v="5425"/>
    <s v="Jennifer Kelebogile Boom"/>
    <s v="Jenniferbm8@gmail.com"/>
    <x v="28"/>
    <x v="0"/>
    <x v="1"/>
    <x v="0"/>
  </r>
  <r>
    <x v="14"/>
    <n v="5426"/>
    <s v="Sipho Maphosa"/>
    <s v="Siphoandries92@gmail.com"/>
    <x v="28"/>
    <x v="0"/>
    <x v="1"/>
    <x v="0"/>
  </r>
  <r>
    <x v="38"/>
    <n v="3403"/>
    <s v="Muzamiru  Mbaziira"/>
    <s v="mbaziira2003@yahoo.com"/>
    <x v="28"/>
    <x v="1"/>
    <x v="1"/>
    <x v="0"/>
  </r>
  <r>
    <x v="38"/>
    <n v="5427"/>
    <s v="Manasa Rekapalli"/>
    <s v="manasa.rekapalli999@gmail.com"/>
    <x v="28"/>
    <x v="0"/>
    <x v="1"/>
    <x v="0"/>
  </r>
  <r>
    <x v="15"/>
    <n v="5436"/>
    <s v="Tsepo Felix Morafo"/>
    <s v="niftycasper@gmail.com "/>
    <x v="29"/>
    <x v="1"/>
    <x v="1"/>
    <x v="0"/>
  </r>
  <r>
    <x v="21"/>
    <n v="4069"/>
    <s v="Divar Ramnath"/>
    <s v="ramnatdi@gmail.com "/>
    <x v="29"/>
    <x v="1"/>
    <x v="1"/>
    <x v="0"/>
  </r>
  <r>
    <x v="7"/>
    <n v="4069"/>
    <s v="Divar Ramnath"/>
    <s v="ramnatdi@gmail.com "/>
    <x v="29"/>
    <x v="1"/>
    <x v="1"/>
    <x v="0"/>
  </r>
  <r>
    <x v="29"/>
    <n v="2170"/>
    <s v="Surprise Maimane"/>
    <s v="surprino@gmail.com"/>
    <x v="29"/>
    <x v="1"/>
    <x v="1"/>
    <x v="0"/>
  </r>
  <r>
    <x v="39"/>
    <n v="5265"/>
    <s v="Pontsho Maheso"/>
    <s v="pontshomaheso@gmail.com"/>
    <x v="29"/>
    <x v="1"/>
    <x v="1"/>
    <x v="0"/>
  </r>
  <r>
    <x v="39"/>
    <n v="5713"/>
    <s v="Corne Jooste"/>
    <s v="joostecj7@gmail.com"/>
    <x v="29"/>
    <x v="0"/>
    <x v="1"/>
    <x v="0"/>
  </r>
  <r>
    <x v="39"/>
    <n v="5330"/>
    <s v="Tsepo Morafo"/>
    <s v="niftycasper@gmail.com"/>
    <x v="29"/>
    <x v="1"/>
    <x v="1"/>
    <x v="0"/>
  </r>
  <r>
    <x v="39"/>
    <n v="5710"/>
    <s v="Thabo Matsie"/>
    <s v="tmatsie@gmail.com"/>
    <x v="29"/>
    <x v="0"/>
    <x v="0"/>
    <x v="0"/>
  </r>
  <r>
    <x v="39"/>
    <n v="5712"/>
    <s v="Timothy Kruger"/>
    <s v="timothyc.kruger@gmail.com"/>
    <x v="29"/>
    <x v="0"/>
    <x v="6"/>
    <x v="0"/>
  </r>
  <r>
    <x v="39"/>
    <n v="5711"/>
    <s v="Maropeng Mabina"/>
    <s v="maropengmabina24@gmail.com"/>
    <x v="29"/>
    <x v="1"/>
    <x v="6"/>
    <x v="0"/>
  </r>
  <r>
    <x v="7"/>
    <n v="3487"/>
    <s v="Ethan Jappie"/>
    <s v="ethan.jappie@gmail.com"/>
    <x v="29"/>
    <x v="1"/>
    <x v="1"/>
    <x v="0"/>
  </r>
  <r>
    <x v="20"/>
    <n v="5260"/>
    <s v=" Patrick Muotoh"/>
    <s v="nduka.muotoh@gmail.com"/>
    <x v="29"/>
    <x v="1"/>
    <x v="0"/>
    <x v="0"/>
  </r>
  <r>
    <x v="0"/>
    <n v="1762"/>
    <s v="Bharath Katipally"/>
    <s v="katipallybharath88@gmail.com  "/>
    <x v="29"/>
    <x v="1"/>
    <x v="1"/>
    <x v="0"/>
  </r>
  <r>
    <x v="35"/>
    <n v="3812"/>
    <s v="Robson Beans "/>
    <s v="beansrobson@gmail.com"/>
    <x v="29"/>
    <x v="1"/>
    <x v="1"/>
    <x v="0"/>
  </r>
  <r>
    <x v="35"/>
    <n v="2632"/>
    <s v="Selebogo Segatlaka"/>
    <s v="s.segatlaka@gmail.com"/>
    <x v="29"/>
    <x v="1"/>
    <x v="1"/>
    <x v="0"/>
  </r>
  <r>
    <x v="35"/>
    <n v="1577"/>
    <s v="Prince Joseph"/>
    <s v="ndalapj@gmail.com"/>
    <x v="29"/>
    <x v="1"/>
    <x v="0"/>
    <x v="0"/>
  </r>
  <r>
    <x v="35"/>
    <n v="5437"/>
    <s v="Kau Endric Molepo"/>
    <s v="kau.endric@gmail.com"/>
    <x v="29"/>
    <x v="0"/>
    <x v="1"/>
    <x v="0"/>
  </r>
  <r>
    <x v="0"/>
    <n v="884"/>
    <s v="Pradeep Siripurapu"/>
    <s v="pradeepchowdary47@gmail.com "/>
    <x v="29"/>
    <x v="1"/>
    <x v="1"/>
    <x v="0"/>
  </r>
  <r>
    <x v="28"/>
    <n v="908"/>
    <s v="Andani Juanita Munonde"/>
    <s v="juanmissyam@gmail.com"/>
    <x v="29"/>
    <x v="1"/>
    <x v="1"/>
    <x v="0"/>
  </r>
  <r>
    <x v="7"/>
    <n v="920"/>
    <s v="Venkatesh Paruchuri"/>
    <s v="Paruchuri646@gmail.com "/>
    <x v="29"/>
    <x v="1"/>
    <x v="1"/>
    <x v="0"/>
  </r>
  <r>
    <x v="4"/>
    <n v="920"/>
    <s v="Venkatesh Paruchuri"/>
    <s v="Paruchuri646@gmail.com "/>
    <x v="29"/>
    <x v="1"/>
    <x v="1"/>
    <x v="0"/>
  </r>
  <r>
    <x v="40"/>
    <n v="5714"/>
    <s v="Bongani Nkomo"/>
    <s v="B.nkomo808@gmail.com"/>
    <x v="30"/>
    <x v="0"/>
    <x v="1"/>
    <x v="0"/>
  </r>
  <r>
    <x v="40"/>
    <n v="5716"/>
    <s v="Katlego Mabala"/>
    <s v="katlegomabala0121@gmail.com"/>
    <x v="30"/>
    <x v="0"/>
    <x v="1"/>
    <x v="0"/>
  </r>
  <r>
    <x v="40"/>
    <n v="5717"/>
    <s v="Aman Mia"/>
    <s v="zeenatmia1@hotmail.com"/>
    <x v="30"/>
    <x v="0"/>
    <x v="1"/>
    <x v="0"/>
  </r>
  <r>
    <x v="40"/>
    <n v="5718"/>
    <s v="Nhlamulo Mnisi"/>
    <s v="nk.mnisi@gmail.com"/>
    <x v="30"/>
    <x v="0"/>
    <x v="0"/>
    <x v="0"/>
  </r>
  <r>
    <x v="40"/>
    <n v="5715"/>
    <s v="Hapton Chinyama"/>
    <s v="hapton.hh@gmail.com"/>
    <x v="30"/>
    <x v="0"/>
    <x v="1"/>
    <x v="0"/>
  </r>
  <r>
    <x v="40"/>
    <n v="5719"/>
    <s v="Simphiwe Mthimunye"/>
    <s v="90mdas@gmail.com"/>
    <x v="30"/>
    <x v="0"/>
    <x v="1"/>
    <x v="0"/>
  </r>
  <r>
    <x v="32"/>
    <n v="3378"/>
    <s v="Steven Murhula Kahomboshi"/>
    <s v="engstevo@gmail.com"/>
    <x v="30"/>
    <x v="1"/>
    <x v="1"/>
    <x v="0"/>
  </r>
  <r>
    <x v="32"/>
    <n v="5721"/>
    <s v="Andrew Schleiss"/>
    <s v="andrew.d.q.s@gmail.com"/>
    <x v="30"/>
    <x v="0"/>
    <x v="1"/>
    <x v="0"/>
  </r>
  <r>
    <x v="32"/>
    <n v="2266"/>
    <s v="Sivan Naidoo"/>
    <s v="sivan.naidoo@aicatalyststudio.co.za"/>
    <x v="30"/>
    <x v="1"/>
    <x v="1"/>
    <x v="0"/>
  </r>
  <r>
    <x v="32"/>
    <n v="523"/>
    <s v="Nkosinathi Mbambo"/>
    <s v="nmbambo@protonmail.com"/>
    <x v="30"/>
    <x v="1"/>
    <x v="0"/>
    <x v="0"/>
  </r>
  <r>
    <x v="32"/>
    <n v="4495"/>
    <s v="Tibor Olah"/>
    <s v="tibor710222@gmail.com"/>
    <x v="30"/>
    <x v="1"/>
    <x v="1"/>
    <x v="0"/>
  </r>
  <r>
    <x v="34"/>
    <n v="3063"/>
    <s v="Khumo Mogorosi"/>
    <s v="khumomogorosi@gmail.com"/>
    <x v="30"/>
    <x v="1"/>
    <x v="1"/>
    <x v="0"/>
  </r>
  <r>
    <x v="34"/>
    <n v="4281"/>
    <s v="Ndumiso Mathe"/>
    <s v="quizgn@gmail.com"/>
    <x v="30"/>
    <x v="1"/>
    <x v="1"/>
    <x v="0"/>
  </r>
  <r>
    <x v="34"/>
    <n v="4032"/>
    <s v=" Gabriel Maphanga"/>
    <s v="gabrielmaphang@gmail.com"/>
    <x v="30"/>
    <x v="1"/>
    <x v="2"/>
    <x v="41"/>
  </r>
  <r>
    <x v="34"/>
    <n v="4567"/>
    <s v="Tashinga Sakwiya"/>
    <s v="sakwiyatashinga@gmail.com"/>
    <x v="30"/>
    <x v="1"/>
    <x v="1"/>
    <x v="0"/>
  </r>
  <r>
    <x v="34"/>
    <n v="54"/>
    <s v="Tshepo Malesela"/>
    <s v="tmalesela31@gmail.com"/>
    <x v="30"/>
    <x v="1"/>
    <x v="1"/>
    <x v="0"/>
  </r>
  <r>
    <x v="34"/>
    <n v="1791"/>
    <s v="Crown Ndlala"/>
    <s v="crown.angulo@gmail.com"/>
    <x v="30"/>
    <x v="1"/>
    <x v="1"/>
    <x v="0"/>
  </r>
  <r>
    <x v="34"/>
    <n v="2814"/>
    <s v="Tshepo Sehloho"/>
    <s v=" stshedaz@gmail.com"/>
    <x v="30"/>
    <x v="1"/>
    <x v="3"/>
    <x v="0"/>
  </r>
  <r>
    <x v="41"/>
    <n v="3678"/>
    <s v="Mokhuoane Mocwana"/>
    <s v="mokhuoane@gmail.com"/>
    <x v="31"/>
    <x v="1"/>
    <x v="1"/>
    <x v="0"/>
  </r>
  <r>
    <x v="41"/>
    <n v="2112"/>
    <s v="Nodumo Silimela"/>
    <s v="clairesilimela@gmail.com"/>
    <x v="31"/>
    <x v="1"/>
    <x v="1"/>
    <x v="0"/>
  </r>
  <r>
    <x v="41"/>
    <n v="5619"/>
    <s v="Sasja Solomons"/>
    <s v="sasja.solomons1@gmail.com"/>
    <x v="31"/>
    <x v="1"/>
    <x v="1"/>
    <x v="0"/>
  </r>
  <r>
    <x v="41"/>
    <n v="5722"/>
    <s v="Sakumzi Mpushe"/>
    <s v="sakumzi.mpushe@gmail.com"/>
    <x v="31"/>
    <x v="0"/>
    <x v="1"/>
    <x v="0"/>
  </r>
  <r>
    <x v="41"/>
    <n v="4276"/>
    <s v="Eza Motolwana"/>
    <s v="eza.mabona@gmail.com"/>
    <x v="31"/>
    <x v="1"/>
    <x v="0"/>
    <x v="0"/>
  </r>
  <r>
    <x v="41"/>
    <n v="4509"/>
    <s v="Likhit Addala"/>
    <s v="likhitvarma97@gmail.com"/>
    <x v="31"/>
    <x v="1"/>
    <x v="1"/>
    <x v="0"/>
  </r>
  <r>
    <x v="41"/>
    <n v="5723"/>
    <s v="Kgomotso Masokojwane"/>
    <s v="kgomotso.mas@gmail.com"/>
    <x v="31"/>
    <x v="0"/>
    <x v="1"/>
    <x v="0"/>
  </r>
  <r>
    <x v="41"/>
    <n v="5724"/>
    <s v="Manuela Chadreque"/>
    <s v="manuelachadreque@gmail.com"/>
    <x v="31"/>
    <x v="0"/>
    <x v="1"/>
    <x v="0"/>
  </r>
  <r>
    <x v="41"/>
    <n v="4223"/>
    <s v="Ravinaga K"/>
    <s v="ravinbk26@gmail.com"/>
    <x v="31"/>
    <x v="1"/>
    <x v="1"/>
    <x v="0"/>
  </r>
  <r>
    <x v="41"/>
    <n v="4555"/>
    <s v="Durga Prasad"/>
    <s v="durgaprasadbi32@gmail.com"/>
    <x v="31"/>
    <x v="1"/>
    <x v="1"/>
    <x v="0"/>
  </r>
  <r>
    <x v="41"/>
    <n v="5634"/>
    <s v="Juan du Preez"/>
    <s v="attentionjuan@gmail.com"/>
    <x v="31"/>
    <x v="1"/>
    <x v="1"/>
    <x v="0"/>
  </r>
  <r>
    <x v="41"/>
    <n v="5266"/>
    <s v="Stanley Mazhokota"/>
    <s v="staniemazhokota@gmail.com "/>
    <x v="31"/>
    <x v="1"/>
    <x v="1"/>
    <x v="0"/>
  </r>
  <r>
    <x v="41"/>
    <n v="2191"/>
    <s v="Teja Chinnabathini "/>
    <s v="chteja4286@gmail.com "/>
    <x v="31"/>
    <x v="1"/>
    <x v="2"/>
    <x v="0"/>
  </r>
  <r>
    <x v="41"/>
    <n v="3860"/>
    <s v="Tawanda Mkutuma "/>
    <s v="tawmyk@gmail.com"/>
    <x v="31"/>
    <x v="1"/>
    <x v="7"/>
    <x v="0"/>
  </r>
  <r>
    <x v="41"/>
    <n v="5453"/>
    <s v="Nomusa Wendy Khuboni "/>
    <s v="wendywestnomusa@gmail.com "/>
    <x v="31"/>
    <x v="1"/>
    <x v="1"/>
    <x v="0"/>
  </r>
  <r>
    <x v="41"/>
    <n v="1679"/>
    <s v="Donny Vumbi"/>
    <s v="dvumbi@gmail.com"/>
    <x v="31"/>
    <x v="1"/>
    <x v="1"/>
    <x v="0"/>
  </r>
  <r>
    <x v="41"/>
    <n v="5325"/>
    <s v="Annette Colbran "/>
    <s v="annette.colbran@gmail.com "/>
    <x v="31"/>
    <x v="1"/>
    <x v="7"/>
    <x v="0"/>
  </r>
  <r>
    <x v="34"/>
    <n v="4524"/>
    <s v="Thabang Makalela "/>
    <s v="makalelatm@gmail.com "/>
    <x v="31"/>
    <x v="1"/>
    <x v="1"/>
    <x v="0"/>
  </r>
  <r>
    <x v="34"/>
    <n v="686"/>
    <s v="Jack Van Zyl "/>
    <s v=" thejackvanzyl@gmail.com "/>
    <x v="31"/>
    <x v="1"/>
    <x v="5"/>
    <x v="42"/>
  </r>
  <r>
    <x v="37"/>
    <s v="?"/>
    <s v="Mandla Nkosi"/>
    <s v="mandlankosinkosi@gmail.com"/>
    <x v="31"/>
    <x v="0"/>
    <x v="6"/>
    <x v="0"/>
  </r>
  <r>
    <x v="0"/>
    <s v="?"/>
    <s v="Otshepegile Mpa"/>
    <s v="otshepegilempa@gmail.com"/>
    <x v="31"/>
    <x v="0"/>
    <x v="6"/>
    <x v="0"/>
  </r>
  <r>
    <x v="42"/>
    <n v="5390"/>
    <s v="Andile Sefiri Skosana "/>
    <s v="msikamhlanga@gmail.com "/>
    <x v="32"/>
    <x v="1"/>
    <x v="1"/>
    <x v="0"/>
  </r>
  <r>
    <x v="42"/>
    <n v="5461"/>
    <s v="Paven Govender"/>
    <s v="paveng@gmail.com"/>
    <x v="32"/>
    <x v="0"/>
    <x v="1"/>
    <x v="0"/>
  </r>
  <r>
    <x v="42"/>
    <n v="1272"/>
    <s v="Olatunde Ola"/>
    <s v="olatundeola@hotmail.com "/>
    <x v="32"/>
    <x v="1"/>
    <x v="1"/>
    <x v="0"/>
  </r>
  <r>
    <x v="42"/>
    <n v="5200"/>
    <s v="Sena Herbert Tamakloe"/>
    <s v="senahubert@gmail.com "/>
    <x v="32"/>
    <x v="1"/>
    <x v="1"/>
    <x v="0"/>
  </r>
  <r>
    <x v="41"/>
    <n v="1264"/>
    <s v="Praveen Muppalla"/>
    <s v="muppallapraveen.bi@gmail.com"/>
    <x v="32"/>
    <x v="1"/>
    <x v="1"/>
    <x v="0"/>
  </r>
  <r>
    <x v="43"/>
    <n v="1156"/>
    <s v="Ismond Mokwena"/>
    <s v="ismondmokwena@gmail.com"/>
    <x v="32"/>
    <x v="1"/>
    <x v="1"/>
    <x v="0"/>
  </r>
  <r>
    <x v="43"/>
    <n v="1103"/>
    <s v="Matimu Ndlovu"/>
    <s v="matimu.ndlovu@gmail.com "/>
    <x v="32"/>
    <x v="1"/>
    <x v="1"/>
    <x v="0"/>
  </r>
  <r>
    <x v="43"/>
    <n v="5465"/>
    <s v="Mzwandile Khumalo"/>
    <s v="mrzwai.khumalo505@gmail.com"/>
    <x v="32"/>
    <x v="0"/>
    <x v="2"/>
    <x v="43"/>
  </r>
  <r>
    <x v="43"/>
    <n v="5032"/>
    <s v="Godfrey Tshikungulu "/>
    <s v="jakalude@yahoo.com "/>
    <x v="32"/>
    <x v="1"/>
    <x v="1"/>
    <x v="0"/>
  </r>
  <r>
    <x v="43"/>
    <n v="2171"/>
    <s v="Shakila begam"/>
    <s v="shakiweblinks@gmail.com"/>
    <x v="32"/>
    <x v="1"/>
    <x v="2"/>
    <x v="44"/>
  </r>
  <r>
    <x v="44"/>
    <n v="5466"/>
    <s v="Karthik Shaganti"/>
    <s v="kumarshaganti9@gmail.com"/>
    <x v="32"/>
    <x v="0"/>
    <x v="1"/>
    <x v="0"/>
  </r>
  <r>
    <x v="16"/>
    <n v="5467"/>
    <s v="Pitso Excellent Mofokeng"/>
    <s v="pitso.mofokeng89@gmail.com"/>
    <x v="32"/>
    <x v="0"/>
    <x v="1"/>
    <x v="0"/>
  </r>
  <r>
    <x v="16"/>
    <n v="5470"/>
    <s v="Siyabonga Webstar Maseko"/>
    <s v="webstarsiyabonga@gmail.com"/>
    <x v="32"/>
    <x v="0"/>
    <x v="1"/>
    <x v="0"/>
  </r>
  <r>
    <x v="16"/>
    <n v="5471"/>
    <s v="Labius Ramono Disemelo"/>
    <s v="rldisemelo@gmail.com"/>
    <x v="32"/>
    <x v="0"/>
    <x v="1"/>
    <x v="0"/>
  </r>
  <r>
    <x v="14"/>
    <n v="5728"/>
    <s v="Aluwani Matshili"/>
    <s v="aluwani.matshili@outlook.com"/>
    <x v="33"/>
    <x v="0"/>
    <x v="2"/>
    <x v="45"/>
  </r>
  <r>
    <x v="14"/>
    <n v="5382"/>
    <s v="Sai Tej Kommineni"/>
    <s v="kommineni.saitej@gmail.com"/>
    <x v="33"/>
    <x v="1"/>
    <x v="1"/>
    <x v="0"/>
  </r>
  <r>
    <x v="14"/>
    <n v="3674"/>
    <s v="Logan Naidoo"/>
    <s v="logonnaidoo0@gmail.com"/>
    <x v="33"/>
    <x v="1"/>
    <x v="1"/>
    <x v="0"/>
  </r>
  <r>
    <x v="14"/>
    <n v="5729"/>
    <s v="Tshepo Phora"/>
    <s v="small.tshepo@gmail.com"/>
    <x v="33"/>
    <x v="0"/>
    <x v="1"/>
    <x v="0"/>
  </r>
  <r>
    <x v="14"/>
    <n v="5730"/>
    <s v="Kevin Taylor"/>
    <s v="kevintaylor12121212@gmail.com"/>
    <x v="33"/>
    <x v="0"/>
    <x v="2"/>
    <x v="0"/>
  </r>
  <r>
    <x v="14"/>
    <n v="5731"/>
    <s v="Tashiel Haryparsat"/>
    <s v="tashiel.haryparsat@gmail.com"/>
    <x v="33"/>
    <x v="0"/>
    <x v="1"/>
    <x v="0"/>
  </r>
  <r>
    <x v="14"/>
    <n v="2046"/>
    <s v="Nicholas Motlhoki"/>
    <s v="Nicholas.Motlhoki@gmail.com"/>
    <x v="33"/>
    <x v="1"/>
    <x v="1"/>
    <x v="0"/>
  </r>
  <r>
    <x v="14"/>
    <n v="1670"/>
    <s v="Sonia Negondeni"/>
    <s v="negondeni.sonia@gmail.com"/>
    <x v="33"/>
    <x v="1"/>
    <x v="1"/>
    <x v="0"/>
  </r>
  <r>
    <x v="14"/>
    <n v="1462"/>
    <s v="Vuthlari Baloyi"/>
    <s v="vuthlari.baloyi1@gmail.com"/>
    <x v="33"/>
    <x v="1"/>
    <x v="1"/>
    <x v="0"/>
  </r>
  <r>
    <x v="14"/>
    <n v="5732"/>
    <s v="Langford Manyau"/>
    <s v="Langfordm3@gmail.com"/>
    <x v="33"/>
    <x v="0"/>
    <x v="1"/>
    <x v="0"/>
  </r>
  <r>
    <x v="14"/>
    <n v="5733"/>
    <s v="Thapelo Mekwa"/>
    <s v="thapelom@mactechit.co.za"/>
    <x v="33"/>
    <x v="0"/>
    <x v="1"/>
    <x v="0"/>
  </r>
  <r>
    <x v="14"/>
    <n v="5734"/>
    <s v="Humphrey Dave"/>
    <s v="hamudave@gmail.com"/>
    <x v="33"/>
    <x v="0"/>
    <x v="1"/>
    <x v="0"/>
  </r>
  <r>
    <x v="14"/>
    <n v="469"/>
    <s v="Samson Onikosi"/>
    <s v="sam.onikosi@gmail.com"/>
    <x v="33"/>
    <x v="1"/>
    <x v="1"/>
    <x v="0"/>
  </r>
  <r>
    <x v="14"/>
    <n v="5735"/>
    <s v="Rayleen Padayachee"/>
    <s v="raylspada@gmail.com"/>
    <x v="33"/>
    <x v="0"/>
    <x v="1"/>
    <x v="0"/>
  </r>
  <r>
    <x v="14"/>
    <n v="5199"/>
    <s v="Fikile Mdiniso"/>
    <s v="fikilemdiniso2@gmail.com"/>
    <x v="33"/>
    <x v="1"/>
    <x v="1"/>
    <x v="0"/>
  </r>
  <r>
    <x v="14"/>
    <n v="5736"/>
    <s v="Khulekani Mnguni"/>
    <s v="mngunikhulekani@yahoo.com"/>
    <x v="33"/>
    <x v="0"/>
    <x v="1"/>
    <x v="0"/>
  </r>
  <r>
    <x v="14"/>
    <n v="5737"/>
    <s v="Peba Malefo"/>
    <s v="psmalefo@gmail.com"/>
    <x v="33"/>
    <x v="0"/>
    <x v="1"/>
    <x v="0"/>
  </r>
  <r>
    <x v="14"/>
    <n v="5738"/>
    <s v="Mzingise Ralarala"/>
    <s v="rmzido@live.com"/>
    <x v="33"/>
    <x v="0"/>
    <x v="1"/>
    <x v="0"/>
  </r>
  <r>
    <x v="14"/>
    <n v="5739"/>
    <s v="Shane Molale"/>
    <s v="shanemolale@gmail.com"/>
    <x v="33"/>
    <x v="0"/>
    <x v="1"/>
    <x v="0"/>
  </r>
  <r>
    <x v="14"/>
    <n v="773"/>
    <s v="Maggy Chavalala"/>
    <s v="maggy.bouwer@gmail.com"/>
    <x v="33"/>
    <x v="1"/>
    <x v="1"/>
    <x v="0"/>
  </r>
  <r>
    <x v="14"/>
    <n v="5740"/>
    <s v="Danelle Kok"/>
    <s v="danellekok@gmail.com"/>
    <x v="33"/>
    <x v="0"/>
    <x v="1"/>
    <x v="0"/>
  </r>
  <r>
    <x v="14"/>
    <n v="5741"/>
    <s v="Nomusa Sithole"/>
    <s v="Jobezama@ymail.com"/>
    <x v="33"/>
    <x v="0"/>
    <x v="1"/>
    <x v="0"/>
  </r>
  <r>
    <x v="38"/>
    <n v="5476"/>
    <s v="CH. Pramod"/>
    <s v="pramod.itlead@gmail.com"/>
    <x v="33"/>
    <x v="0"/>
    <x v="2"/>
    <x v="46"/>
  </r>
  <r>
    <x v="16"/>
    <n v="2292"/>
    <s v="Yeshni Govender"/>
    <s v="yeshnigovender@gmail.com"/>
    <x v="33"/>
    <x v="1"/>
    <x v="1"/>
    <x v="0"/>
  </r>
  <r>
    <x v="16"/>
    <n v="5477"/>
    <s v="Mfanafuthi Perfect Khumalo"/>
    <s v="Mfanafuthi.khumalo@nhlakaniphoservices.co.za"/>
    <x v="33"/>
    <x v="0"/>
    <x v="1"/>
    <x v="0"/>
  </r>
  <r>
    <x v="11"/>
    <n v="5477"/>
    <s v="Mfanafuthi Perfect Khumalo"/>
    <s v="Mfanafuthi.khumalo@nhlakaniphoservices.co.za"/>
    <x v="33"/>
    <x v="0"/>
    <x v="1"/>
    <x v="0"/>
  </r>
  <r>
    <x v="19"/>
    <n v="5477"/>
    <s v="Mfanafuthi Perfect Khumalo"/>
    <s v="Mfanafuthi.khumalo@nhlakaniphoservices.co.za"/>
    <x v="33"/>
    <x v="0"/>
    <x v="1"/>
    <x v="0"/>
  </r>
  <r>
    <x v="45"/>
    <n v="5479"/>
    <s v="Ramya Bhoopathi"/>
    <s v="ramyakrishna.bhoopathi@gmail.com"/>
    <x v="33"/>
    <x v="0"/>
    <x v="0"/>
    <x v="0"/>
  </r>
  <r>
    <x v="46"/>
    <n v="3130"/>
    <s v="Shailaja Naikwadi"/>
    <s v="shaila.n1402@gmail.com"/>
    <x v="34"/>
    <x v="1"/>
    <x v="3"/>
    <x v="0"/>
  </r>
  <r>
    <x v="46"/>
    <n v="3484"/>
    <s v="Tasha van Niekerk"/>
    <s v="tasha.a.vanniekerk@gmail.com"/>
    <x v="34"/>
    <x v="1"/>
    <x v="3"/>
    <x v="0"/>
  </r>
  <r>
    <x v="46"/>
    <n v="5745"/>
    <s v="Tiyiselani Rikhamba"/>
    <s v="andrewrikhamba@gmail.com"/>
    <x v="34"/>
    <x v="0"/>
    <x v="3"/>
    <x v="0"/>
  </r>
  <r>
    <x v="46"/>
    <n v="5746"/>
    <s v="Nqobile Moyo"/>
    <s v="nqobilemoyo43@gmail.com"/>
    <x v="34"/>
    <x v="0"/>
    <x v="3"/>
    <x v="0"/>
  </r>
  <r>
    <x v="46"/>
    <n v="2831"/>
    <s v="Mboniseni Thethwayo"/>
    <s v="mboniseh@gmail.com"/>
    <x v="34"/>
    <x v="1"/>
    <x v="3"/>
    <x v="0"/>
  </r>
  <r>
    <x v="46"/>
    <n v="5747"/>
    <s v="Leonard Masina"/>
    <s v="molemo.masina@gmail.com"/>
    <x v="34"/>
    <x v="0"/>
    <x v="3"/>
    <x v="0"/>
  </r>
  <r>
    <x v="46"/>
    <n v="3456"/>
    <s v="Elie Mbuyamba"/>
    <s v="elie.mundeke@hotmail.com"/>
    <x v="34"/>
    <x v="1"/>
    <x v="3"/>
    <x v="0"/>
  </r>
  <r>
    <x v="46"/>
    <n v="5748"/>
    <s v="Shankar Kumar"/>
    <s v="shankarkumar.s@gmail.com"/>
    <x v="34"/>
    <x v="0"/>
    <x v="3"/>
    <x v="0"/>
  </r>
  <r>
    <x v="46"/>
    <n v="718"/>
    <s v="Xolani Mthimkhulu"/>
    <s v="2024xolani@gmail.com"/>
    <x v="34"/>
    <x v="1"/>
    <x v="3"/>
    <x v="0"/>
  </r>
  <r>
    <x v="46"/>
    <n v="5061"/>
    <s v="Michael Mujabi"/>
    <s v="macshap04@gmail.com"/>
    <x v="34"/>
    <x v="1"/>
    <x v="3"/>
    <x v="0"/>
  </r>
  <r>
    <x v="46"/>
    <n v="5480"/>
    <s v="Sunil Donny Singh"/>
    <s v="d.singh.zn@gmail.com"/>
    <x v="34"/>
    <x v="0"/>
    <x v="3"/>
    <x v="0"/>
  </r>
  <r>
    <x v="47"/>
    <n v="3667"/>
    <s v="Oupa Mpe"/>
    <s v="ngwanoo@gmail.com"/>
    <x v="34"/>
    <x v="1"/>
    <x v="3"/>
    <x v="0"/>
  </r>
  <r>
    <x v="47"/>
    <n v="3634"/>
    <s v="Phumlane Maseko"/>
    <s v="pcom86@gmail.com"/>
    <x v="34"/>
    <x v="1"/>
    <x v="3"/>
    <x v="0"/>
  </r>
  <r>
    <x v="47"/>
    <n v="5054"/>
    <s v="Polireddy Akula"/>
    <s v="polireddya@gmail.com"/>
    <x v="34"/>
    <x v="1"/>
    <x v="3"/>
    <x v="0"/>
  </r>
  <r>
    <x v="47"/>
    <n v="3874"/>
    <s v="Ngoie Yannick"/>
    <s v="tokembengoie@gmail.com"/>
    <x v="34"/>
    <x v="1"/>
    <x v="3"/>
    <x v="0"/>
  </r>
  <r>
    <x v="46"/>
    <n v="5484"/>
    <s v=" Lulama Ndukwana"/>
    <s v="nlulama@gmail.com"/>
    <x v="34"/>
    <x v="0"/>
    <x v="3"/>
    <x v="0"/>
  </r>
  <r>
    <x v="34"/>
    <n v="1675"/>
    <s v="Samruddhi Nangare"/>
    <s v="samruddhinangare@gmail.com"/>
    <x v="34"/>
    <x v="1"/>
    <x v="3"/>
    <x v="0"/>
  </r>
  <r>
    <x v="40"/>
    <n v="1644"/>
    <s v="Joseph Chiwara"/>
    <s v="chiwarajosephi@gmail.com"/>
    <x v="34"/>
    <x v="1"/>
    <x v="3"/>
    <x v="0"/>
  </r>
  <r>
    <x v="47"/>
    <n v="4498"/>
    <s v="Davison Matanga-Nyidze"/>
    <s v="dmatangany@gmail.com "/>
    <x v="35"/>
    <x v="1"/>
    <x v="3"/>
    <x v="0"/>
  </r>
  <r>
    <x v="47"/>
    <n v="679"/>
    <s v="Goutham Linga"/>
    <s v="gouthamlinga90@gmail.com"/>
    <x v="35"/>
    <x v="1"/>
    <x v="3"/>
    <x v="0"/>
  </r>
  <r>
    <x v="47"/>
    <n v="5752"/>
    <s v="Navaneeth B"/>
    <s v="navaneethb2803@gmail.com"/>
    <x v="35"/>
    <x v="0"/>
    <x v="3"/>
    <x v="0"/>
  </r>
  <r>
    <x v="47"/>
    <n v="3249"/>
    <s v="Rambabu Tadepalli"/>
    <s v="ram.t.babu@gmail.com"/>
    <x v="35"/>
    <x v="1"/>
    <x v="0"/>
    <x v="0"/>
  </r>
  <r>
    <x v="47"/>
    <n v="267"/>
    <s v="Prathyusha Talluri"/>
    <s v="prathyushatalluri98@gmail.com"/>
    <x v="35"/>
    <x v="1"/>
    <x v="3"/>
    <x v="0"/>
  </r>
  <r>
    <x v="47"/>
    <n v="1783"/>
    <s v="Thato Mabeleng"/>
    <s v="tlmabeleng@gmail.com"/>
    <x v="35"/>
    <x v="1"/>
    <x v="3"/>
    <x v="0"/>
  </r>
  <r>
    <x v="47"/>
    <n v="5629"/>
    <s v="Bennett Mafeka"/>
    <s v="mafekabs@gmail.com"/>
    <x v="35"/>
    <x v="1"/>
    <x v="3"/>
    <x v="0"/>
  </r>
  <r>
    <x v="47"/>
    <n v="4101"/>
    <s v="Dennis Saka"/>
    <s v="den.saka@gmail.com"/>
    <x v="35"/>
    <x v="1"/>
    <x v="3"/>
    <x v="0"/>
  </r>
  <r>
    <x v="47"/>
    <n v="5753"/>
    <s v="Matimba Sydney Chauke"/>
    <s v="chaukems@gmail.com"/>
    <x v="35"/>
    <x v="0"/>
    <x v="3"/>
    <x v="0"/>
  </r>
  <r>
    <x v="47"/>
    <n v="387"/>
    <s v="Craig Barsdorff"/>
    <s v="craig701028@gmail.com"/>
    <x v="35"/>
    <x v="1"/>
    <x v="3"/>
    <x v="0"/>
  </r>
  <r>
    <x v="48"/>
    <n v="5490"/>
    <s v="Thokozani Thabede"/>
    <s v="thokozanithabede@gmail.com"/>
    <x v="35"/>
    <x v="0"/>
    <x v="3"/>
    <x v="0"/>
  </r>
  <r>
    <x v="48"/>
    <n v="5491"/>
    <s v="Pfano Sigama"/>
    <s v="pfanosigama8@gmail.com"/>
    <x v="35"/>
    <x v="0"/>
    <x v="3"/>
    <x v="0"/>
  </r>
  <r>
    <x v="48"/>
    <n v="5613"/>
    <s v="Nkwe Justice Mapoulo"/>
    <s v="nkwejustice@gmail.com"/>
    <x v="35"/>
    <x v="1"/>
    <x v="3"/>
    <x v="0"/>
  </r>
  <r>
    <x v="48"/>
    <n v="5492"/>
    <s v="Tanya Erumeh"/>
    <s v="tanyaerumeh@gmail.com"/>
    <x v="35"/>
    <x v="0"/>
    <x v="3"/>
    <x v="0"/>
  </r>
  <r>
    <x v="48"/>
    <n v="5493"/>
    <s v="Subramanyam Kalangi"/>
    <s v="sarath.kalangi@gmail.com"/>
    <x v="35"/>
    <x v="0"/>
    <x v="3"/>
    <x v="0"/>
  </r>
  <r>
    <x v="48"/>
    <n v="3476"/>
    <s v="Moeketse Mafahla"/>
    <s v="innocent.javas@gmail.com"/>
    <x v="35"/>
    <x v="1"/>
    <x v="3"/>
    <x v="0"/>
  </r>
  <r>
    <x v="48"/>
    <n v="5494"/>
    <s v="Keegan Chetty"/>
    <s v="keegan.chettyz@gmail.com"/>
    <x v="35"/>
    <x v="0"/>
    <x v="3"/>
    <x v="0"/>
  </r>
  <r>
    <x v="48"/>
    <n v="5495"/>
    <s v="Wisani Ndhukula"/>
    <s v="ocashn@gmail.com"/>
    <x v="35"/>
    <x v="0"/>
    <x v="3"/>
    <x v="0"/>
  </r>
  <r>
    <x v="48"/>
    <n v="4097"/>
    <s v="Thami Tulo"/>
    <s v="thami.tulo@gmail.com"/>
    <x v="35"/>
    <x v="1"/>
    <x v="3"/>
    <x v="0"/>
  </r>
  <r>
    <x v="48"/>
    <n v="2442"/>
    <s v="Batanai Gwanyanya"/>
    <s v="batanai.gw@gmail.com"/>
    <x v="35"/>
    <x v="1"/>
    <x v="3"/>
    <x v="0"/>
  </r>
  <r>
    <x v="49"/>
    <n v="5755"/>
    <s v="Tshepo Serumula"/>
    <s v="tshepoelifa238@gmail.com"/>
    <x v="36"/>
    <x v="0"/>
    <x v="3"/>
    <x v="0"/>
  </r>
  <r>
    <x v="49"/>
    <n v="777"/>
    <s v="Sabelo Simelane"/>
    <s v="sabelosimelane09@gmail.com"/>
    <x v="36"/>
    <x v="1"/>
    <x v="3"/>
    <x v="0"/>
  </r>
  <r>
    <x v="49"/>
    <n v="5756"/>
    <s v="Thendo Matshisevhe"/>
    <s v="thendomatshisevhe@gmail.com"/>
    <x v="36"/>
    <x v="0"/>
    <x v="3"/>
    <x v="0"/>
  </r>
  <r>
    <x v="49"/>
    <n v="5757"/>
    <s v="Mohamed Karreem"/>
    <s v="mz.karreem@gmail.com"/>
    <x v="36"/>
    <x v="0"/>
    <x v="3"/>
    <x v="0"/>
  </r>
  <r>
    <x v="49"/>
    <n v="5758"/>
    <s v="Sibongile Hlatshwayo"/>
    <s v="ignatiahlatshwayo1@gmail.com"/>
    <x v="36"/>
    <x v="0"/>
    <x v="2"/>
    <x v="0"/>
  </r>
  <r>
    <x v="49"/>
    <n v="5759"/>
    <s v="Michelle Khusu"/>
    <s v="mkhusu@gmail.com"/>
    <x v="36"/>
    <x v="0"/>
    <x v="2"/>
    <x v="0"/>
  </r>
  <r>
    <x v="49"/>
    <n v="5760"/>
    <s v="Manuela Chadreque"/>
    <s v="manuelachadreque@gmail.com"/>
    <x v="36"/>
    <x v="1"/>
    <x v="3"/>
    <x v="0"/>
  </r>
  <r>
    <x v="49"/>
    <n v="5760"/>
    <s v="Mosebu Maake"/>
    <s v="mosebum@yahoo.co.za"/>
    <x v="36"/>
    <x v="0"/>
    <x v="3"/>
    <x v="0"/>
  </r>
  <r>
    <x v="49"/>
    <n v="5761"/>
    <s v="Lufuno Ramadwa"/>
    <s v="Ramadwa88@gmail.com"/>
    <x v="36"/>
    <x v="0"/>
    <x v="3"/>
    <x v="0"/>
  </r>
  <r>
    <x v="49"/>
    <n v="3929"/>
    <s v="Skumbuzo Kumalo"/>
    <s v="kumalosl@hotmail.com"/>
    <x v="36"/>
    <x v="1"/>
    <x v="3"/>
    <x v="0"/>
  </r>
  <r>
    <x v="49"/>
    <n v="3269"/>
    <s v="David Mokgolela"/>
    <s v="tebogomokgolela@gmail.com"/>
    <x v="36"/>
    <x v="1"/>
    <x v="3"/>
    <x v="0"/>
  </r>
  <r>
    <x v="49"/>
    <n v="2525"/>
    <s v="Chithra Venkatakrishnan"/>
    <s v="chitra.it@gmail.com"/>
    <x v="36"/>
    <x v="1"/>
    <x v="3"/>
    <x v="0"/>
  </r>
  <r>
    <x v="49"/>
    <n v="5037"/>
    <s v="Fortune Mogoeng"/>
    <s v="Fortunemogoeng@gmail.com"/>
    <x v="36"/>
    <x v="1"/>
    <x v="2"/>
    <x v="0"/>
  </r>
  <r>
    <x v="49"/>
    <n v="253"/>
    <s v="Daniel Phohu"/>
    <s v="daniel.phohu@gmail.com"/>
    <x v="36"/>
    <x v="1"/>
    <x v="3"/>
    <x v="0"/>
  </r>
  <r>
    <x v="49"/>
    <n v="5762"/>
    <s v="Marilese Le Riche"/>
    <s v="marilese.leriche@gmail.com"/>
    <x v="36"/>
    <x v="0"/>
    <x v="3"/>
    <x v="0"/>
  </r>
  <r>
    <x v="49"/>
    <n v="5754"/>
    <s v="Lerato Isabella Malohle"/>
    <s v="lrtmalohle@gmail.com"/>
    <x v="36"/>
    <x v="0"/>
    <x v="0"/>
    <x v="0"/>
  </r>
  <r>
    <x v="34"/>
    <n v="65"/>
    <s v=" Ranganayaki Sermoria "/>
    <s v="rsermoria@gmail.com "/>
    <x v="36"/>
    <x v="1"/>
    <x v="1"/>
    <x v="0"/>
  </r>
  <r>
    <x v="50"/>
    <n v="5415"/>
    <s v="Kalyan Bathina"/>
    <s v="bathinakalyan25@gmail.com"/>
    <x v="36"/>
    <x v="1"/>
    <x v="1"/>
    <x v="0"/>
  </r>
  <r>
    <x v="50"/>
    <n v="2161"/>
    <s v="Lisita Mwepu"/>
    <s v="lisita.mwepu@hotmail.com"/>
    <x v="36"/>
    <x v="1"/>
    <x v="0"/>
    <x v="0"/>
  </r>
  <r>
    <x v="50"/>
    <n v="3860"/>
    <s v="Tawanda Mkutuma"/>
    <s v="tawmyk@gmail.com"/>
    <x v="36"/>
    <x v="1"/>
    <x v="1"/>
    <x v="0"/>
  </r>
  <r>
    <x v="50"/>
    <n v="5194"/>
    <s v="Tonderai Mudehwe "/>
    <s v="tonde.mudehwe@gmail.com"/>
    <x v="36"/>
    <x v="1"/>
    <x v="1"/>
    <x v="0"/>
  </r>
  <r>
    <x v="50"/>
    <n v="423"/>
    <s v="Ankababu Pendyala"/>
    <s v="babu.coding1@gmail.com"/>
    <x v="36"/>
    <x v="1"/>
    <x v="1"/>
    <x v="0"/>
  </r>
  <r>
    <x v="50"/>
    <n v="355"/>
    <s v="Sampath Polishetty  "/>
    <s v="sampath.polishetty@gmail.com"/>
    <x v="36"/>
    <x v="1"/>
    <x v="1"/>
    <x v="0"/>
  </r>
  <r>
    <x v="50"/>
    <n v="3265"/>
    <s v="Lokesh unnam"/>
    <s v="lokeshunnam.spark@gmail.com"/>
    <x v="36"/>
    <x v="1"/>
    <x v="0"/>
    <x v="0"/>
  </r>
  <r>
    <x v="50"/>
    <n v="3529"/>
    <s v="Shashidhar Reddy"/>
    <s v="shashireddy40@gmail.com"/>
    <x v="36"/>
    <x v="1"/>
    <x v="0"/>
    <x v="0"/>
  </r>
  <r>
    <x v="50"/>
    <n v="2208"/>
    <s v="Vimalkumar Angalakurthy"/>
    <s v="vimalkumar.datasteer@gmail.com"/>
    <x v="36"/>
    <x v="1"/>
    <x v="1"/>
    <x v="0"/>
  </r>
  <r>
    <x v="50"/>
    <n v="4495"/>
    <s v="Tibor Olah"/>
    <s v="tibor710222@gmail.com"/>
    <x v="36"/>
    <x v="1"/>
    <x v="1"/>
    <x v="0"/>
  </r>
  <r>
    <x v="50"/>
    <n v="3378"/>
    <s v="Steven Murhula Kahomboshi"/>
    <s v="engstevo@gmail.com"/>
    <x v="36"/>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519F59-4CE7-455C-8DF0-EFB880000B51}" name="Funnel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Week">
  <location ref="J3:K15" firstHeaderRow="1" firstDataRow="1" firstDataCol="1" rowPageCount="1" colPageCount="1"/>
  <pivotFields count="9">
    <pivotField showAll="0"/>
    <pivotField showAll="0"/>
    <pivotField dataField="1" showAll="0"/>
    <pivotField showAll="0"/>
    <pivotField numFmtId="14" showAll="0">
      <items count="39">
        <item x="0"/>
        <item m="1" x="3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axis="axisRow">
      <items count="12">
        <item x="6"/>
        <item x="3"/>
        <item x="1"/>
        <item x="5"/>
        <item x="7"/>
        <item x="2"/>
        <item m="1" x="10"/>
        <item x="4"/>
        <item x="0"/>
        <item m="1" x="9"/>
        <item m="1" x="8"/>
        <item t="default"/>
      </items>
    </pivotField>
    <pivotField axis="axisPage" showAll="0">
      <items count="48">
        <item x="26"/>
        <item x="35"/>
        <item x="25"/>
        <item x="24"/>
        <item x="30"/>
        <item x="39"/>
        <item x="40"/>
        <item x="6"/>
        <item x="3"/>
        <item x="18"/>
        <item x="17"/>
        <item x="7"/>
        <item x="20"/>
        <item x="21"/>
        <item x="29"/>
        <item x="22"/>
        <item x="15"/>
        <item x="16"/>
        <item x="2"/>
        <item x="4"/>
        <item x="33"/>
        <item x="1"/>
        <item x="44"/>
        <item x="43"/>
        <item x="27"/>
        <item x="46"/>
        <item x="34"/>
        <item x="42"/>
        <item x="28"/>
        <item x="13"/>
        <item x="14"/>
        <item x="45"/>
        <item x="37"/>
        <item x="5"/>
        <item x="38"/>
        <item x="36"/>
        <item x="12"/>
        <item x="31"/>
        <item x="8"/>
        <item x="32"/>
        <item x="19"/>
        <item x="41"/>
        <item x="9"/>
        <item x="10"/>
        <item x="23"/>
        <item x="11"/>
        <item x="0"/>
        <item t="default"/>
      </items>
    </pivotField>
    <pivotField showAll="0">
      <items count="24735">
        <item h="1" x="0"/>
        <item h="1" x="1"/>
        <item h="1" x="2"/>
        <item h="1" x="3"/>
        <item h="1" x="4"/>
        <item h="1" x="5"/>
        <item h="1" x="6"/>
        <item h="1" x="7"/>
        <item h="1" x="8"/>
        <item h="1" x="9"/>
        <item h="1" x="10"/>
        <item h="1" x="11"/>
        <item h="1" x="12"/>
        <item h="1" x="13"/>
        <item h="1" x="14"/>
        <item h="1" x="15"/>
        <item h="1" x="16"/>
        <item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0"/>
        <item h="1" x="3011"/>
        <item h="1" x="3012"/>
        <item h="1" x="3013"/>
        <item h="1" x="3014"/>
        <item h="1" x="3015"/>
        <item h="1" x="3016"/>
        <item h="1" x="3017"/>
        <item h="1" x="3018"/>
        <item h="1" x="3019"/>
        <item h="1" x="3020"/>
        <item h="1" x="3021"/>
        <item h="1" x="3022"/>
        <item h="1" x="3023"/>
        <item h="1" x="3024"/>
        <item h="1" x="3025"/>
        <item h="1" x="3026"/>
        <item h="1" x="3027"/>
        <item h="1" x="3028"/>
        <item h="1" x="3029"/>
        <item h="1" x="3030"/>
        <item h="1" x="3031"/>
        <item h="1" x="3032"/>
        <item h="1" x="3033"/>
        <item h="1" x="3034"/>
        <item h="1" x="3035"/>
        <item h="1" x="3036"/>
        <item h="1" x="3037"/>
        <item h="1" x="3038"/>
        <item h="1" x="3039"/>
        <item h="1" x="3040"/>
        <item h="1" x="3041"/>
        <item h="1" x="3042"/>
        <item h="1" x="3043"/>
        <item h="1" x="3044"/>
        <item h="1" x="3045"/>
        <item h="1" x="3046"/>
        <item h="1" x="3047"/>
        <item h="1" x="3048"/>
        <item h="1" x="3049"/>
        <item h="1" x="3050"/>
        <item h="1" x="3051"/>
        <item h="1" x="3052"/>
        <item h="1" x="3053"/>
        <item h="1" x="3054"/>
        <item h="1" x="3055"/>
        <item h="1" x="3056"/>
        <item h="1" x="3057"/>
        <item h="1" x="3058"/>
        <item h="1" x="3059"/>
        <item h="1" x="3060"/>
        <item h="1" x="3061"/>
        <item h="1" x="3062"/>
        <item h="1" x="3063"/>
        <item h="1" x="3064"/>
        <item h="1" x="3065"/>
        <item h="1" x="3066"/>
        <item h="1" x="3067"/>
        <item h="1" x="3068"/>
        <item h="1" x="3069"/>
        <item h="1" x="3070"/>
        <item h="1" x="3071"/>
        <item h="1" x="3072"/>
        <item h="1" x="3073"/>
        <item h="1" x="3074"/>
        <item h="1" x="3075"/>
        <item h="1" x="3076"/>
        <item h="1" x="3077"/>
        <item h="1" x="3078"/>
        <item h="1" x="3079"/>
        <item h="1" x="3080"/>
        <item h="1" x="3081"/>
        <item h="1" x="3082"/>
        <item h="1" x="3083"/>
        <item h="1" x="3084"/>
        <item h="1" x="3085"/>
        <item h="1" x="3086"/>
        <item h="1" x="3087"/>
        <item h="1" x="3088"/>
        <item h="1" x="3089"/>
        <item h="1" x="3090"/>
        <item h="1" x="3091"/>
        <item h="1" x="3092"/>
        <item h="1" x="3093"/>
        <item h="1" x="3094"/>
        <item h="1" x="3095"/>
        <item h="1" x="3096"/>
        <item h="1" x="3097"/>
        <item h="1" x="3098"/>
        <item h="1" x="3099"/>
        <item h="1" x="3100"/>
        <item h="1" x="3101"/>
        <item h="1" x="3102"/>
        <item h="1" x="3103"/>
        <item h="1" x="3104"/>
        <item h="1" x="3105"/>
        <item h="1" x="3106"/>
        <item h="1" x="3107"/>
        <item h="1" x="3108"/>
        <item h="1" x="3109"/>
        <item h="1" x="3110"/>
        <item h="1" x="3111"/>
        <item h="1" x="3112"/>
        <item h="1" x="3113"/>
        <item h="1" x="3114"/>
        <item h="1" x="3115"/>
        <item h="1" x="3116"/>
        <item h="1" x="3117"/>
        <item h="1" x="3118"/>
        <item h="1" x="3119"/>
        <item h="1" x="3120"/>
        <item h="1" x="3121"/>
        <item h="1" x="3122"/>
        <item h="1" x="3123"/>
        <item h="1" x="3124"/>
        <item h="1" x="3125"/>
        <item h="1" x="3126"/>
        <item h="1" x="3127"/>
        <item h="1" x="3128"/>
        <item h="1" x="3129"/>
        <item h="1" x="3130"/>
        <item h="1" x="3131"/>
        <item h="1" x="3132"/>
        <item h="1" x="3133"/>
        <item h="1" x="3134"/>
        <item h="1" x="3135"/>
        <item h="1" x="3136"/>
        <item h="1" x="3137"/>
        <item h="1" x="3138"/>
        <item h="1" x="3139"/>
        <item h="1" x="3140"/>
        <item h="1" x="3141"/>
        <item h="1" x="3142"/>
        <item h="1" x="3143"/>
        <item h="1" x="3144"/>
        <item h="1" x="3145"/>
        <item h="1" x="3146"/>
        <item h="1" x="3147"/>
        <item h="1" x="3148"/>
        <item h="1" x="3149"/>
        <item h="1" x="3150"/>
        <item h="1" x="3151"/>
        <item h="1" x="3152"/>
        <item h="1" x="3153"/>
        <item h="1" x="3154"/>
        <item h="1" x="3155"/>
        <item h="1" x="3156"/>
        <item h="1" x="3157"/>
        <item h="1" x="3158"/>
        <item h="1" x="3159"/>
        <item h="1" x="3160"/>
        <item h="1" x="3161"/>
        <item h="1" x="3162"/>
        <item h="1" x="3163"/>
        <item h="1" x="3164"/>
        <item h="1" x="3165"/>
        <item h="1" x="3166"/>
        <item h="1" x="3167"/>
        <item h="1" x="3168"/>
        <item h="1" x="3169"/>
        <item h="1" x="3170"/>
        <item h="1" x="3171"/>
        <item h="1" x="3172"/>
        <item h="1" x="3173"/>
        <item h="1" x="3174"/>
        <item h="1" x="3175"/>
        <item h="1" x="3176"/>
        <item h="1" x="3177"/>
        <item h="1" x="3178"/>
        <item h="1" x="3179"/>
        <item h="1" x="3180"/>
        <item h="1" x="3181"/>
        <item h="1" x="3182"/>
        <item h="1" x="3183"/>
        <item h="1" x="3184"/>
        <item h="1" x="3185"/>
        <item h="1" x="3186"/>
        <item h="1" x="3187"/>
        <item h="1" x="3188"/>
        <item h="1" x="3189"/>
        <item h="1" x="3190"/>
        <item h="1" x="3191"/>
        <item h="1" x="3192"/>
        <item h="1" x="3193"/>
        <item h="1" x="3194"/>
        <item h="1" x="3195"/>
        <item h="1" x="3196"/>
        <item h="1" x="3197"/>
        <item h="1" x="3198"/>
        <item h="1" x="3199"/>
        <item h="1" x="3200"/>
        <item h="1" x="3201"/>
        <item h="1" x="3202"/>
        <item h="1" x="3203"/>
        <item h="1" x="3204"/>
        <item h="1" x="3205"/>
        <item h="1" x="3206"/>
        <item h="1" x="3207"/>
        <item h="1" x="3208"/>
        <item h="1" x="3209"/>
        <item h="1" x="3210"/>
        <item h="1" x="3211"/>
        <item h="1" x="3212"/>
        <item h="1" x="3213"/>
        <item h="1" x="3214"/>
        <item h="1" x="3215"/>
        <item h="1" x="3216"/>
        <item h="1" x="3217"/>
        <item h="1" x="3218"/>
        <item h="1" x="3219"/>
        <item h="1" x="3220"/>
        <item h="1" x="3221"/>
        <item h="1" x="3222"/>
        <item h="1" x="3223"/>
        <item h="1" x="3224"/>
        <item h="1" x="3225"/>
        <item h="1" x="3226"/>
        <item h="1" x="3227"/>
        <item h="1" x="3228"/>
        <item h="1" x="3229"/>
        <item h="1" x="3230"/>
        <item h="1" x="3231"/>
        <item h="1" x="3232"/>
        <item h="1" x="3233"/>
        <item h="1" x="3234"/>
        <item h="1" x="3235"/>
        <item h="1" x="3236"/>
        <item h="1" x="3237"/>
        <item h="1" x="3238"/>
        <item h="1" x="3239"/>
        <item h="1" x="3240"/>
        <item h="1" x="3241"/>
        <item h="1" x="3242"/>
        <item h="1" x="3243"/>
        <item h="1" x="3244"/>
        <item h="1" x="3245"/>
        <item h="1" x="3246"/>
        <item h="1" x="3247"/>
        <item h="1" x="3248"/>
        <item h="1" x="3249"/>
        <item h="1" x="3250"/>
        <item h="1" x="3251"/>
        <item h="1" x="3252"/>
        <item h="1" x="3253"/>
        <item h="1" x="3254"/>
        <item h="1" x="3255"/>
        <item h="1" x="3256"/>
        <item h="1" x="3257"/>
        <item h="1" x="3258"/>
        <item h="1" x="3259"/>
        <item h="1" x="3260"/>
        <item h="1" x="3261"/>
        <item h="1" x="3262"/>
        <item h="1" x="3263"/>
        <item h="1" x="3264"/>
        <item h="1" x="3265"/>
        <item h="1" x="3266"/>
        <item h="1" x="3267"/>
        <item h="1" x="3268"/>
        <item h="1" x="3269"/>
        <item h="1" x="3270"/>
        <item h="1" x="3271"/>
        <item h="1" x="3272"/>
        <item h="1" x="3273"/>
        <item h="1" x="3274"/>
        <item h="1" x="3275"/>
        <item h="1" x="3276"/>
        <item h="1" x="3277"/>
        <item h="1" x="3278"/>
        <item h="1" x="3279"/>
        <item h="1" x="3280"/>
        <item h="1" x="3281"/>
        <item h="1" x="3282"/>
        <item h="1" x="3283"/>
        <item h="1" x="3284"/>
        <item h="1" x="3285"/>
        <item h="1" x="3286"/>
        <item h="1" x="3287"/>
        <item h="1" x="3288"/>
        <item h="1" x="3289"/>
        <item h="1" x="3290"/>
        <item h="1" x="3291"/>
        <item h="1" x="3292"/>
        <item h="1" x="3293"/>
        <item h="1" x="3294"/>
        <item h="1" x="3295"/>
        <item h="1" x="3296"/>
        <item h="1" x="3297"/>
        <item h="1" x="3298"/>
        <item h="1" x="3299"/>
        <item h="1" x="3300"/>
        <item h="1" x="3301"/>
        <item h="1" x="3302"/>
        <item h="1" x="3303"/>
        <item h="1" x="3304"/>
        <item h="1" x="3305"/>
        <item h="1" x="3306"/>
        <item h="1" x="3307"/>
        <item h="1" x="3308"/>
        <item h="1" x="3309"/>
        <item h="1" x="3310"/>
        <item h="1" x="3311"/>
        <item h="1" x="3312"/>
        <item h="1" x="3313"/>
        <item h="1" x="3314"/>
        <item h="1" x="3315"/>
        <item h="1" x="3316"/>
        <item h="1" x="3317"/>
        <item h="1" x="3318"/>
        <item h="1" x="3319"/>
        <item h="1" x="3320"/>
        <item h="1" x="3321"/>
        <item h="1" x="3322"/>
        <item h="1" x="3323"/>
        <item h="1" x="3324"/>
        <item h="1" x="3325"/>
        <item h="1" x="3326"/>
        <item h="1" x="3327"/>
        <item h="1" x="3328"/>
        <item h="1" x="3329"/>
        <item h="1" x="3330"/>
        <item h="1" x="3331"/>
        <item h="1" x="3332"/>
        <item h="1" x="3333"/>
        <item h="1" x="3334"/>
        <item h="1" x="3335"/>
        <item h="1" x="3336"/>
        <item h="1" x="3337"/>
        <item h="1" x="3338"/>
        <item h="1" x="3339"/>
        <item h="1" x="3340"/>
        <item h="1" x="3341"/>
        <item h="1" x="3342"/>
        <item h="1" x="3343"/>
        <item h="1" x="3344"/>
        <item h="1" x="3345"/>
        <item h="1" x="3346"/>
        <item h="1" x="3347"/>
        <item h="1" x="3348"/>
        <item h="1" x="3349"/>
        <item h="1" x="3350"/>
        <item h="1" x="3351"/>
        <item h="1" x="3352"/>
        <item h="1" x="3353"/>
        <item h="1" x="3354"/>
        <item h="1" x="3355"/>
        <item h="1" x="3356"/>
        <item h="1" x="3357"/>
        <item h="1" x="3358"/>
        <item h="1" x="3359"/>
        <item h="1" x="3360"/>
        <item h="1" x="3361"/>
        <item h="1" x="3362"/>
        <item h="1" x="3363"/>
        <item h="1" x="3364"/>
        <item h="1" x="3365"/>
        <item h="1" x="3366"/>
        <item h="1" x="3367"/>
        <item h="1" x="3368"/>
        <item h="1" x="3369"/>
        <item h="1" x="3370"/>
        <item h="1" x="3371"/>
        <item h="1" x="3372"/>
        <item h="1" x="3373"/>
        <item h="1" x="3374"/>
        <item h="1" x="3375"/>
        <item h="1" x="3376"/>
        <item h="1" x="3377"/>
        <item h="1" x="3378"/>
        <item h="1" x="3379"/>
        <item h="1" x="3380"/>
        <item h="1" x="3381"/>
        <item h="1" x="3382"/>
        <item h="1" x="3383"/>
        <item h="1" x="3384"/>
        <item h="1" x="3385"/>
        <item h="1" x="3386"/>
        <item h="1" x="3387"/>
        <item h="1" x="3388"/>
        <item h="1" x="3389"/>
        <item h="1" x="3390"/>
        <item h="1" x="3391"/>
        <item h="1" x="3392"/>
        <item h="1" x="3393"/>
        <item h="1" x="3394"/>
        <item h="1" x="3395"/>
        <item h="1" x="3396"/>
        <item h="1" x="3397"/>
        <item h="1" x="3398"/>
        <item h="1" x="3399"/>
        <item h="1" x="3400"/>
        <item h="1" x="3401"/>
        <item h="1" x="3402"/>
        <item h="1" x="3403"/>
        <item h="1" x="3404"/>
        <item h="1" x="3405"/>
        <item h="1" x="3406"/>
        <item h="1" x="3407"/>
        <item h="1" x="3408"/>
        <item h="1" x="3409"/>
        <item h="1" x="3410"/>
        <item h="1" x="3411"/>
        <item h="1" x="3412"/>
        <item h="1" x="3413"/>
        <item h="1" x="3414"/>
        <item h="1" x="3415"/>
        <item h="1" x="3416"/>
        <item h="1" x="3417"/>
        <item h="1" x="3418"/>
        <item h="1" x="3419"/>
        <item h="1" x="3420"/>
        <item h="1" x="3421"/>
        <item h="1" x="3422"/>
        <item h="1" x="3423"/>
        <item h="1" x="3424"/>
        <item h="1" x="3425"/>
        <item h="1" x="3426"/>
        <item h="1" x="3427"/>
        <item h="1" x="3428"/>
        <item h="1" x="3429"/>
        <item h="1" x="3430"/>
        <item h="1" x="3431"/>
        <item h="1" x="3432"/>
        <item h="1" x="3433"/>
        <item h="1" x="3434"/>
        <item h="1" x="3435"/>
        <item h="1" x="3436"/>
        <item h="1" x="3437"/>
        <item h="1" x="3438"/>
        <item h="1" x="3439"/>
        <item h="1" x="3440"/>
        <item h="1" x="3441"/>
        <item h="1" x="3442"/>
        <item h="1" x="3443"/>
        <item h="1" x="3444"/>
        <item h="1" x="3445"/>
        <item h="1" x="3446"/>
        <item h="1" x="3447"/>
        <item h="1" x="3448"/>
        <item h="1" x="3449"/>
        <item h="1" x="3450"/>
        <item h="1" x="3451"/>
        <item h="1" x="3452"/>
        <item h="1" x="3453"/>
        <item h="1" x="3454"/>
        <item h="1" x="3455"/>
        <item h="1" x="3456"/>
        <item h="1" x="3457"/>
        <item h="1" x="3458"/>
        <item h="1" x="3459"/>
        <item h="1" x="3460"/>
        <item h="1" x="3461"/>
        <item h="1" x="3462"/>
        <item h="1" x="3463"/>
        <item h="1" x="3464"/>
        <item h="1" x="3465"/>
        <item h="1" x="3466"/>
        <item h="1" x="3467"/>
        <item h="1" x="3468"/>
        <item h="1" x="3469"/>
        <item h="1" x="3470"/>
        <item h="1" x="3471"/>
        <item h="1" x="3472"/>
        <item h="1" x="3473"/>
        <item h="1" x="3474"/>
        <item h="1" x="3475"/>
        <item h="1" x="3476"/>
        <item h="1" x="3477"/>
        <item h="1" x="3478"/>
        <item h="1" x="3479"/>
        <item h="1" x="3480"/>
        <item h="1" x="3481"/>
        <item h="1" x="3482"/>
        <item h="1" x="3483"/>
        <item h="1" x="3484"/>
        <item h="1" x="3485"/>
        <item h="1" x="3486"/>
        <item h="1" x="3487"/>
        <item h="1" x="3488"/>
        <item h="1" x="3489"/>
        <item h="1" x="3490"/>
        <item h="1" x="3491"/>
        <item h="1" x="3492"/>
        <item h="1" x="3493"/>
        <item h="1" x="3494"/>
        <item h="1" x="3495"/>
        <item h="1" x="3496"/>
        <item h="1" x="3497"/>
        <item h="1" x="3498"/>
        <item h="1" x="3499"/>
        <item h="1" x="3500"/>
        <item h="1" x="3501"/>
        <item h="1" x="3502"/>
        <item h="1" x="3503"/>
        <item h="1" x="3504"/>
        <item h="1" x="3505"/>
        <item h="1" x="3506"/>
        <item h="1" x="3507"/>
        <item h="1" x="3508"/>
        <item h="1" x="3509"/>
        <item h="1" x="3510"/>
        <item h="1" x="3511"/>
        <item h="1" x="3512"/>
        <item h="1" x="3513"/>
        <item h="1" x="3514"/>
        <item h="1" x="3515"/>
        <item h="1" x="3516"/>
        <item h="1" x="3517"/>
        <item h="1" x="3518"/>
        <item h="1" x="3519"/>
        <item h="1" x="3520"/>
        <item h="1" x="3521"/>
        <item h="1" x="3522"/>
        <item h="1" x="3523"/>
        <item h="1" x="3524"/>
        <item h="1" x="3525"/>
        <item h="1" x="3526"/>
        <item h="1" x="3527"/>
        <item h="1" x="3528"/>
        <item h="1" x="3529"/>
        <item h="1" x="3530"/>
        <item h="1" x="3531"/>
        <item h="1" x="3532"/>
        <item h="1" x="3533"/>
        <item h="1" x="3534"/>
        <item h="1" x="3535"/>
        <item h="1" x="3536"/>
        <item h="1" x="3537"/>
        <item h="1" x="3538"/>
        <item h="1" x="3539"/>
        <item h="1" x="3540"/>
        <item h="1" x="3541"/>
        <item h="1" x="3542"/>
        <item h="1" x="3543"/>
        <item h="1" x="3544"/>
        <item h="1" x="3545"/>
        <item h="1" x="3546"/>
        <item h="1" x="3547"/>
        <item h="1" x="3548"/>
        <item h="1" x="3549"/>
        <item h="1" x="3550"/>
        <item h="1" x="3551"/>
        <item h="1" x="3552"/>
        <item h="1" x="3553"/>
        <item h="1" x="3554"/>
        <item h="1" x="3555"/>
        <item h="1" x="3556"/>
        <item h="1" x="3557"/>
        <item h="1" x="3558"/>
        <item h="1" x="3559"/>
        <item h="1" x="3560"/>
        <item h="1" x="3561"/>
        <item h="1" x="3562"/>
        <item h="1" x="3563"/>
        <item h="1" x="3564"/>
        <item h="1" x="3565"/>
        <item h="1" x="3566"/>
        <item h="1" x="3567"/>
        <item h="1" x="3568"/>
        <item h="1" x="3569"/>
        <item h="1" x="3570"/>
        <item h="1" x="3571"/>
        <item h="1" x="3572"/>
        <item h="1" x="3573"/>
        <item h="1" x="3574"/>
        <item h="1" x="3575"/>
        <item h="1" x="3576"/>
        <item h="1" x="3577"/>
        <item h="1" x="3578"/>
        <item h="1" x="3579"/>
        <item h="1" x="3580"/>
        <item h="1" x="3581"/>
        <item h="1" x="3582"/>
        <item h="1" x="3583"/>
        <item h="1" x="3584"/>
        <item h="1" x="3585"/>
        <item h="1" x="3586"/>
        <item h="1" x="3587"/>
        <item h="1" x="3588"/>
        <item h="1" x="3589"/>
        <item h="1" x="3590"/>
        <item h="1" x="3591"/>
        <item h="1" x="3592"/>
        <item h="1" x="3593"/>
        <item h="1" x="3594"/>
        <item h="1" x="3595"/>
        <item h="1" x="3596"/>
        <item h="1" x="3597"/>
        <item h="1" x="3598"/>
        <item h="1" x="3599"/>
        <item h="1" x="3600"/>
        <item h="1" x="3601"/>
        <item h="1" x="3602"/>
        <item h="1" x="3603"/>
        <item h="1" x="3604"/>
        <item h="1" x="3605"/>
        <item h="1" x="3606"/>
        <item h="1" x="3607"/>
        <item h="1" x="3608"/>
        <item h="1" x="3609"/>
        <item h="1" x="3610"/>
        <item h="1" x="3611"/>
        <item h="1" x="3612"/>
        <item h="1" x="3613"/>
        <item h="1" x="3614"/>
        <item h="1" x="3615"/>
        <item h="1" x="3616"/>
        <item h="1" x="3617"/>
        <item h="1" x="3618"/>
        <item h="1" x="3619"/>
        <item h="1" x="3620"/>
        <item h="1" x="3621"/>
        <item h="1" x="3622"/>
        <item h="1" x="3623"/>
        <item h="1" x="3624"/>
        <item h="1" x="3625"/>
        <item h="1" x="3626"/>
        <item h="1" x="3627"/>
        <item h="1" x="3628"/>
        <item h="1" x="3629"/>
        <item h="1" x="3630"/>
        <item h="1" x="3631"/>
        <item h="1" x="3632"/>
        <item h="1" x="3633"/>
        <item h="1" x="3634"/>
        <item h="1" x="3635"/>
        <item h="1" x="3636"/>
        <item h="1" x="3637"/>
        <item h="1" x="3638"/>
        <item h="1" x="3639"/>
        <item h="1" x="3640"/>
        <item h="1" x="3641"/>
        <item h="1" x="3642"/>
        <item h="1" x="3643"/>
        <item h="1" x="3644"/>
        <item h="1" x="3645"/>
        <item h="1" x="3646"/>
        <item h="1" x="3647"/>
        <item h="1" x="3648"/>
        <item h="1" x="3649"/>
        <item h="1" x="3650"/>
        <item h="1" x="3651"/>
        <item h="1" x="3652"/>
        <item h="1" x="3653"/>
        <item h="1" x="3654"/>
        <item h="1" x="3655"/>
        <item h="1" x="3656"/>
        <item h="1" x="3657"/>
        <item h="1" x="3658"/>
        <item h="1" x="3659"/>
        <item h="1" x="3660"/>
        <item h="1" x="3661"/>
        <item h="1" x="3662"/>
        <item h="1" x="3663"/>
        <item h="1" x="3664"/>
        <item h="1" x="3665"/>
        <item h="1" x="3666"/>
        <item h="1" x="3667"/>
        <item h="1" x="3668"/>
        <item h="1" x="3669"/>
        <item h="1" x="3670"/>
        <item h="1" x="3671"/>
        <item h="1" x="3672"/>
        <item h="1" x="3673"/>
        <item h="1" x="3674"/>
        <item h="1" x="3675"/>
        <item h="1" x="3676"/>
        <item h="1" x="3677"/>
        <item h="1" x="3678"/>
        <item h="1" x="3679"/>
        <item h="1" x="3680"/>
        <item h="1" x="3681"/>
        <item h="1" x="3682"/>
        <item h="1" x="3683"/>
        <item h="1" x="3684"/>
        <item h="1" x="3685"/>
        <item h="1" x="3686"/>
        <item h="1" x="3687"/>
        <item h="1" x="3688"/>
        <item h="1" x="3689"/>
        <item h="1" x="3690"/>
        <item h="1" x="3691"/>
        <item h="1" x="3692"/>
        <item h="1" x="3693"/>
        <item h="1" x="3694"/>
        <item h="1" x="3695"/>
        <item h="1" x="3696"/>
        <item h="1" x="3697"/>
        <item h="1" x="3698"/>
        <item h="1" x="3699"/>
        <item h="1" x="3700"/>
        <item h="1" x="3701"/>
        <item h="1" x="3702"/>
        <item h="1" x="3703"/>
        <item h="1" x="3704"/>
        <item h="1" x="3705"/>
        <item h="1" x="3706"/>
        <item h="1" x="3707"/>
        <item h="1" x="3708"/>
        <item h="1" x="3709"/>
        <item h="1" x="3710"/>
        <item h="1" x="3711"/>
        <item h="1" x="3712"/>
        <item h="1" x="3713"/>
        <item h="1" x="3714"/>
        <item h="1" x="3715"/>
        <item h="1" x="3716"/>
        <item h="1" x="3717"/>
        <item h="1" x="3718"/>
        <item h="1" x="3719"/>
        <item h="1" x="3720"/>
        <item h="1" x="3721"/>
        <item h="1" x="3722"/>
        <item h="1" x="3723"/>
        <item h="1" x="3724"/>
        <item h="1" x="3725"/>
        <item h="1" x="3726"/>
        <item h="1" x="3727"/>
        <item h="1" x="3728"/>
        <item h="1" x="3729"/>
        <item h="1" x="3730"/>
        <item h="1" x="3731"/>
        <item h="1" x="3732"/>
        <item h="1" x="3733"/>
        <item h="1" x="3734"/>
        <item h="1" x="3735"/>
        <item h="1" x="3736"/>
        <item h="1" x="3737"/>
        <item h="1" x="3738"/>
        <item h="1" x="3739"/>
        <item h="1" x="3740"/>
        <item h="1" x="3741"/>
        <item h="1" x="3742"/>
        <item h="1" x="3743"/>
        <item h="1" x="3744"/>
        <item h="1" x="3745"/>
        <item h="1" x="3746"/>
        <item h="1" x="3747"/>
        <item h="1" x="3748"/>
        <item h="1" x="3749"/>
        <item h="1" x="3750"/>
        <item h="1" x="3751"/>
        <item h="1" x="3752"/>
        <item h="1" x="3753"/>
        <item h="1" x="3754"/>
        <item h="1" x="3755"/>
        <item h="1" x="3756"/>
        <item h="1" x="3757"/>
        <item h="1" x="3758"/>
        <item h="1" x="3759"/>
        <item h="1" x="3760"/>
        <item h="1" x="3761"/>
        <item h="1" x="3762"/>
        <item h="1" x="3763"/>
        <item h="1" x="3764"/>
        <item h="1" x="3765"/>
        <item h="1" x="3766"/>
        <item h="1" x="3767"/>
        <item h="1" x="3768"/>
        <item h="1" x="3769"/>
        <item h="1" x="3770"/>
        <item h="1" x="3771"/>
        <item h="1" x="3772"/>
        <item h="1" x="3773"/>
        <item h="1" x="3774"/>
        <item h="1" x="3775"/>
        <item h="1" x="3776"/>
        <item h="1" x="3777"/>
        <item h="1" x="3778"/>
        <item h="1" x="3779"/>
        <item h="1" x="3780"/>
        <item h="1" x="3781"/>
        <item h="1" x="3782"/>
        <item h="1" x="3783"/>
        <item h="1" x="3784"/>
        <item h="1" x="3785"/>
        <item h="1" x="3786"/>
        <item h="1" x="3787"/>
        <item h="1" x="3788"/>
        <item h="1" x="3789"/>
        <item h="1" x="3790"/>
        <item h="1" x="3791"/>
        <item h="1" x="3792"/>
        <item h="1" x="3793"/>
        <item h="1" x="3794"/>
        <item h="1" x="3795"/>
        <item h="1" x="3796"/>
        <item h="1" x="3797"/>
        <item h="1" x="3798"/>
        <item h="1" x="3799"/>
        <item h="1" x="3800"/>
        <item h="1" x="3801"/>
        <item h="1" x="3802"/>
        <item h="1" x="3803"/>
        <item h="1" x="3804"/>
        <item h="1" x="3805"/>
        <item h="1" x="3806"/>
        <item h="1" x="3807"/>
        <item h="1" x="3808"/>
        <item h="1" x="3809"/>
        <item h="1" x="3810"/>
        <item h="1" x="3811"/>
        <item h="1" x="3812"/>
        <item h="1" x="3813"/>
        <item h="1" x="3814"/>
        <item h="1" x="3815"/>
        <item h="1" x="3816"/>
        <item h="1" x="3817"/>
        <item h="1" x="3818"/>
        <item h="1" x="3819"/>
        <item h="1" x="3820"/>
        <item h="1" x="3821"/>
        <item h="1" x="3822"/>
        <item h="1" x="3823"/>
        <item h="1" x="3824"/>
        <item h="1" x="3825"/>
        <item h="1" x="3826"/>
        <item h="1" x="3827"/>
        <item h="1" x="3828"/>
        <item h="1" x="3829"/>
        <item h="1" x="3830"/>
        <item h="1" x="3831"/>
        <item h="1" x="3832"/>
        <item h="1" x="3833"/>
        <item h="1" x="3834"/>
        <item h="1" x="3835"/>
        <item h="1" x="3836"/>
        <item h="1" x="3837"/>
        <item h="1" x="3838"/>
        <item h="1" x="3839"/>
        <item h="1" x="3840"/>
        <item h="1" x="3841"/>
        <item h="1" x="3842"/>
        <item h="1" x="3843"/>
        <item h="1" x="3844"/>
        <item h="1" x="3845"/>
        <item h="1" x="3846"/>
        <item h="1" x="3847"/>
        <item h="1" x="3848"/>
        <item h="1" x="3849"/>
        <item h="1" x="3850"/>
        <item h="1" x="3851"/>
        <item h="1" x="3852"/>
        <item h="1" x="3853"/>
        <item h="1" x="3854"/>
        <item h="1" x="3855"/>
        <item h="1" x="3856"/>
        <item h="1" x="3857"/>
        <item h="1" x="3858"/>
        <item h="1" x="3859"/>
        <item h="1" x="3860"/>
        <item h="1" x="3861"/>
        <item h="1" x="3862"/>
        <item h="1" x="3863"/>
        <item h="1" x="3864"/>
        <item h="1" x="3865"/>
        <item h="1" x="3866"/>
        <item h="1" x="3867"/>
        <item h="1" x="3868"/>
        <item h="1" x="3869"/>
        <item h="1" x="3870"/>
        <item h="1" x="3871"/>
        <item h="1" x="3872"/>
        <item h="1" x="3873"/>
        <item h="1" x="3874"/>
        <item h="1" x="3875"/>
        <item h="1" x="3876"/>
        <item h="1" x="3877"/>
        <item h="1" x="3878"/>
        <item h="1" x="3879"/>
        <item h="1" x="3880"/>
        <item h="1" x="3881"/>
        <item h="1" x="3882"/>
        <item h="1" x="3883"/>
        <item h="1" x="3884"/>
        <item h="1" x="3885"/>
        <item h="1" x="3886"/>
        <item h="1" x="3887"/>
        <item h="1" x="3888"/>
        <item h="1" x="3889"/>
        <item h="1" x="3890"/>
        <item h="1" x="3891"/>
        <item h="1" x="3892"/>
        <item h="1" x="3893"/>
        <item h="1" x="3894"/>
        <item h="1" x="3895"/>
        <item h="1" x="3896"/>
        <item h="1" x="3897"/>
        <item h="1" x="3898"/>
        <item h="1" x="3899"/>
        <item h="1" x="3900"/>
        <item h="1" x="3901"/>
        <item h="1" x="3902"/>
        <item h="1" x="3903"/>
        <item h="1" x="3904"/>
        <item h="1" x="3905"/>
        <item h="1" x="3906"/>
        <item h="1" x="3907"/>
        <item h="1" x="3908"/>
        <item h="1" x="3909"/>
        <item h="1" x="3910"/>
        <item h="1" x="3911"/>
        <item h="1" x="3912"/>
        <item h="1" x="3913"/>
        <item h="1" x="3914"/>
        <item h="1" x="3915"/>
        <item h="1" x="3916"/>
        <item h="1" x="3917"/>
        <item h="1" x="3918"/>
        <item h="1" x="3919"/>
        <item h="1" x="3920"/>
        <item h="1" x="3921"/>
        <item h="1" x="3922"/>
        <item h="1" x="3923"/>
        <item h="1" x="3924"/>
        <item h="1" x="3925"/>
        <item h="1" x="3926"/>
        <item h="1" x="3927"/>
        <item h="1" x="3928"/>
        <item h="1" x="3929"/>
        <item h="1" x="3930"/>
        <item h="1" x="3931"/>
        <item h="1" x="3932"/>
        <item h="1" x="3933"/>
        <item h="1" x="3934"/>
        <item h="1" x="3935"/>
        <item h="1" x="3936"/>
        <item h="1" x="3937"/>
        <item h="1" x="3938"/>
        <item h="1" x="3939"/>
        <item h="1" x="3940"/>
        <item h="1" x="3941"/>
        <item h="1" x="3942"/>
        <item h="1" x="3943"/>
        <item h="1" x="3944"/>
        <item h="1" x="3945"/>
        <item h="1" x="3946"/>
        <item h="1" x="3947"/>
        <item h="1" x="3948"/>
        <item h="1" x="3949"/>
        <item h="1" x="3950"/>
        <item h="1" x="3951"/>
        <item h="1" x="3952"/>
        <item h="1" x="3953"/>
        <item h="1" x="3954"/>
        <item h="1" x="3955"/>
        <item h="1" x="3956"/>
        <item h="1" x="3957"/>
        <item h="1" x="3958"/>
        <item h="1" x="3959"/>
        <item h="1" x="3960"/>
        <item h="1" x="3961"/>
        <item h="1" x="3962"/>
        <item h="1" x="3963"/>
        <item h="1" x="3964"/>
        <item h="1" x="3965"/>
        <item h="1" x="3966"/>
        <item h="1" x="3967"/>
        <item h="1" x="3968"/>
        <item h="1" x="3969"/>
        <item h="1" x="3970"/>
        <item h="1" x="3971"/>
        <item h="1" x="3972"/>
        <item h="1" x="3973"/>
        <item h="1" x="3974"/>
        <item h="1" x="3975"/>
        <item h="1" x="3976"/>
        <item h="1" x="3977"/>
        <item h="1" x="3978"/>
        <item h="1" x="3979"/>
        <item h="1" x="3980"/>
        <item h="1" x="3981"/>
        <item h="1" x="3982"/>
        <item h="1" x="3983"/>
        <item h="1" x="3984"/>
        <item h="1" x="3985"/>
        <item h="1" x="3986"/>
        <item h="1" x="3987"/>
        <item h="1" x="3988"/>
        <item h="1" x="3989"/>
        <item h="1" x="3990"/>
        <item h="1" x="3991"/>
        <item h="1" x="3992"/>
        <item h="1" x="3993"/>
        <item h="1" x="3994"/>
        <item h="1" x="3995"/>
        <item h="1" x="3996"/>
        <item h="1" x="3997"/>
        <item h="1" x="3998"/>
        <item h="1" x="3999"/>
        <item h="1" x="4000"/>
        <item h="1" x="4001"/>
        <item h="1" x="4002"/>
        <item h="1" x="4003"/>
        <item h="1" x="4004"/>
        <item h="1" x="4005"/>
        <item h="1" x="4006"/>
        <item h="1" x="4007"/>
        <item h="1" x="4008"/>
        <item h="1" x="4009"/>
        <item h="1" x="4010"/>
        <item h="1" x="4011"/>
        <item h="1" x="4012"/>
        <item h="1" x="4013"/>
        <item h="1" x="4014"/>
        <item h="1" x="4015"/>
        <item h="1" x="4016"/>
        <item h="1" x="4017"/>
        <item h="1" x="4018"/>
        <item h="1" x="4019"/>
        <item h="1" x="4020"/>
        <item h="1" x="4021"/>
        <item h="1" x="4022"/>
        <item h="1" x="4023"/>
        <item h="1" x="4024"/>
        <item h="1" x="4025"/>
        <item h="1" x="4026"/>
        <item h="1" x="4027"/>
        <item h="1" x="4028"/>
        <item h="1" x="4029"/>
        <item h="1" x="4030"/>
        <item h="1" x="4031"/>
        <item h="1" x="4032"/>
        <item h="1" x="4033"/>
        <item h="1" x="4034"/>
        <item h="1" x="4035"/>
        <item h="1" x="4036"/>
        <item h="1" x="4037"/>
        <item h="1" x="4038"/>
        <item h="1" x="4039"/>
        <item h="1" x="4040"/>
        <item h="1" x="4041"/>
        <item h="1" x="4042"/>
        <item h="1" x="4043"/>
        <item h="1" x="4044"/>
        <item h="1" x="4045"/>
        <item h="1" x="4046"/>
        <item h="1" x="4047"/>
        <item h="1" x="4048"/>
        <item h="1" x="4049"/>
        <item h="1" x="4050"/>
        <item h="1" x="4051"/>
        <item h="1" x="4052"/>
        <item h="1" x="4053"/>
        <item h="1" x="4054"/>
        <item h="1" x="4055"/>
        <item h="1" x="4056"/>
        <item h="1" x="4057"/>
        <item h="1" x="4058"/>
        <item h="1" x="4059"/>
        <item h="1" x="4060"/>
        <item h="1" x="4061"/>
        <item h="1" x="4062"/>
        <item h="1" x="4063"/>
        <item h="1" x="4064"/>
        <item h="1" x="4065"/>
        <item h="1" x="4066"/>
        <item h="1" x="4067"/>
        <item h="1" x="4068"/>
        <item h="1" x="4069"/>
        <item h="1" x="4070"/>
        <item h="1" x="4071"/>
        <item h="1" x="4072"/>
        <item h="1" x="4073"/>
        <item h="1" x="4074"/>
        <item h="1" x="4075"/>
        <item h="1" x="4076"/>
        <item h="1" x="4077"/>
        <item h="1" x="4078"/>
        <item h="1" x="4079"/>
        <item h="1" x="4080"/>
        <item h="1" x="4081"/>
        <item h="1" x="4082"/>
        <item h="1" x="4083"/>
        <item h="1" x="4084"/>
        <item h="1" x="4085"/>
        <item h="1" x="4086"/>
        <item h="1" x="4087"/>
        <item h="1" x="4088"/>
        <item h="1" x="4089"/>
        <item h="1" x="4090"/>
        <item h="1" x="4091"/>
        <item h="1" x="4092"/>
        <item h="1" x="4093"/>
        <item h="1" x="4094"/>
        <item h="1" x="4095"/>
        <item h="1" x="4096"/>
        <item h="1" x="4097"/>
        <item h="1" x="4098"/>
        <item h="1" x="4099"/>
        <item h="1" x="4100"/>
        <item h="1" x="4101"/>
        <item h="1" x="4102"/>
        <item h="1" x="4103"/>
        <item h="1" x="4104"/>
        <item h="1" x="4105"/>
        <item h="1" x="4106"/>
        <item h="1" x="4107"/>
        <item h="1" x="4108"/>
        <item h="1" x="4109"/>
        <item h="1" x="4110"/>
        <item h="1" x="4111"/>
        <item h="1" x="4112"/>
        <item h="1" x="4113"/>
        <item h="1" x="4114"/>
        <item h="1" x="4115"/>
        <item h="1" x="4116"/>
        <item h="1" x="4117"/>
        <item h="1" x="4118"/>
        <item h="1" x="4119"/>
        <item h="1" x="4120"/>
        <item h="1" x="4121"/>
        <item h="1" x="4122"/>
        <item h="1" x="4123"/>
        <item h="1" x="4124"/>
        <item h="1" x="4125"/>
        <item h="1" x="4126"/>
        <item h="1" x="4127"/>
        <item h="1" x="4128"/>
        <item h="1" x="4129"/>
        <item h="1" x="4130"/>
        <item h="1" x="4131"/>
        <item h="1" x="4132"/>
        <item h="1" x="4133"/>
        <item h="1" x="4134"/>
        <item h="1" x="4135"/>
        <item h="1" x="4136"/>
        <item h="1" x="4137"/>
        <item h="1" x="4138"/>
        <item h="1" x="4139"/>
        <item h="1" x="4140"/>
        <item h="1" x="4141"/>
        <item h="1" x="4142"/>
        <item h="1" x="4143"/>
        <item h="1" x="4144"/>
        <item h="1" x="4145"/>
        <item h="1" x="4146"/>
        <item h="1" x="4147"/>
        <item h="1" x="4148"/>
        <item h="1" x="4149"/>
        <item h="1" x="4150"/>
        <item h="1" x="4151"/>
        <item h="1" x="4152"/>
        <item h="1" x="4153"/>
        <item h="1" x="4154"/>
        <item h="1" x="4155"/>
        <item h="1" x="4156"/>
        <item h="1" x="4157"/>
        <item h="1" x="4158"/>
        <item h="1" x="4159"/>
        <item h="1" x="4160"/>
        <item h="1" x="4161"/>
        <item h="1" x="4162"/>
        <item h="1" x="4163"/>
        <item h="1" x="4164"/>
        <item h="1" x="4165"/>
        <item h="1" x="4166"/>
        <item h="1" x="4167"/>
        <item h="1" x="4168"/>
        <item h="1" x="4169"/>
        <item h="1" x="4170"/>
        <item h="1" x="4171"/>
        <item h="1" x="4172"/>
        <item h="1" x="4173"/>
        <item h="1" x="4174"/>
        <item h="1" x="4175"/>
        <item h="1" x="4176"/>
        <item h="1" x="4177"/>
        <item h="1" x="4178"/>
        <item h="1" x="4179"/>
        <item h="1" x="4180"/>
        <item h="1" x="4181"/>
        <item h="1" x="4182"/>
        <item h="1" x="4183"/>
        <item h="1" x="4184"/>
        <item h="1" x="4185"/>
        <item h="1" x="4186"/>
        <item h="1" x="4187"/>
        <item h="1" x="4188"/>
        <item h="1" x="4189"/>
        <item h="1" x="4190"/>
        <item h="1" x="4191"/>
        <item h="1" x="4192"/>
        <item h="1" x="4193"/>
        <item h="1" x="4194"/>
        <item h="1" x="4195"/>
        <item h="1" x="4196"/>
        <item h="1" x="4197"/>
        <item h="1" x="4198"/>
        <item h="1" x="4199"/>
        <item h="1" x="4200"/>
        <item h="1" x="4201"/>
        <item h="1" x="4202"/>
        <item h="1" x="4203"/>
        <item h="1" x="4204"/>
        <item h="1" x="4205"/>
        <item h="1" x="4206"/>
        <item h="1" x="4207"/>
        <item h="1" x="4208"/>
        <item h="1" x="4209"/>
        <item h="1" x="4210"/>
        <item h="1" x="4211"/>
        <item h="1" x="4212"/>
        <item h="1" x="4213"/>
        <item h="1" x="4214"/>
        <item h="1" x="4215"/>
        <item h="1" x="4216"/>
        <item h="1" x="4217"/>
        <item h="1" x="4218"/>
        <item h="1" x="4219"/>
        <item h="1" x="4220"/>
        <item h="1" x="4221"/>
        <item h="1" x="4222"/>
        <item h="1" x="4223"/>
        <item h="1" x="4224"/>
        <item h="1" x="4225"/>
        <item h="1" x="4226"/>
        <item h="1" x="4227"/>
        <item h="1" x="4228"/>
        <item h="1" x="4229"/>
        <item h="1" x="4230"/>
        <item h="1" x="4231"/>
        <item h="1" x="4232"/>
        <item h="1" x="4233"/>
        <item h="1" x="4234"/>
        <item h="1" x="4235"/>
        <item h="1" x="4236"/>
        <item h="1" x="4237"/>
        <item h="1" x="4238"/>
        <item h="1" x="4239"/>
        <item h="1" x="4240"/>
        <item h="1" x="4241"/>
        <item h="1" x="4242"/>
        <item h="1" x="4243"/>
        <item h="1" x="4244"/>
        <item h="1" x="4245"/>
        <item h="1" x="4246"/>
        <item h="1" x="4247"/>
        <item h="1" x="4248"/>
        <item h="1" x="4249"/>
        <item h="1" x="4250"/>
        <item h="1" x="4251"/>
        <item h="1" x="4252"/>
        <item h="1" x="4253"/>
        <item h="1" x="4254"/>
        <item h="1" x="4255"/>
        <item h="1" x="4256"/>
        <item h="1" x="4257"/>
        <item h="1" x="4258"/>
        <item h="1" x="4259"/>
        <item h="1" x="4260"/>
        <item h="1" x="4261"/>
        <item h="1" x="4262"/>
        <item h="1" x="4263"/>
        <item h="1" x="4264"/>
        <item h="1" x="4265"/>
        <item h="1" x="4266"/>
        <item h="1" x="4267"/>
        <item h="1" x="4268"/>
        <item h="1" x="4269"/>
        <item h="1" x="4270"/>
        <item h="1" x="4271"/>
        <item h="1" x="4272"/>
        <item h="1" x="4273"/>
        <item h="1" x="4274"/>
        <item h="1" x="4275"/>
        <item h="1" x="4276"/>
        <item h="1" x="4277"/>
        <item h="1" x="4278"/>
        <item h="1" x="4279"/>
        <item h="1" x="4280"/>
        <item h="1" x="4281"/>
        <item h="1" x="4282"/>
        <item h="1" x="4283"/>
        <item h="1" x="4284"/>
        <item h="1" x="4285"/>
        <item h="1" x="4286"/>
        <item h="1" x="4287"/>
        <item h="1" x="4288"/>
        <item h="1" x="4289"/>
        <item h="1" x="4290"/>
        <item h="1" x="4291"/>
        <item h="1" x="4292"/>
        <item h="1" x="4293"/>
        <item h="1" x="4294"/>
        <item h="1" x="4295"/>
        <item h="1" x="4296"/>
        <item h="1" x="4297"/>
        <item h="1" x="4298"/>
        <item h="1" x="4299"/>
        <item h="1" x="4300"/>
        <item h="1" x="4301"/>
        <item h="1" x="4302"/>
        <item h="1" x="4303"/>
        <item h="1" x="4304"/>
        <item h="1" x="4305"/>
        <item h="1" x="4306"/>
        <item h="1" x="4307"/>
        <item h="1" x="4308"/>
        <item h="1" x="4309"/>
        <item h="1" x="4310"/>
        <item h="1" x="4311"/>
        <item h="1" x="4312"/>
        <item h="1" x="4313"/>
        <item h="1" x="4314"/>
        <item h="1" x="4315"/>
        <item h="1" x="4316"/>
        <item h="1" x="4317"/>
        <item h="1" x="4318"/>
        <item h="1" x="4319"/>
        <item h="1" x="4320"/>
        <item h="1" x="4321"/>
        <item h="1" x="4322"/>
        <item h="1" x="4323"/>
        <item h="1" x="4324"/>
        <item h="1" x="4325"/>
        <item h="1" x="4326"/>
        <item h="1" x="4327"/>
        <item h="1" x="4328"/>
        <item h="1" x="4329"/>
        <item h="1" x="4330"/>
        <item h="1" x="4331"/>
        <item h="1" x="4332"/>
        <item h="1" x="4333"/>
        <item h="1" x="4334"/>
        <item h="1" x="4335"/>
        <item h="1" x="4336"/>
        <item h="1" x="4337"/>
        <item h="1" x="4338"/>
        <item h="1" x="4339"/>
        <item h="1" x="4340"/>
        <item h="1" x="4341"/>
        <item h="1" x="4342"/>
        <item h="1" x="4343"/>
        <item h="1" x="4344"/>
        <item h="1" x="4345"/>
        <item h="1" x="4346"/>
        <item h="1" x="4347"/>
        <item h="1" x="4348"/>
        <item h="1" x="4349"/>
        <item h="1" x="4350"/>
        <item h="1" x="4351"/>
        <item h="1" x="4352"/>
        <item h="1" x="4353"/>
        <item h="1" x="4354"/>
        <item h="1" x="4355"/>
        <item h="1" x="4356"/>
        <item h="1" x="4357"/>
        <item h="1" x="4358"/>
        <item h="1" x="4359"/>
        <item h="1" x="4360"/>
        <item h="1" x="4361"/>
        <item h="1" x="4362"/>
        <item h="1" x="4363"/>
        <item h="1" x="4364"/>
        <item h="1" x="4365"/>
        <item h="1" x="4366"/>
        <item h="1" x="4367"/>
        <item h="1" x="4368"/>
        <item h="1" x="4369"/>
        <item h="1" x="4370"/>
        <item h="1" x="4371"/>
        <item h="1" x="4372"/>
        <item h="1" x="4373"/>
        <item h="1" x="4374"/>
        <item h="1" x="4375"/>
        <item h="1" x="4376"/>
        <item h="1" x="4377"/>
        <item h="1" x="4378"/>
        <item h="1" x="4379"/>
        <item h="1" x="4380"/>
        <item h="1" x="4381"/>
        <item h="1" x="4382"/>
        <item h="1" x="4383"/>
        <item h="1" x="4384"/>
        <item h="1" x="4385"/>
        <item h="1" x="4386"/>
        <item h="1" x="4387"/>
        <item h="1" x="4388"/>
        <item h="1" x="4389"/>
        <item h="1" x="4390"/>
        <item h="1" x="4391"/>
        <item h="1" x="4392"/>
        <item h="1" x="4393"/>
        <item h="1" x="4394"/>
        <item h="1" x="4395"/>
        <item h="1" x="4396"/>
        <item h="1" x="4397"/>
        <item h="1" x="4398"/>
        <item h="1" x="4399"/>
        <item h="1" x="4400"/>
        <item h="1" x="4401"/>
        <item h="1" x="4402"/>
        <item h="1" x="4403"/>
        <item h="1" x="4404"/>
        <item h="1" x="4405"/>
        <item h="1" x="4406"/>
        <item h="1" x="4407"/>
        <item h="1" x="4408"/>
        <item h="1" x="4409"/>
        <item h="1" x="4410"/>
        <item h="1" x="4411"/>
        <item h="1" x="4412"/>
        <item h="1" x="4413"/>
        <item h="1" x="4414"/>
        <item h="1" x="4415"/>
        <item h="1" x="4416"/>
        <item h="1" x="4417"/>
        <item h="1" x="4418"/>
        <item h="1" x="4419"/>
        <item h="1" x="4420"/>
        <item h="1" x="4421"/>
        <item h="1" x="4422"/>
        <item h="1" x="4423"/>
        <item h="1" x="4424"/>
        <item h="1" x="4425"/>
        <item h="1" x="4426"/>
        <item h="1" x="4427"/>
        <item h="1" x="4428"/>
        <item h="1" x="4429"/>
        <item h="1" x="4430"/>
        <item h="1" x="4431"/>
        <item h="1" x="4432"/>
        <item h="1" x="4433"/>
        <item h="1" x="4434"/>
        <item h="1" x="4435"/>
        <item h="1" x="4436"/>
        <item h="1" x="4437"/>
        <item h="1" x="4438"/>
        <item h="1" x="4439"/>
        <item h="1" x="4440"/>
        <item h="1" x="4441"/>
        <item h="1" x="4442"/>
        <item h="1" x="4443"/>
        <item h="1" x="4444"/>
        <item h="1" x="4445"/>
        <item h="1" x="4446"/>
        <item h="1" x="4447"/>
        <item h="1" x="4448"/>
        <item h="1" x="4449"/>
        <item h="1" x="4450"/>
        <item h="1" x="4451"/>
        <item h="1" x="4452"/>
        <item h="1" x="4453"/>
        <item h="1" x="4454"/>
        <item h="1" x="4455"/>
        <item h="1" x="4456"/>
        <item h="1" x="4457"/>
        <item h="1" x="4458"/>
        <item h="1" x="4459"/>
        <item h="1" x="4460"/>
        <item h="1" x="4461"/>
        <item h="1" x="4462"/>
        <item h="1" x="4463"/>
        <item h="1" x="4464"/>
        <item h="1" x="4465"/>
        <item h="1" x="4466"/>
        <item h="1" x="4467"/>
        <item h="1" x="4468"/>
        <item h="1" x="4469"/>
        <item h="1" x="4470"/>
        <item h="1" x="4471"/>
        <item h="1" x="4472"/>
        <item h="1" x="4473"/>
        <item h="1" x="4474"/>
        <item h="1" x="4475"/>
        <item h="1" x="4476"/>
        <item h="1" x="4477"/>
        <item h="1" x="4478"/>
        <item h="1" x="4479"/>
        <item h="1" x="4480"/>
        <item h="1" x="4481"/>
        <item h="1" x="4482"/>
        <item h="1" x="4483"/>
        <item h="1" x="4484"/>
        <item h="1" x="4485"/>
        <item h="1" x="4486"/>
        <item h="1" x="4487"/>
        <item h="1" x="4488"/>
        <item h="1" x="4489"/>
        <item h="1" x="4490"/>
        <item h="1" x="4491"/>
        <item h="1" x="4492"/>
        <item h="1" x="4493"/>
        <item h="1" x="4494"/>
        <item h="1" x="4495"/>
        <item h="1" x="4496"/>
        <item h="1" x="4497"/>
        <item h="1" x="4498"/>
        <item h="1" x="4499"/>
        <item h="1" x="4500"/>
        <item h="1" x="4501"/>
        <item h="1" x="4502"/>
        <item h="1" x="4503"/>
        <item h="1" x="4504"/>
        <item h="1" x="4505"/>
        <item h="1" x="4506"/>
        <item h="1" x="4507"/>
        <item h="1" x="4508"/>
        <item h="1" x="4509"/>
        <item h="1" x="4510"/>
        <item h="1" x="4511"/>
        <item h="1" x="4512"/>
        <item h="1" x="4513"/>
        <item h="1" x="4514"/>
        <item h="1" x="4515"/>
        <item h="1" x="4516"/>
        <item h="1" x="4517"/>
        <item h="1" x="4518"/>
        <item h="1" x="4519"/>
        <item h="1" x="4520"/>
        <item h="1" x="4521"/>
        <item h="1" x="4522"/>
        <item h="1" x="4523"/>
        <item h="1" x="4524"/>
        <item h="1" x="4525"/>
        <item h="1" x="4526"/>
        <item h="1" x="4527"/>
        <item h="1" x="4528"/>
        <item h="1" x="4529"/>
        <item h="1" x="4530"/>
        <item h="1" x="4531"/>
        <item h="1" x="4532"/>
        <item h="1" x="4533"/>
        <item h="1" x="4534"/>
        <item h="1" x="4535"/>
        <item h="1" x="4536"/>
        <item h="1" x="4537"/>
        <item h="1" x="4538"/>
        <item h="1" x="4539"/>
        <item h="1" x="4540"/>
        <item h="1" x="4541"/>
        <item h="1" x="4542"/>
        <item h="1" x="4543"/>
        <item h="1" x="4544"/>
        <item h="1" x="4545"/>
        <item h="1" x="4546"/>
        <item h="1" x="4547"/>
        <item h="1" x="4548"/>
        <item h="1" x="4549"/>
        <item h="1" x="4550"/>
        <item h="1" x="4551"/>
        <item h="1" x="4552"/>
        <item h="1" x="4553"/>
        <item h="1" x="4554"/>
        <item h="1" x="4555"/>
        <item h="1" x="4556"/>
        <item h="1" x="4557"/>
        <item h="1" x="4558"/>
        <item h="1" x="4559"/>
        <item h="1" x="4560"/>
        <item h="1" x="4561"/>
        <item h="1" x="4562"/>
        <item h="1" x="4563"/>
        <item h="1" x="4564"/>
        <item h="1" x="4565"/>
        <item h="1" x="4566"/>
        <item h="1" x="4567"/>
        <item h="1" x="4568"/>
        <item h="1" x="4569"/>
        <item h="1" x="4570"/>
        <item h="1" x="4571"/>
        <item h="1" x="4572"/>
        <item h="1" x="4573"/>
        <item h="1" x="4574"/>
        <item h="1" x="4575"/>
        <item h="1" x="4576"/>
        <item h="1" x="4577"/>
        <item h="1" x="4578"/>
        <item h="1" x="4579"/>
        <item h="1" x="4580"/>
        <item h="1" x="4581"/>
        <item h="1" x="4582"/>
        <item h="1" x="4583"/>
        <item h="1" x="4584"/>
        <item h="1" x="4585"/>
        <item h="1" x="4586"/>
        <item h="1" x="4587"/>
        <item h="1" x="4588"/>
        <item h="1" x="4589"/>
        <item h="1" x="4590"/>
        <item h="1" x="4591"/>
        <item h="1" x="4592"/>
        <item h="1" x="4593"/>
        <item h="1" x="4594"/>
        <item h="1" x="4595"/>
        <item h="1" x="4596"/>
        <item h="1" x="4597"/>
        <item h="1" x="4598"/>
        <item h="1" x="4599"/>
        <item h="1" x="4600"/>
        <item h="1" x="4601"/>
        <item h="1" x="4602"/>
        <item h="1" x="4603"/>
        <item h="1" x="4604"/>
        <item h="1" x="4605"/>
        <item h="1" x="4606"/>
        <item h="1" x="4607"/>
        <item h="1" x="4608"/>
        <item h="1" x="4609"/>
        <item h="1" x="4610"/>
        <item h="1" x="4611"/>
        <item h="1" x="4612"/>
        <item h="1" x="4613"/>
        <item h="1" x="4614"/>
        <item h="1" x="4615"/>
        <item h="1" x="4616"/>
        <item h="1" x="4617"/>
        <item h="1" x="4618"/>
        <item h="1" x="4619"/>
        <item h="1" x="4620"/>
        <item h="1" x="4621"/>
        <item h="1" x="4622"/>
        <item h="1" x="4623"/>
        <item h="1" x="4624"/>
        <item h="1" x="4625"/>
        <item h="1" x="4626"/>
        <item h="1" x="4627"/>
        <item h="1" x="4628"/>
        <item h="1" x="4629"/>
        <item h="1" x="4630"/>
        <item h="1" x="4631"/>
        <item h="1" x="4632"/>
        <item h="1" x="4633"/>
        <item h="1" x="4634"/>
        <item h="1" x="4635"/>
        <item h="1" x="4636"/>
        <item h="1" x="4637"/>
        <item h="1" x="4638"/>
        <item h="1" x="4639"/>
        <item h="1" x="4640"/>
        <item h="1" x="4641"/>
        <item h="1" x="4642"/>
        <item h="1" x="4643"/>
        <item h="1" x="4644"/>
        <item h="1" x="4645"/>
        <item h="1" x="4646"/>
        <item h="1" x="4647"/>
        <item h="1" x="4648"/>
        <item h="1" x="4649"/>
        <item h="1" x="4650"/>
        <item h="1" x="4651"/>
        <item h="1" x="4652"/>
        <item h="1" x="4653"/>
        <item h="1" x="4654"/>
        <item h="1" x="4655"/>
        <item h="1" x="4656"/>
        <item h="1" x="4657"/>
        <item h="1" x="4658"/>
        <item h="1" x="4659"/>
        <item h="1" x="4660"/>
        <item h="1" x="4661"/>
        <item h="1" x="4662"/>
        <item h="1" x="4663"/>
        <item h="1" x="4664"/>
        <item h="1" x="4665"/>
        <item h="1" x="4666"/>
        <item h="1" x="4667"/>
        <item h="1" x="4668"/>
        <item h="1" x="4669"/>
        <item h="1" x="4670"/>
        <item h="1" x="4671"/>
        <item h="1" x="4672"/>
        <item h="1" x="4673"/>
        <item h="1" x="4674"/>
        <item h="1" x="4675"/>
        <item h="1" x="4676"/>
        <item h="1" x="4677"/>
        <item h="1" x="4678"/>
        <item h="1" x="4679"/>
        <item h="1" x="4680"/>
        <item h="1" x="4681"/>
        <item h="1" x="4682"/>
        <item h="1" x="4683"/>
        <item h="1" x="4684"/>
        <item h="1" x="4685"/>
        <item h="1" x="4686"/>
        <item h="1" x="4687"/>
        <item h="1" x="4688"/>
        <item h="1" x="4689"/>
        <item h="1" x="4690"/>
        <item h="1" x="4691"/>
        <item h="1" x="4692"/>
        <item h="1" x="4693"/>
        <item h="1" x="4694"/>
        <item h="1" x="4695"/>
        <item h="1" x="4696"/>
        <item h="1" x="4697"/>
        <item h="1" x="4698"/>
        <item h="1" x="4699"/>
        <item h="1" x="4700"/>
        <item h="1" x="4701"/>
        <item h="1" x="4702"/>
        <item h="1" x="4703"/>
        <item h="1" x="4704"/>
        <item h="1" x="4705"/>
        <item h="1" x="4706"/>
        <item h="1" x="4707"/>
        <item h="1" x="4708"/>
        <item h="1" x="4709"/>
        <item h="1" x="4710"/>
        <item h="1" x="4711"/>
        <item h="1" x="4712"/>
        <item h="1" x="4713"/>
        <item h="1" x="4714"/>
        <item h="1" x="4715"/>
        <item h="1" x="4716"/>
        <item h="1" x="4717"/>
        <item h="1" x="4718"/>
        <item h="1" x="4719"/>
        <item h="1" x="4720"/>
        <item h="1" x="4721"/>
        <item h="1" x="4722"/>
        <item h="1" x="4723"/>
        <item h="1" x="4724"/>
        <item h="1" x="4725"/>
        <item h="1" x="4726"/>
        <item h="1" x="4727"/>
        <item h="1" x="4728"/>
        <item h="1" x="4729"/>
        <item h="1" x="4730"/>
        <item h="1" x="4731"/>
        <item h="1" x="4732"/>
        <item h="1" x="4733"/>
        <item h="1" x="4734"/>
        <item h="1" x="4735"/>
        <item h="1" x="4736"/>
        <item h="1" x="4737"/>
        <item h="1" x="4738"/>
        <item h="1" x="4739"/>
        <item h="1" x="4740"/>
        <item h="1" x="4741"/>
        <item h="1" x="4742"/>
        <item h="1" x="4743"/>
        <item h="1" x="4744"/>
        <item h="1" x="4745"/>
        <item h="1" x="4746"/>
        <item h="1" x="4747"/>
        <item h="1" x="4748"/>
        <item h="1" x="4749"/>
        <item h="1" x="4750"/>
        <item h="1" x="4751"/>
        <item h="1" x="4752"/>
        <item h="1" x="4753"/>
        <item h="1" x="4754"/>
        <item h="1" x="4755"/>
        <item h="1" x="4756"/>
        <item h="1" x="4757"/>
        <item h="1" x="4758"/>
        <item h="1" x="4759"/>
        <item h="1" x="4760"/>
        <item h="1" x="4761"/>
        <item h="1" x="4762"/>
        <item h="1" x="4763"/>
        <item h="1" x="4764"/>
        <item h="1" x="4765"/>
        <item h="1" x="4766"/>
        <item h="1" x="4767"/>
        <item h="1" x="4768"/>
        <item h="1" x="4769"/>
        <item h="1" x="4770"/>
        <item h="1" x="4771"/>
        <item h="1" x="4772"/>
        <item h="1" x="4773"/>
        <item h="1" x="4774"/>
        <item h="1" x="4775"/>
        <item h="1" x="4776"/>
        <item h="1" x="4777"/>
        <item h="1" x="4778"/>
        <item h="1" x="4779"/>
        <item h="1" x="4780"/>
        <item h="1" x="4781"/>
        <item h="1" x="4782"/>
        <item h="1" x="4783"/>
        <item h="1" x="4784"/>
        <item h="1" x="4785"/>
        <item h="1" x="4786"/>
        <item h="1" x="4787"/>
        <item h="1" x="4788"/>
        <item h="1" x="4789"/>
        <item h="1" x="4790"/>
        <item h="1" x="4791"/>
        <item h="1" x="4792"/>
        <item h="1" x="4793"/>
        <item h="1" x="4794"/>
        <item h="1" x="4795"/>
        <item h="1" x="4796"/>
        <item h="1" x="4797"/>
        <item h="1" x="4798"/>
        <item h="1" x="4799"/>
        <item h="1" x="4800"/>
        <item h="1" x="4801"/>
        <item h="1" x="4802"/>
        <item h="1" x="4803"/>
        <item h="1" x="4804"/>
        <item h="1" x="4805"/>
        <item h="1" x="4806"/>
        <item h="1" x="4807"/>
        <item h="1" x="4808"/>
        <item h="1" x="4809"/>
        <item h="1" x="4810"/>
        <item h="1" x="4811"/>
        <item h="1" x="4812"/>
        <item h="1" x="4813"/>
        <item h="1" x="4814"/>
        <item h="1" x="4815"/>
        <item h="1" x="4816"/>
        <item h="1" x="4817"/>
        <item h="1" x="4818"/>
        <item h="1" x="4819"/>
        <item h="1" x="4820"/>
        <item h="1" x="4821"/>
        <item h="1" x="4822"/>
        <item h="1" x="4823"/>
        <item h="1" x="4824"/>
        <item h="1" x="4825"/>
        <item h="1" x="4826"/>
        <item h="1" x="4827"/>
        <item h="1" x="4828"/>
        <item h="1" x="4829"/>
        <item h="1" x="4830"/>
        <item h="1" x="4831"/>
        <item h="1" x="4832"/>
        <item h="1" x="4833"/>
        <item h="1" x="4834"/>
        <item h="1" x="4835"/>
        <item h="1" x="4836"/>
        <item h="1" x="4837"/>
        <item h="1" x="4838"/>
        <item h="1" x="4839"/>
        <item h="1" x="4840"/>
        <item h="1" x="4841"/>
        <item h="1" x="4842"/>
        <item h="1" x="4843"/>
        <item h="1" x="4844"/>
        <item h="1" x="4845"/>
        <item h="1" x="4846"/>
        <item h="1" x="4847"/>
        <item h="1" x="4848"/>
        <item h="1" x="4849"/>
        <item h="1" x="4850"/>
        <item h="1" x="4851"/>
        <item h="1" x="4852"/>
        <item h="1" x="4853"/>
        <item h="1" x="4854"/>
        <item h="1" x="4855"/>
        <item h="1" x="4856"/>
        <item h="1" x="4857"/>
        <item h="1" x="4858"/>
        <item h="1" x="4859"/>
        <item h="1" x="4860"/>
        <item h="1" x="4861"/>
        <item h="1" x="4862"/>
        <item h="1" x="4863"/>
        <item h="1" x="4864"/>
        <item h="1" x="4865"/>
        <item h="1" x="4866"/>
        <item h="1" x="4867"/>
        <item h="1" x="4868"/>
        <item h="1" x="4869"/>
        <item h="1" x="4870"/>
        <item h="1" x="4871"/>
        <item h="1" x="4872"/>
        <item h="1" x="4873"/>
        <item h="1" x="4874"/>
        <item h="1" x="4875"/>
        <item h="1" x="4876"/>
        <item h="1" x="4877"/>
        <item h="1" x="4878"/>
        <item h="1" x="4879"/>
        <item h="1" x="4880"/>
        <item h="1" x="4881"/>
        <item h="1" x="4882"/>
        <item h="1" x="4883"/>
        <item h="1" x="4884"/>
        <item h="1" x="4885"/>
        <item h="1" x="4886"/>
        <item h="1" x="4887"/>
        <item h="1" x="4888"/>
        <item h="1" x="4889"/>
        <item h="1" x="4890"/>
        <item h="1" x="4891"/>
        <item h="1" x="4892"/>
        <item h="1" x="4893"/>
        <item h="1" x="4894"/>
        <item h="1" x="4895"/>
        <item h="1" x="4896"/>
        <item h="1" x="4897"/>
        <item h="1" x="4898"/>
        <item h="1" x="4899"/>
        <item h="1" x="4900"/>
        <item h="1" x="4901"/>
        <item h="1" x="4902"/>
        <item h="1" x="4903"/>
        <item h="1" x="4904"/>
        <item h="1" x="4905"/>
        <item h="1" x="4906"/>
        <item h="1" x="4907"/>
        <item h="1" x="4908"/>
        <item h="1" x="4909"/>
        <item h="1" x="4910"/>
        <item h="1" x="4911"/>
        <item h="1" x="4912"/>
        <item h="1" x="4913"/>
        <item h="1" x="4914"/>
        <item h="1" x="4915"/>
        <item h="1" x="4916"/>
        <item h="1" x="4917"/>
        <item h="1" x="4918"/>
        <item h="1" x="4919"/>
        <item h="1" x="4920"/>
        <item h="1" x="4921"/>
        <item h="1" x="4922"/>
        <item h="1" x="4923"/>
        <item h="1" x="4924"/>
        <item h="1" x="4925"/>
        <item h="1" x="4926"/>
        <item h="1" x="4927"/>
        <item h="1" x="4928"/>
        <item h="1" x="4929"/>
        <item h="1" x="4930"/>
        <item h="1" x="4931"/>
        <item h="1" x="4932"/>
        <item h="1" x="4933"/>
        <item h="1" x="4934"/>
        <item h="1" x="4935"/>
        <item h="1" x="4936"/>
        <item h="1" x="4937"/>
        <item h="1" x="4938"/>
        <item h="1" x="4939"/>
        <item h="1" x="4940"/>
        <item h="1" x="4941"/>
        <item h="1" x="4942"/>
        <item h="1" x="4943"/>
        <item h="1" x="4944"/>
        <item h="1" x="4945"/>
        <item h="1" x="4946"/>
        <item h="1" x="4947"/>
        <item h="1" x="4948"/>
        <item h="1" x="4949"/>
        <item h="1" x="4950"/>
        <item h="1" x="4951"/>
        <item h="1" x="4952"/>
        <item h="1" x="4953"/>
        <item h="1" x="4954"/>
        <item h="1" x="4955"/>
        <item h="1" x="4956"/>
        <item h="1" x="4957"/>
        <item h="1" x="4958"/>
        <item h="1" x="4959"/>
        <item h="1" x="4960"/>
        <item h="1" x="4961"/>
        <item h="1" x="4962"/>
        <item h="1" x="4963"/>
        <item h="1" x="4964"/>
        <item h="1" x="4965"/>
        <item h="1" x="4966"/>
        <item h="1" x="4967"/>
        <item h="1" x="4968"/>
        <item h="1" x="4969"/>
        <item h="1" x="4970"/>
        <item h="1" x="4971"/>
        <item h="1" x="4972"/>
        <item h="1" x="4973"/>
        <item h="1" x="4974"/>
        <item h="1" x="4975"/>
        <item h="1" x="4976"/>
        <item h="1" x="4977"/>
        <item h="1" x="4978"/>
        <item h="1" x="4979"/>
        <item h="1" x="4980"/>
        <item h="1" x="4981"/>
        <item h="1" x="4982"/>
        <item h="1" x="4983"/>
        <item h="1" x="4984"/>
        <item h="1" x="4985"/>
        <item h="1" x="4986"/>
        <item h="1" x="4987"/>
        <item h="1" x="4988"/>
        <item h="1" x="4989"/>
        <item h="1" x="4990"/>
        <item h="1" x="4991"/>
        <item h="1" x="4992"/>
        <item h="1" x="4993"/>
        <item h="1" x="4994"/>
        <item h="1" x="4995"/>
        <item h="1" x="4996"/>
        <item h="1" x="4997"/>
        <item h="1" x="4998"/>
        <item h="1" x="4999"/>
        <item h="1" x="5000"/>
        <item h="1" x="5001"/>
        <item h="1" x="5002"/>
        <item h="1" x="5003"/>
        <item h="1" x="5004"/>
        <item h="1" x="5005"/>
        <item h="1" x="5006"/>
        <item h="1" x="5007"/>
        <item h="1" x="5008"/>
        <item h="1" x="5009"/>
        <item h="1" x="5010"/>
        <item h="1" x="5011"/>
        <item h="1" x="5012"/>
        <item h="1" x="5013"/>
        <item h="1" x="5014"/>
        <item h="1" x="5015"/>
        <item h="1" x="5016"/>
        <item h="1" x="5017"/>
        <item h="1" x="5018"/>
        <item h="1" x="5019"/>
        <item h="1" x="5020"/>
        <item h="1" x="5021"/>
        <item h="1" x="5022"/>
        <item h="1" x="5023"/>
        <item h="1" x="5024"/>
        <item h="1" x="5025"/>
        <item h="1" x="5026"/>
        <item h="1" x="5027"/>
        <item h="1" x="5028"/>
        <item h="1" x="5029"/>
        <item h="1" x="5030"/>
        <item h="1" x="5031"/>
        <item h="1" x="5032"/>
        <item h="1" x="5033"/>
        <item h="1" x="5034"/>
        <item h="1" x="5035"/>
        <item h="1" x="5036"/>
        <item h="1" x="5037"/>
        <item h="1" x="5038"/>
        <item h="1" x="5039"/>
        <item h="1" x="5040"/>
        <item h="1" x="5041"/>
        <item h="1" x="5042"/>
        <item h="1" x="5043"/>
        <item h="1" x="5044"/>
        <item h="1" x="5045"/>
        <item h="1" x="5046"/>
        <item h="1" x="5047"/>
        <item h="1" x="5048"/>
        <item h="1" x="5049"/>
        <item h="1" x="5050"/>
        <item h="1" x="5051"/>
        <item h="1" x="5052"/>
        <item h="1" x="5053"/>
        <item h="1" x="5054"/>
        <item h="1" x="5055"/>
        <item h="1" x="5056"/>
        <item h="1" x="5057"/>
        <item h="1" x="5058"/>
        <item h="1" x="5059"/>
        <item h="1" x="5060"/>
        <item h="1" x="5061"/>
        <item h="1" x="5062"/>
        <item h="1" x="5063"/>
        <item h="1" x="5064"/>
        <item h="1" x="5065"/>
        <item h="1" x="5066"/>
        <item h="1" x="5067"/>
        <item h="1" x="5068"/>
        <item h="1" x="5069"/>
        <item h="1" x="5070"/>
        <item h="1" x="5071"/>
        <item h="1" x="5072"/>
        <item h="1" x="5073"/>
        <item h="1" x="5074"/>
        <item h="1" x="5075"/>
        <item h="1" x="5076"/>
        <item h="1" x="5077"/>
        <item h="1" x="5078"/>
        <item h="1" x="5079"/>
        <item h="1" x="5080"/>
        <item h="1" x="5081"/>
        <item h="1" x="5082"/>
        <item h="1" x="5083"/>
        <item h="1" x="5084"/>
        <item h="1" x="5085"/>
        <item h="1" x="5086"/>
        <item h="1" x="5087"/>
        <item h="1" x="5088"/>
        <item h="1" x="5089"/>
        <item h="1" x="5090"/>
        <item h="1" x="5091"/>
        <item h="1" x="5092"/>
        <item h="1" x="5093"/>
        <item h="1" x="5094"/>
        <item h="1" x="5095"/>
        <item h="1" x="5096"/>
        <item h="1" x="5097"/>
        <item h="1" x="5098"/>
        <item h="1" x="5099"/>
        <item h="1" x="5100"/>
        <item h="1" x="5101"/>
        <item h="1" x="5102"/>
        <item h="1" x="5103"/>
        <item h="1" x="5104"/>
        <item h="1" x="5105"/>
        <item h="1" x="5106"/>
        <item h="1" x="5107"/>
        <item h="1" x="5108"/>
        <item h="1" x="5109"/>
        <item h="1" x="5110"/>
        <item h="1" x="5111"/>
        <item h="1" x="5112"/>
        <item h="1" x="5113"/>
        <item h="1" x="5114"/>
        <item h="1" x="5115"/>
        <item h="1" x="5116"/>
        <item h="1" x="5117"/>
        <item h="1" x="5118"/>
        <item h="1" x="5119"/>
        <item h="1" x="5120"/>
        <item h="1" x="5121"/>
        <item h="1" x="5122"/>
        <item h="1" x="5123"/>
        <item h="1" x="5124"/>
        <item h="1" x="5125"/>
        <item h="1" x="5126"/>
        <item h="1" x="5127"/>
        <item h="1" x="5128"/>
        <item h="1" x="5129"/>
        <item h="1" x="5130"/>
        <item h="1" x="5131"/>
        <item h="1" x="5132"/>
        <item h="1" x="5133"/>
        <item h="1" x="5134"/>
        <item h="1" x="5135"/>
        <item h="1" x="5136"/>
        <item h="1" x="5137"/>
        <item h="1" x="5138"/>
        <item h="1" x="5139"/>
        <item h="1" x="5140"/>
        <item h="1" x="5141"/>
        <item h="1" x="5142"/>
        <item h="1" x="5143"/>
        <item h="1" x="5144"/>
        <item h="1" x="5145"/>
        <item h="1" x="5146"/>
        <item h="1" x="5147"/>
        <item h="1" x="5148"/>
        <item h="1" x="5149"/>
        <item h="1" x="5150"/>
        <item h="1" x="5151"/>
        <item h="1" x="5152"/>
        <item h="1" x="5153"/>
        <item h="1" x="5154"/>
        <item h="1" x="5155"/>
        <item h="1" x="5156"/>
        <item h="1" x="5157"/>
        <item h="1" x="5158"/>
        <item h="1" x="5159"/>
        <item h="1" x="5160"/>
        <item h="1" x="5161"/>
        <item h="1" x="5162"/>
        <item h="1" x="5163"/>
        <item h="1" x="5164"/>
        <item h="1" x="5165"/>
        <item h="1" x="5166"/>
        <item h="1" x="5167"/>
        <item h="1" x="5168"/>
        <item h="1" x="5169"/>
        <item h="1" x="5170"/>
        <item h="1" x="5171"/>
        <item h="1" x="5172"/>
        <item h="1" x="5173"/>
        <item h="1" x="5174"/>
        <item h="1" x="5175"/>
        <item h="1" x="5176"/>
        <item h="1" x="5177"/>
        <item h="1" x="5178"/>
        <item h="1" x="5179"/>
        <item h="1" x="5180"/>
        <item h="1" x="5181"/>
        <item h="1" x="5182"/>
        <item h="1" x="5183"/>
        <item h="1" x="5184"/>
        <item h="1" x="5185"/>
        <item h="1" x="5186"/>
        <item h="1" x="5187"/>
        <item h="1" x="5188"/>
        <item h="1" x="5189"/>
        <item h="1" x="5190"/>
        <item h="1" x="5191"/>
        <item h="1" x="5192"/>
        <item h="1" x="5193"/>
        <item h="1" x="5194"/>
        <item h="1" x="5195"/>
        <item h="1" x="5196"/>
        <item h="1" x="5197"/>
        <item h="1" x="5198"/>
        <item h="1" x="5199"/>
        <item h="1" x="5200"/>
        <item h="1" x="5201"/>
        <item h="1" x="5202"/>
        <item h="1" x="5203"/>
        <item h="1" x="5204"/>
        <item h="1" x="5205"/>
        <item h="1" x="5206"/>
        <item h="1" x="5207"/>
        <item h="1" x="5208"/>
        <item h="1" x="5209"/>
        <item h="1" x="5210"/>
        <item h="1" x="5211"/>
        <item h="1" x="5212"/>
        <item h="1" x="5213"/>
        <item h="1" x="5214"/>
        <item h="1" x="5215"/>
        <item h="1" x="5216"/>
        <item h="1" x="5217"/>
        <item h="1" x="5218"/>
        <item h="1" x="5219"/>
        <item h="1" x="5220"/>
        <item h="1" x="5221"/>
        <item h="1" x="5222"/>
        <item h="1" x="5223"/>
        <item h="1" x="5224"/>
        <item h="1" x="5225"/>
        <item h="1" x="5226"/>
        <item h="1" x="5227"/>
        <item h="1" x="5228"/>
        <item h="1" x="5229"/>
        <item h="1" x="5230"/>
        <item h="1" x="5231"/>
        <item h="1" x="5232"/>
        <item h="1" x="5233"/>
        <item h="1" x="5234"/>
        <item h="1" x="5235"/>
        <item h="1" x="5236"/>
        <item h="1" x="5237"/>
        <item h="1" x="5238"/>
        <item h="1" x="5239"/>
        <item h="1" x="5240"/>
        <item h="1" x="5241"/>
        <item h="1" x="5242"/>
        <item h="1" x="5243"/>
        <item h="1" x="5244"/>
        <item h="1" x="5245"/>
        <item h="1" x="5246"/>
        <item h="1" x="5247"/>
        <item h="1" x="5248"/>
        <item h="1" x="5249"/>
        <item h="1" x="5250"/>
        <item h="1" x="5251"/>
        <item h="1" x="5252"/>
        <item h="1" x="5253"/>
        <item h="1" x="5254"/>
        <item h="1" x="5255"/>
        <item h="1" x="5256"/>
        <item h="1" x="5257"/>
        <item h="1" x="5258"/>
        <item h="1" x="5259"/>
        <item h="1" x="5260"/>
        <item h="1" x="5261"/>
        <item h="1" x="5262"/>
        <item h="1" x="5263"/>
        <item h="1" x="5264"/>
        <item h="1" x="5265"/>
        <item h="1" x="5266"/>
        <item h="1" x="5267"/>
        <item h="1" x="5268"/>
        <item h="1" x="5269"/>
        <item h="1" x="5270"/>
        <item h="1" x="5271"/>
        <item h="1" x="5272"/>
        <item h="1" x="5273"/>
        <item h="1" x="5274"/>
        <item h="1" x="5275"/>
        <item h="1" x="5276"/>
        <item h="1" x="5277"/>
        <item h="1" x="5278"/>
        <item h="1" x="5279"/>
        <item h="1" x="5280"/>
        <item h="1" x="5281"/>
        <item h="1" x="5282"/>
        <item h="1" x="5283"/>
        <item h="1" x="5284"/>
        <item h="1" x="5285"/>
        <item h="1" x="5286"/>
        <item h="1" x="5287"/>
        <item h="1" x="5288"/>
        <item h="1" x="5289"/>
        <item h="1" x="5290"/>
        <item h="1" x="5291"/>
        <item h="1" x="5292"/>
        <item h="1" x="5293"/>
        <item h="1" x="5294"/>
        <item h="1" x="5295"/>
        <item h="1" x="5296"/>
        <item h="1" x="5297"/>
        <item h="1" x="5298"/>
        <item h="1" x="5299"/>
        <item h="1" x="5300"/>
        <item h="1" x="5301"/>
        <item h="1" x="5302"/>
        <item h="1" x="5303"/>
        <item h="1" x="5304"/>
        <item h="1" x="5305"/>
        <item h="1" x="5306"/>
        <item h="1" x="5307"/>
        <item h="1" x="5308"/>
        <item h="1" x="5309"/>
        <item h="1" x="5310"/>
        <item h="1" x="5311"/>
        <item h="1" x="5312"/>
        <item h="1" x="5313"/>
        <item h="1" x="5314"/>
        <item h="1" x="5315"/>
        <item h="1" x="5316"/>
        <item h="1" x="5317"/>
        <item h="1" x="5318"/>
        <item h="1" x="5319"/>
        <item h="1" x="5320"/>
        <item h="1" x="5321"/>
        <item h="1" x="5322"/>
        <item h="1" x="5323"/>
        <item h="1" x="5324"/>
        <item h="1" x="5325"/>
        <item h="1" x="5326"/>
        <item h="1" x="5327"/>
        <item h="1" x="5328"/>
        <item h="1" x="5329"/>
        <item h="1" x="5330"/>
        <item h="1" x="5331"/>
        <item h="1" x="5332"/>
        <item h="1" x="5333"/>
        <item h="1" x="5334"/>
        <item h="1" x="5335"/>
        <item h="1" x="5336"/>
        <item h="1" x="5337"/>
        <item h="1" x="5338"/>
        <item h="1" x="5339"/>
        <item h="1" x="5340"/>
        <item h="1" x="5341"/>
        <item h="1" x="5342"/>
        <item h="1" x="5343"/>
        <item h="1" x="5344"/>
        <item h="1" x="5345"/>
        <item h="1" x="5346"/>
        <item h="1" x="5347"/>
        <item h="1" x="5348"/>
        <item h="1" x="5349"/>
        <item h="1" x="5350"/>
        <item h="1" x="5351"/>
        <item h="1" x="5352"/>
        <item h="1" x="5353"/>
        <item h="1" x="5354"/>
        <item h="1" x="5355"/>
        <item h="1" x="5356"/>
        <item h="1" x="5357"/>
        <item h="1" x="5358"/>
        <item h="1" x="5359"/>
        <item h="1" x="5360"/>
        <item h="1" x="5361"/>
        <item h="1" x="5362"/>
        <item h="1" x="5363"/>
        <item h="1" x="5364"/>
        <item h="1" x="5365"/>
        <item h="1" x="5366"/>
        <item h="1" x="5367"/>
        <item h="1" x="5368"/>
        <item h="1" x="5369"/>
        <item h="1" x="5370"/>
        <item h="1" x="5371"/>
        <item h="1" x="5372"/>
        <item h="1" x="5373"/>
        <item h="1" x="5374"/>
        <item h="1" x="5375"/>
        <item h="1" x="5376"/>
        <item h="1" x="5377"/>
        <item h="1" x="5378"/>
        <item h="1" x="5379"/>
        <item h="1" x="5380"/>
        <item h="1" x="5381"/>
        <item h="1" x="5382"/>
        <item h="1" x="5383"/>
        <item h="1" x="5384"/>
        <item h="1" x="5385"/>
        <item h="1" x="5386"/>
        <item h="1" x="5387"/>
        <item h="1" x="5388"/>
        <item h="1" x="5389"/>
        <item h="1" x="5390"/>
        <item h="1" x="5391"/>
        <item h="1" x="5392"/>
        <item h="1" x="5393"/>
        <item h="1" x="5394"/>
        <item h="1" x="5395"/>
        <item h="1" x="5396"/>
        <item h="1" x="5397"/>
        <item h="1" x="5398"/>
        <item h="1" x="5399"/>
        <item h="1" x="5400"/>
        <item h="1" x="5401"/>
        <item h="1" x="5402"/>
        <item h="1" x="5403"/>
        <item h="1" x="5404"/>
        <item h="1" x="5405"/>
        <item h="1" x="5406"/>
        <item h="1" x="5407"/>
        <item h="1" x="5408"/>
        <item h="1" x="5409"/>
        <item h="1" x="5410"/>
        <item h="1" x="5411"/>
        <item h="1" x="5412"/>
        <item h="1" x="5413"/>
        <item h="1" x="5414"/>
        <item h="1" x="5415"/>
        <item h="1" x="5416"/>
        <item h="1" x="5417"/>
        <item h="1" x="5418"/>
        <item h="1" x="5419"/>
        <item h="1" x="5420"/>
        <item h="1" x="5421"/>
        <item h="1" x="5422"/>
        <item h="1" x="5423"/>
        <item h="1" x="5424"/>
        <item h="1" x="5425"/>
        <item h="1" x="5426"/>
        <item h="1" x="5427"/>
        <item h="1" x="5428"/>
        <item h="1" x="5429"/>
        <item h="1" x="5430"/>
        <item h="1" x="5431"/>
        <item h="1" x="5432"/>
        <item h="1" x="5433"/>
        <item h="1" x="5434"/>
        <item h="1" x="5435"/>
        <item h="1" x="5436"/>
        <item h="1" x="5437"/>
        <item h="1" x="5438"/>
        <item h="1" x="5439"/>
        <item h="1" x="5440"/>
        <item h="1" x="5441"/>
        <item h="1" x="5442"/>
        <item h="1" x="5443"/>
        <item h="1" x="5444"/>
        <item h="1" x="5445"/>
        <item h="1" x="5446"/>
        <item h="1" x="5447"/>
        <item h="1" x="5448"/>
        <item h="1" x="5449"/>
        <item h="1" x="5450"/>
        <item h="1" x="5451"/>
        <item h="1" x="5452"/>
        <item h="1" x="5453"/>
        <item h="1" x="5454"/>
        <item h="1" x="5455"/>
        <item h="1" x="5456"/>
        <item h="1" x="5457"/>
        <item h="1" x="5458"/>
        <item h="1" x="5459"/>
        <item h="1" x="5460"/>
        <item h="1" x="5461"/>
        <item h="1" x="5462"/>
        <item h="1" x="5463"/>
        <item h="1" x="5464"/>
        <item h="1" x="5465"/>
        <item h="1" x="5466"/>
        <item h="1" x="5467"/>
        <item h="1" x="5468"/>
        <item h="1" x="5469"/>
        <item h="1" x="5470"/>
        <item h="1" x="5471"/>
        <item h="1" x="5472"/>
        <item h="1" x="5473"/>
        <item h="1" x="5474"/>
        <item h="1" x="5475"/>
        <item h="1" x="5476"/>
        <item h="1" x="5477"/>
        <item h="1" x="5478"/>
        <item h="1" x="5479"/>
        <item h="1" x="5480"/>
        <item h="1" x="5481"/>
        <item h="1" x="5482"/>
        <item h="1" x="5483"/>
        <item h="1" x="5484"/>
        <item h="1" x="5485"/>
        <item h="1" x="5486"/>
        <item h="1" x="5487"/>
        <item h="1" x="5488"/>
        <item h="1" x="5489"/>
        <item h="1" x="5490"/>
        <item h="1" x="5491"/>
        <item h="1" x="5492"/>
        <item h="1" x="5493"/>
        <item h="1" x="5494"/>
        <item h="1" x="5495"/>
        <item h="1" x="5496"/>
        <item h="1" x="5497"/>
        <item h="1" x="5498"/>
        <item h="1" x="5499"/>
        <item h="1" x="5500"/>
        <item h="1" x="5501"/>
        <item h="1" x="5502"/>
        <item h="1" x="5503"/>
        <item h="1" x="5504"/>
        <item h="1" x="5505"/>
        <item h="1" x="5506"/>
        <item h="1" x="5507"/>
        <item h="1" x="5508"/>
        <item h="1" x="5509"/>
        <item h="1" x="5510"/>
        <item h="1" x="5511"/>
        <item h="1" x="5512"/>
        <item h="1" x="5513"/>
        <item h="1" x="5514"/>
        <item h="1" x="5515"/>
        <item h="1" x="5516"/>
        <item h="1" x="5517"/>
        <item h="1" x="5518"/>
        <item h="1" x="5519"/>
        <item h="1" x="5520"/>
        <item h="1" x="5521"/>
        <item h="1" x="5522"/>
        <item h="1" x="5523"/>
        <item h="1" x="5524"/>
        <item h="1" x="5525"/>
        <item h="1" x="5526"/>
        <item h="1" x="5527"/>
        <item h="1" x="5528"/>
        <item h="1" x="5529"/>
        <item h="1" x="5530"/>
        <item h="1" x="5531"/>
        <item h="1" x="5532"/>
        <item h="1" x="5533"/>
        <item h="1" x="5534"/>
        <item h="1" x="5535"/>
        <item h="1" x="5536"/>
        <item h="1" x="5537"/>
        <item h="1" x="5538"/>
        <item h="1" x="5539"/>
        <item h="1" x="5540"/>
        <item h="1" x="5541"/>
        <item h="1" x="5542"/>
        <item h="1" x="5543"/>
        <item h="1" x="5544"/>
        <item h="1" x="5545"/>
        <item h="1" x="5546"/>
        <item h="1" x="5547"/>
        <item h="1" x="5548"/>
        <item h="1" x="5549"/>
        <item h="1" x="5550"/>
        <item h="1" x="5551"/>
        <item h="1" x="5552"/>
        <item h="1" x="5553"/>
        <item h="1" x="5554"/>
        <item h="1" x="5555"/>
        <item h="1" x="5556"/>
        <item h="1" x="5557"/>
        <item h="1" x="5558"/>
        <item h="1" x="5559"/>
        <item h="1" x="5560"/>
        <item h="1" x="5561"/>
        <item h="1" x="5562"/>
        <item h="1" x="5563"/>
        <item h="1" x="5564"/>
        <item h="1" x="5565"/>
        <item h="1" x="5566"/>
        <item h="1" x="5567"/>
        <item h="1" x="5568"/>
        <item h="1" x="5569"/>
        <item h="1" x="5570"/>
        <item h="1" x="5571"/>
        <item h="1" x="5572"/>
        <item h="1" x="5573"/>
        <item h="1" x="5574"/>
        <item h="1" x="5575"/>
        <item h="1" x="5576"/>
        <item h="1" x="5577"/>
        <item h="1" x="5578"/>
        <item h="1" x="5579"/>
        <item h="1" x="5580"/>
        <item h="1" x="5581"/>
        <item h="1" x="5582"/>
        <item h="1" x="5583"/>
        <item h="1" x="5584"/>
        <item h="1" x="5585"/>
        <item h="1" x="5586"/>
        <item h="1" x="5587"/>
        <item h="1" x="5588"/>
        <item h="1" x="5589"/>
        <item h="1" x="5590"/>
        <item h="1" x="5591"/>
        <item h="1" x="5592"/>
        <item h="1" x="5593"/>
        <item h="1" x="5594"/>
        <item h="1" x="5595"/>
        <item h="1" x="5596"/>
        <item h="1" x="5597"/>
        <item h="1" x="5598"/>
        <item h="1" x="5599"/>
        <item h="1" x="5600"/>
        <item h="1" x="5601"/>
        <item h="1" x="5602"/>
        <item h="1" x="5603"/>
        <item h="1" x="5604"/>
        <item h="1" x="5605"/>
        <item h="1" x="5606"/>
        <item h="1" x="5607"/>
        <item h="1" x="5608"/>
        <item h="1" x="5609"/>
        <item h="1" x="5610"/>
        <item h="1" x="5611"/>
        <item h="1" x="5612"/>
        <item h="1" x="5613"/>
        <item h="1" x="5614"/>
        <item h="1" x="5615"/>
        <item h="1" x="5616"/>
        <item h="1" x="5617"/>
        <item h="1" x="5618"/>
        <item h="1" x="5619"/>
        <item h="1" x="5620"/>
        <item h="1" x="5621"/>
        <item h="1" x="5622"/>
        <item h="1" x="5623"/>
        <item h="1" x="5624"/>
        <item h="1" x="5625"/>
        <item h="1" x="5626"/>
        <item h="1" x="5627"/>
        <item h="1" x="5628"/>
        <item h="1" x="5629"/>
        <item h="1" x="5630"/>
        <item h="1" x="5631"/>
        <item h="1" x="5632"/>
        <item h="1" x="5633"/>
        <item h="1" x="5634"/>
        <item h="1" x="5635"/>
        <item h="1" x="5636"/>
        <item h="1" x="5637"/>
        <item h="1" x="5638"/>
        <item h="1" x="5639"/>
        <item h="1" x="5640"/>
        <item h="1" x="5641"/>
        <item h="1" x="5642"/>
        <item h="1" x="5643"/>
        <item h="1" x="5644"/>
        <item h="1" x="5645"/>
        <item h="1" x="5646"/>
        <item h="1" x="5647"/>
        <item h="1" x="5648"/>
        <item h="1" x="5649"/>
        <item h="1" x="5650"/>
        <item h="1" x="5651"/>
        <item h="1" x="5652"/>
        <item h="1" x="5653"/>
        <item h="1" x="5654"/>
        <item h="1" x="5655"/>
        <item h="1" x="5656"/>
        <item h="1" x="5657"/>
        <item h="1" x="5658"/>
        <item h="1" x="5659"/>
        <item h="1" x="5660"/>
        <item h="1" x="5661"/>
        <item h="1" x="5662"/>
        <item h="1" x="5663"/>
        <item h="1" x="5664"/>
        <item h="1" x="5665"/>
        <item h="1" x="5666"/>
        <item h="1" x="5667"/>
        <item h="1" x="5668"/>
        <item h="1" x="5669"/>
        <item h="1" x="5670"/>
        <item h="1" x="5671"/>
        <item h="1" x="5672"/>
        <item h="1" x="5673"/>
        <item h="1" x="5674"/>
        <item h="1" x="5675"/>
        <item h="1" x="5676"/>
        <item h="1" x="5677"/>
        <item h="1" x="5678"/>
        <item h="1" x="5679"/>
        <item h="1" x="5680"/>
        <item h="1" x="5681"/>
        <item h="1" x="5682"/>
        <item h="1" x="5683"/>
        <item h="1" x="5684"/>
        <item h="1" x="5685"/>
        <item h="1" x="5686"/>
        <item h="1" x="5687"/>
        <item h="1" x="5688"/>
        <item h="1" x="5689"/>
        <item h="1" x="5690"/>
        <item h="1" x="5691"/>
        <item h="1" x="5692"/>
        <item h="1" x="5693"/>
        <item h="1" x="5694"/>
        <item h="1" x="5695"/>
        <item h="1" x="5696"/>
        <item h="1" x="5697"/>
        <item h="1" x="5698"/>
        <item h="1" x="5699"/>
        <item h="1" x="5700"/>
        <item h="1" x="5701"/>
        <item h="1" x="5702"/>
        <item h="1" x="5703"/>
        <item h="1" x="5704"/>
        <item h="1" x="5705"/>
        <item h="1" x="5706"/>
        <item h="1" x="5707"/>
        <item h="1" x="5708"/>
        <item h="1" x="5709"/>
        <item h="1" x="5710"/>
        <item h="1" x="5711"/>
        <item h="1" x="5712"/>
        <item h="1" x="5713"/>
        <item h="1" x="5714"/>
        <item h="1" x="5715"/>
        <item h="1" x="5716"/>
        <item h="1" x="5717"/>
        <item h="1" x="5718"/>
        <item h="1" x="5719"/>
        <item h="1" x="5720"/>
        <item h="1" x="5721"/>
        <item h="1" x="5722"/>
        <item h="1" x="5723"/>
        <item h="1" x="5724"/>
        <item h="1" x="5725"/>
        <item h="1" x="5726"/>
        <item h="1" x="5727"/>
        <item h="1" x="5728"/>
        <item h="1" x="5729"/>
        <item h="1" x="5730"/>
        <item h="1" x="5731"/>
        <item h="1" x="5732"/>
        <item h="1" x="5733"/>
        <item h="1" x="5734"/>
        <item h="1" x="5735"/>
        <item h="1" x="5736"/>
        <item h="1" x="5737"/>
        <item h="1" x="5738"/>
        <item h="1" x="5739"/>
        <item h="1" x="5740"/>
        <item h="1" x="5741"/>
        <item h="1" x="5742"/>
        <item h="1" x="5743"/>
        <item h="1" x="5744"/>
        <item h="1" x="5745"/>
        <item h="1" x="5746"/>
        <item h="1" x="5747"/>
        <item h="1" x="5748"/>
        <item h="1" x="5749"/>
        <item h="1" x="5750"/>
        <item h="1" x="5751"/>
        <item h="1" x="5752"/>
        <item h="1" x="5753"/>
        <item h="1" x="5754"/>
        <item h="1" x="5755"/>
        <item h="1" x="5756"/>
        <item h="1" x="5757"/>
        <item h="1" x="5758"/>
        <item h="1" x="5759"/>
        <item h="1" x="5760"/>
        <item h="1" x="5761"/>
        <item h="1" x="5762"/>
        <item h="1" x="5763"/>
        <item h="1" x="5764"/>
        <item h="1" x="5765"/>
        <item h="1" x="5766"/>
        <item h="1" x="5767"/>
        <item h="1" x="5768"/>
        <item h="1" x="5769"/>
        <item h="1" x="5770"/>
        <item h="1" x="5771"/>
        <item h="1" x="5772"/>
        <item h="1" x="5773"/>
        <item h="1" x="5774"/>
        <item h="1" x="5775"/>
        <item h="1" x="5776"/>
        <item h="1" x="5777"/>
        <item h="1" x="5778"/>
        <item h="1" x="5779"/>
        <item h="1" x="5780"/>
        <item h="1" x="5781"/>
        <item h="1" x="5782"/>
        <item h="1" x="5783"/>
        <item h="1" x="5784"/>
        <item h="1" x="5785"/>
        <item h="1" x="5786"/>
        <item h="1" x="5787"/>
        <item h="1" x="5788"/>
        <item h="1" x="5789"/>
        <item h="1" x="5790"/>
        <item h="1" x="5791"/>
        <item h="1" x="5792"/>
        <item h="1" x="5793"/>
        <item h="1" x="5794"/>
        <item h="1" x="5795"/>
        <item h="1" x="5796"/>
        <item h="1" x="5797"/>
        <item h="1" x="5798"/>
        <item h="1" x="5799"/>
        <item h="1" x="5800"/>
        <item h="1" x="5801"/>
        <item h="1" x="5802"/>
        <item h="1" x="5803"/>
        <item h="1" x="5804"/>
        <item h="1" x="5805"/>
        <item h="1" x="5806"/>
        <item h="1" x="5807"/>
        <item h="1" x="5808"/>
        <item h="1" x="5809"/>
        <item h="1" x="5810"/>
        <item h="1" x="5811"/>
        <item h="1" x="5812"/>
        <item h="1" x="5813"/>
        <item h="1" x="5814"/>
        <item h="1" x="5815"/>
        <item h="1" x="5816"/>
        <item h="1" x="5817"/>
        <item h="1" x="5818"/>
        <item h="1" x="5819"/>
        <item h="1" x="5820"/>
        <item h="1" x="5821"/>
        <item h="1" x="5822"/>
        <item h="1" x="5823"/>
        <item h="1" x="5824"/>
        <item h="1" x="5825"/>
        <item h="1" x="5826"/>
        <item h="1" x="5827"/>
        <item h="1" x="5828"/>
        <item h="1" x="5829"/>
        <item h="1" x="5830"/>
        <item h="1" x="5831"/>
        <item h="1" x="5832"/>
        <item h="1" x="5833"/>
        <item h="1" x="5834"/>
        <item h="1" x="5835"/>
        <item h="1" x="5836"/>
        <item h="1" x="5837"/>
        <item h="1" x="5838"/>
        <item h="1" x="5839"/>
        <item h="1" x="5840"/>
        <item h="1" x="5841"/>
        <item h="1" x="5842"/>
        <item h="1" x="5843"/>
        <item h="1" x="5844"/>
        <item h="1" x="5845"/>
        <item h="1" x="5846"/>
        <item h="1" x="5847"/>
        <item h="1" x="5848"/>
        <item h="1" x="5849"/>
        <item h="1" x="5850"/>
        <item h="1" x="5851"/>
        <item h="1" x="5852"/>
        <item h="1" x="5853"/>
        <item h="1" x="5854"/>
        <item h="1" x="5855"/>
        <item h="1" x="5856"/>
        <item h="1" x="5857"/>
        <item h="1" x="5858"/>
        <item h="1" x="5859"/>
        <item h="1" x="5860"/>
        <item h="1" x="5861"/>
        <item h="1" x="5862"/>
        <item h="1" x="5863"/>
        <item h="1" x="5864"/>
        <item h="1" x="5865"/>
        <item h="1" x="5866"/>
        <item h="1" x="5867"/>
        <item h="1" x="5868"/>
        <item h="1" x="5869"/>
        <item h="1" x="5870"/>
        <item h="1" x="5871"/>
        <item h="1" x="5872"/>
        <item h="1" x="5873"/>
        <item h="1" x="5874"/>
        <item h="1" x="5875"/>
        <item h="1" x="5876"/>
        <item h="1" x="5877"/>
        <item h="1" x="5878"/>
        <item h="1" x="5879"/>
        <item h="1" x="5880"/>
        <item h="1" x="5881"/>
        <item h="1" x="5882"/>
        <item h="1" x="5883"/>
        <item h="1" x="5884"/>
        <item h="1" x="5885"/>
        <item h="1" x="5886"/>
        <item h="1" x="5887"/>
        <item h="1" x="5888"/>
        <item h="1" x="5889"/>
        <item h="1" x="5890"/>
        <item h="1" x="5891"/>
        <item h="1" x="5892"/>
        <item h="1" x="5893"/>
        <item h="1" x="5894"/>
        <item h="1" x="5895"/>
        <item h="1" x="5896"/>
        <item h="1" x="5897"/>
        <item h="1" x="5898"/>
        <item h="1" x="5899"/>
        <item h="1" x="5900"/>
        <item h="1" x="5901"/>
        <item h="1" x="5902"/>
        <item h="1" x="5903"/>
        <item h="1" x="5904"/>
        <item h="1" x="5905"/>
        <item h="1" x="5906"/>
        <item h="1" x="5907"/>
        <item h="1" x="5908"/>
        <item h="1" x="5909"/>
        <item h="1" x="5910"/>
        <item h="1" x="5911"/>
        <item h="1" x="5912"/>
        <item h="1" x="5913"/>
        <item h="1" x="5914"/>
        <item h="1" x="5915"/>
        <item h="1" x="5916"/>
        <item h="1" x="5917"/>
        <item h="1" x="5918"/>
        <item h="1" x="5919"/>
        <item h="1" x="5920"/>
        <item h="1" x="5921"/>
        <item h="1" x="5922"/>
        <item h="1" x="5923"/>
        <item h="1" x="5924"/>
        <item h="1" x="5925"/>
        <item h="1" x="5926"/>
        <item h="1" x="5927"/>
        <item h="1" x="5928"/>
        <item h="1" x="5929"/>
        <item h="1" x="5930"/>
        <item h="1" x="5931"/>
        <item h="1" x="5932"/>
        <item h="1" x="5933"/>
        <item h="1" x="5934"/>
        <item h="1" x="5935"/>
        <item h="1" x="5936"/>
        <item h="1" x="5937"/>
        <item h="1" x="5938"/>
        <item h="1" x="5939"/>
        <item h="1" x="5940"/>
        <item h="1" x="5941"/>
        <item h="1" x="5942"/>
        <item h="1" x="5943"/>
        <item h="1" x="5944"/>
        <item h="1" x="5945"/>
        <item h="1" x="5946"/>
        <item h="1" x="5947"/>
        <item h="1" x="5948"/>
        <item h="1" x="5949"/>
        <item h="1" x="5950"/>
        <item h="1" x="5951"/>
        <item h="1" x="5952"/>
        <item h="1" x="5953"/>
        <item h="1" x="5954"/>
        <item h="1" x="5955"/>
        <item h="1" x="5956"/>
        <item h="1" x="5957"/>
        <item h="1" x="5958"/>
        <item h="1" x="5959"/>
        <item h="1" x="5960"/>
        <item h="1" x="5961"/>
        <item h="1" x="5962"/>
        <item h="1" x="5963"/>
        <item h="1" x="5964"/>
        <item h="1" x="5965"/>
        <item h="1" x="5966"/>
        <item h="1" x="5967"/>
        <item h="1" x="5968"/>
        <item h="1" x="5969"/>
        <item h="1" x="5970"/>
        <item h="1" x="5971"/>
        <item h="1" x="5972"/>
        <item h="1" x="5973"/>
        <item h="1" x="5974"/>
        <item h="1" x="5975"/>
        <item h="1" x="5976"/>
        <item h="1" x="5977"/>
        <item h="1" x="5978"/>
        <item h="1" x="5979"/>
        <item h="1" x="5980"/>
        <item h="1" x="5981"/>
        <item h="1" x="5982"/>
        <item h="1" x="5983"/>
        <item h="1" x="5984"/>
        <item h="1" x="5985"/>
        <item h="1" x="5986"/>
        <item h="1" x="5987"/>
        <item h="1" x="5988"/>
        <item h="1" x="5989"/>
        <item h="1" x="5990"/>
        <item h="1" x="5991"/>
        <item h="1" x="5992"/>
        <item h="1" x="5993"/>
        <item h="1" x="5994"/>
        <item h="1" x="5995"/>
        <item h="1" x="5996"/>
        <item h="1" x="5997"/>
        <item h="1" x="5998"/>
        <item h="1" x="5999"/>
        <item h="1" x="6000"/>
        <item h="1" x="6001"/>
        <item h="1" x="6002"/>
        <item h="1" x="6003"/>
        <item h="1" x="6004"/>
        <item h="1" x="6005"/>
        <item h="1" x="6006"/>
        <item h="1" x="6007"/>
        <item h="1" x="6008"/>
        <item h="1" x="6009"/>
        <item h="1" x="6010"/>
        <item h="1" x="6011"/>
        <item h="1" x="6012"/>
        <item h="1" x="6013"/>
        <item h="1" x="6014"/>
        <item h="1" x="6015"/>
        <item h="1" x="6016"/>
        <item h="1" x="6017"/>
        <item h="1" x="6018"/>
        <item h="1" x="6019"/>
        <item h="1" x="6020"/>
        <item h="1" x="6021"/>
        <item h="1" x="6022"/>
        <item h="1" x="6023"/>
        <item h="1" x="6024"/>
        <item h="1" x="6025"/>
        <item h="1" x="6026"/>
        <item h="1" x="6027"/>
        <item h="1" x="6028"/>
        <item h="1" x="6029"/>
        <item h="1" x="6030"/>
        <item h="1" x="6031"/>
        <item h="1" x="6032"/>
        <item h="1" x="6033"/>
        <item h="1" x="6034"/>
        <item h="1" x="6035"/>
        <item h="1" x="6036"/>
        <item h="1" x="6037"/>
        <item h="1" x="6038"/>
        <item h="1" x="6039"/>
        <item h="1" x="6040"/>
        <item h="1" x="6041"/>
        <item h="1" x="6042"/>
        <item h="1" x="6043"/>
        <item h="1" x="6044"/>
        <item h="1" x="6045"/>
        <item h="1" x="6046"/>
        <item h="1" x="6047"/>
        <item h="1" x="6048"/>
        <item h="1" x="6049"/>
        <item h="1" x="6050"/>
        <item h="1" x="6051"/>
        <item h="1" x="6052"/>
        <item h="1" x="6053"/>
        <item h="1" x="6054"/>
        <item h="1" x="6055"/>
        <item h="1" x="6056"/>
        <item h="1" x="6057"/>
        <item h="1" x="6058"/>
        <item h="1" x="6059"/>
        <item h="1" x="6060"/>
        <item h="1" x="6061"/>
        <item h="1" x="6062"/>
        <item h="1" x="6063"/>
        <item h="1" x="6064"/>
        <item h="1" x="6065"/>
        <item h="1" x="6066"/>
        <item h="1" x="6067"/>
        <item h="1" x="6068"/>
        <item h="1" x="6069"/>
        <item h="1" x="6070"/>
        <item h="1" x="6071"/>
        <item h="1" x="6072"/>
        <item h="1" x="6073"/>
        <item h="1" x="6074"/>
        <item h="1" x="6075"/>
        <item h="1" x="6076"/>
        <item h="1" x="6077"/>
        <item h="1" x="6078"/>
        <item h="1" x="6079"/>
        <item h="1" x="6080"/>
        <item h="1" x="6081"/>
        <item h="1" x="6082"/>
        <item h="1" x="6083"/>
        <item h="1" x="6084"/>
        <item h="1" x="6085"/>
        <item h="1" x="6086"/>
        <item h="1" x="6087"/>
        <item h="1" x="6088"/>
        <item h="1" x="6089"/>
        <item h="1" x="6090"/>
        <item h="1" x="6091"/>
        <item h="1" x="6092"/>
        <item h="1" x="6093"/>
        <item h="1" x="6094"/>
        <item h="1" x="6095"/>
        <item h="1" x="6096"/>
        <item h="1" x="6097"/>
        <item h="1" x="6098"/>
        <item h="1" x="6099"/>
        <item h="1" x="6100"/>
        <item h="1" x="6101"/>
        <item h="1" x="6102"/>
        <item h="1" x="6103"/>
        <item h="1" x="6104"/>
        <item h="1" x="6105"/>
        <item h="1" x="6106"/>
        <item h="1" x="6107"/>
        <item h="1" x="6108"/>
        <item h="1" x="6109"/>
        <item h="1" x="6110"/>
        <item h="1" x="6111"/>
        <item h="1" x="6112"/>
        <item h="1" x="6113"/>
        <item h="1" x="6114"/>
        <item h="1" x="6115"/>
        <item h="1" x="6116"/>
        <item h="1" x="6117"/>
        <item h="1" x="6118"/>
        <item h="1" x="6119"/>
        <item h="1" x="6120"/>
        <item h="1" x="6121"/>
        <item h="1" x="6122"/>
        <item h="1" x="6123"/>
        <item h="1" x="6124"/>
        <item h="1" x="6125"/>
        <item h="1" x="6126"/>
        <item h="1" x="6127"/>
        <item h="1" x="6128"/>
        <item h="1" x="6129"/>
        <item h="1" x="6130"/>
        <item h="1" x="6131"/>
        <item h="1" x="6132"/>
        <item h="1" x="6133"/>
        <item h="1" x="6134"/>
        <item h="1" x="6135"/>
        <item h="1" x="6136"/>
        <item h="1" x="6137"/>
        <item h="1" x="6138"/>
        <item h="1" x="6139"/>
        <item h="1" x="6140"/>
        <item h="1" x="6141"/>
        <item h="1" x="6142"/>
        <item h="1" x="6143"/>
        <item h="1" x="6144"/>
        <item h="1" x="6145"/>
        <item h="1" x="6146"/>
        <item h="1" x="6147"/>
        <item h="1" x="6148"/>
        <item h="1" x="6149"/>
        <item h="1" x="6150"/>
        <item h="1" x="6151"/>
        <item h="1" x="6152"/>
        <item h="1" x="6153"/>
        <item h="1" x="6154"/>
        <item h="1" x="6155"/>
        <item h="1" x="6156"/>
        <item h="1" x="6157"/>
        <item h="1" x="6158"/>
        <item h="1" x="6159"/>
        <item h="1" x="6160"/>
        <item h="1" x="6161"/>
        <item h="1" x="6162"/>
        <item h="1" x="6163"/>
        <item h="1" x="6164"/>
        <item h="1" x="6165"/>
        <item h="1" x="6166"/>
        <item h="1" x="6167"/>
        <item h="1" x="6168"/>
        <item h="1" x="6169"/>
        <item h="1" x="6170"/>
        <item h="1" x="6171"/>
        <item h="1" x="6172"/>
        <item h="1" x="6173"/>
        <item h="1" x="6174"/>
        <item h="1" x="6175"/>
        <item h="1" x="6176"/>
        <item h="1" x="6177"/>
        <item h="1" x="6178"/>
        <item h="1" x="6179"/>
        <item h="1" x="6180"/>
        <item h="1" x="6181"/>
        <item h="1" x="6182"/>
        <item h="1" x="6183"/>
        <item h="1" x="6184"/>
        <item h="1" x="6185"/>
        <item h="1" x="6186"/>
        <item h="1" x="6187"/>
        <item h="1" x="6188"/>
        <item h="1" x="6189"/>
        <item h="1" x="6190"/>
        <item h="1" x="6191"/>
        <item h="1" x="6192"/>
        <item h="1" x="6193"/>
        <item h="1" x="6194"/>
        <item h="1" x="6195"/>
        <item h="1" x="6196"/>
        <item h="1" x="6197"/>
        <item h="1" x="6198"/>
        <item h="1" x="6199"/>
        <item h="1" x="6200"/>
        <item h="1" x="6201"/>
        <item h="1" x="6202"/>
        <item h="1" x="6203"/>
        <item h="1" x="6204"/>
        <item h="1" x="6205"/>
        <item h="1" x="6206"/>
        <item h="1" x="6207"/>
        <item h="1" x="6208"/>
        <item h="1" x="6209"/>
        <item h="1" x="6210"/>
        <item h="1" x="6211"/>
        <item h="1" x="6212"/>
        <item h="1" x="6213"/>
        <item h="1" x="6214"/>
        <item h="1" x="6215"/>
        <item h="1" x="6216"/>
        <item h="1" x="6217"/>
        <item h="1" x="6218"/>
        <item h="1" x="6219"/>
        <item h="1" x="6220"/>
        <item h="1" x="6221"/>
        <item h="1" x="6222"/>
        <item h="1" x="6223"/>
        <item h="1" x="6224"/>
        <item h="1" x="6225"/>
        <item h="1" x="6226"/>
        <item h="1" x="6227"/>
        <item h="1" x="6228"/>
        <item h="1" x="6229"/>
        <item h="1" x="6230"/>
        <item h="1" x="6231"/>
        <item h="1" x="6232"/>
        <item h="1" x="6233"/>
        <item h="1" x="6234"/>
        <item h="1" x="6235"/>
        <item h="1" x="6236"/>
        <item h="1" x="6237"/>
        <item h="1" x="6238"/>
        <item h="1" x="6239"/>
        <item h="1" x="6240"/>
        <item h="1" x="6241"/>
        <item h="1" x="6242"/>
        <item h="1" x="6243"/>
        <item h="1" x="6244"/>
        <item h="1" x="6245"/>
        <item h="1" x="6246"/>
        <item h="1" x="6247"/>
        <item h="1" x="6248"/>
        <item h="1" x="6249"/>
        <item h="1" x="6250"/>
        <item h="1" x="6251"/>
        <item h="1" x="6252"/>
        <item h="1" x="6253"/>
        <item h="1" x="6254"/>
        <item h="1" x="6255"/>
        <item h="1" x="6256"/>
        <item h="1" x="6257"/>
        <item h="1" x="6258"/>
        <item h="1" x="6259"/>
        <item h="1" x="6260"/>
        <item h="1" x="6261"/>
        <item h="1" x="6262"/>
        <item h="1" x="6263"/>
        <item h="1" x="6264"/>
        <item h="1" x="6265"/>
        <item h="1" x="6266"/>
        <item h="1" x="6267"/>
        <item h="1" x="6268"/>
        <item h="1" x="6269"/>
        <item h="1" x="6270"/>
        <item h="1" x="6271"/>
        <item h="1" x="6272"/>
        <item h="1" x="6273"/>
        <item h="1" x="6274"/>
        <item h="1" x="6275"/>
        <item h="1" x="6276"/>
        <item h="1" x="6277"/>
        <item h="1" x="6278"/>
        <item h="1" x="6279"/>
        <item h="1" x="6280"/>
        <item h="1" x="6281"/>
        <item h="1" x="6282"/>
        <item h="1" x="6283"/>
        <item h="1" x="6284"/>
        <item h="1" x="6285"/>
        <item h="1" x="6286"/>
        <item h="1" x="6287"/>
        <item h="1" x="6288"/>
        <item h="1" x="6289"/>
        <item h="1" x="6290"/>
        <item h="1" x="6291"/>
        <item h="1" x="6292"/>
        <item h="1" x="6293"/>
        <item h="1" x="6294"/>
        <item h="1" x="6295"/>
        <item h="1" x="6296"/>
        <item h="1" x="6297"/>
        <item h="1" x="6298"/>
        <item h="1" x="6299"/>
        <item h="1" x="6300"/>
        <item h="1" x="6301"/>
        <item h="1" x="6302"/>
        <item h="1" x="6303"/>
        <item h="1" x="6304"/>
        <item h="1" x="6305"/>
        <item h="1" x="6306"/>
        <item h="1" x="6307"/>
        <item h="1" x="6308"/>
        <item h="1" x="6309"/>
        <item h="1" x="6310"/>
        <item h="1" x="6311"/>
        <item h="1" x="6312"/>
        <item h="1" x="6313"/>
        <item h="1" x="6314"/>
        <item h="1" x="6315"/>
        <item h="1" x="6316"/>
        <item h="1" x="6317"/>
        <item h="1" x="6318"/>
        <item h="1" x="6319"/>
        <item h="1" x="6320"/>
        <item h="1" x="6321"/>
        <item h="1" x="6322"/>
        <item h="1" x="6323"/>
        <item h="1" x="6324"/>
        <item h="1" x="6325"/>
        <item h="1" x="6326"/>
        <item h="1" x="6327"/>
        <item h="1" x="6328"/>
        <item h="1" x="6329"/>
        <item h="1" x="6330"/>
        <item h="1" x="6331"/>
        <item h="1" x="6332"/>
        <item h="1" x="6333"/>
        <item h="1" x="6334"/>
        <item h="1" x="6335"/>
        <item h="1" x="6336"/>
        <item h="1" x="6337"/>
        <item h="1" x="6338"/>
        <item h="1" x="6339"/>
        <item h="1" x="6340"/>
        <item h="1" x="6341"/>
        <item h="1" x="6342"/>
        <item h="1" x="6343"/>
        <item h="1" x="6344"/>
        <item h="1" x="6345"/>
        <item h="1" x="6346"/>
        <item h="1" x="6347"/>
        <item h="1" x="6348"/>
        <item h="1" x="6349"/>
        <item h="1" x="6350"/>
        <item h="1" x="6351"/>
        <item h="1" x="6352"/>
        <item h="1" x="6353"/>
        <item h="1" x="6354"/>
        <item h="1" x="6355"/>
        <item h="1" x="6356"/>
        <item h="1" x="6357"/>
        <item h="1" x="6358"/>
        <item h="1" x="6359"/>
        <item h="1" x="6360"/>
        <item h="1" x="6361"/>
        <item h="1" x="6362"/>
        <item h="1" x="6363"/>
        <item h="1" x="6364"/>
        <item h="1" x="6365"/>
        <item h="1" x="6366"/>
        <item h="1" x="6367"/>
        <item h="1" x="6368"/>
        <item h="1" x="6369"/>
        <item h="1" x="6370"/>
        <item h="1" x="6371"/>
        <item h="1" x="6372"/>
        <item h="1" x="6373"/>
        <item h="1" x="6374"/>
        <item h="1" x="6375"/>
        <item h="1" x="6376"/>
        <item h="1" x="6377"/>
        <item h="1" x="6378"/>
        <item h="1" x="6379"/>
        <item h="1" x="6380"/>
        <item h="1" x="6381"/>
        <item h="1" x="6382"/>
        <item h="1" x="6383"/>
        <item h="1" x="6384"/>
        <item h="1" x="6385"/>
        <item h="1" x="6386"/>
        <item h="1" x="6387"/>
        <item h="1" x="6388"/>
        <item h="1" x="6389"/>
        <item h="1" x="6390"/>
        <item h="1" x="6391"/>
        <item h="1" x="6392"/>
        <item h="1" x="6393"/>
        <item h="1" x="6394"/>
        <item h="1" x="6395"/>
        <item h="1" x="6396"/>
        <item h="1" x="6397"/>
        <item h="1" x="6398"/>
        <item h="1" x="6399"/>
        <item h="1" x="6400"/>
        <item h="1" x="6401"/>
        <item h="1" x="6402"/>
        <item h="1" x="6403"/>
        <item h="1" x="6404"/>
        <item h="1" x="6405"/>
        <item h="1" x="6406"/>
        <item h="1" x="6407"/>
        <item h="1" x="6408"/>
        <item h="1" x="6409"/>
        <item h="1" x="6410"/>
        <item h="1" x="6411"/>
        <item h="1" x="6412"/>
        <item h="1" x="6413"/>
        <item h="1" x="6414"/>
        <item h="1" x="6415"/>
        <item h="1" x="6416"/>
        <item h="1" x="6417"/>
        <item h="1" x="6418"/>
        <item h="1" x="6419"/>
        <item h="1" x="6420"/>
        <item h="1" x="6421"/>
        <item h="1" x="6422"/>
        <item h="1" x="6423"/>
        <item h="1" x="6424"/>
        <item h="1" x="6425"/>
        <item h="1" x="6426"/>
        <item h="1" x="6427"/>
        <item h="1" x="6428"/>
        <item h="1" x="6429"/>
        <item h="1" x="6430"/>
        <item h="1" x="6431"/>
        <item h="1" x="6432"/>
        <item h="1" x="6433"/>
        <item h="1" x="6434"/>
        <item h="1" x="6435"/>
        <item h="1" x="6436"/>
        <item h="1" x="6437"/>
        <item h="1" x="6438"/>
        <item h="1" x="6439"/>
        <item h="1" x="6440"/>
        <item h="1" x="6441"/>
        <item h="1" x="6442"/>
        <item h="1" x="6443"/>
        <item h="1" x="6444"/>
        <item h="1" x="6445"/>
        <item h="1" x="6446"/>
        <item h="1" x="6447"/>
        <item h="1" x="6448"/>
        <item h="1" x="6449"/>
        <item h="1" x="6450"/>
        <item h="1" x="6451"/>
        <item h="1" x="6452"/>
        <item h="1" x="6453"/>
        <item h="1" x="6454"/>
        <item h="1" x="6455"/>
        <item h="1" x="6456"/>
        <item h="1" x="6457"/>
        <item h="1" x="6458"/>
        <item h="1" x="6459"/>
        <item h="1" x="6460"/>
        <item h="1" x="6461"/>
        <item h="1" x="6462"/>
        <item h="1" x="6463"/>
        <item h="1" x="6464"/>
        <item h="1" x="6465"/>
        <item h="1" x="6466"/>
        <item h="1" x="6467"/>
        <item h="1" x="6468"/>
        <item h="1" x="6469"/>
        <item h="1" x="6470"/>
        <item h="1" x="6471"/>
        <item h="1" x="6472"/>
        <item h="1" x="6473"/>
        <item h="1" x="6474"/>
        <item h="1" x="6475"/>
        <item h="1" x="6476"/>
        <item h="1" x="6477"/>
        <item h="1" x="6478"/>
        <item h="1" x="6479"/>
        <item h="1" x="6480"/>
        <item h="1" x="6481"/>
        <item h="1" x="6482"/>
        <item h="1" x="6483"/>
        <item h="1" x="6484"/>
        <item h="1" x="6485"/>
        <item h="1" x="6486"/>
        <item h="1" x="6487"/>
        <item h="1" x="6488"/>
        <item h="1" x="6489"/>
        <item h="1" x="6490"/>
        <item h="1" x="6491"/>
        <item h="1" x="6492"/>
        <item h="1" x="6493"/>
        <item h="1" x="6494"/>
        <item h="1" x="6495"/>
        <item h="1" x="6496"/>
        <item h="1" x="6497"/>
        <item h="1" x="6498"/>
        <item h="1" x="6499"/>
        <item h="1" x="6500"/>
        <item h="1" x="6501"/>
        <item h="1" x="6502"/>
        <item h="1" x="6503"/>
        <item h="1" x="6504"/>
        <item h="1" x="6505"/>
        <item h="1" x="6506"/>
        <item h="1" x="6507"/>
        <item h="1" x="6508"/>
        <item h="1" x="6509"/>
        <item h="1" x="6510"/>
        <item h="1" x="6511"/>
        <item h="1" x="6512"/>
        <item h="1" x="6513"/>
        <item h="1" x="6514"/>
        <item h="1" x="6515"/>
        <item h="1" x="6516"/>
        <item h="1" x="6517"/>
        <item h="1" x="6518"/>
        <item h="1" x="6519"/>
        <item h="1" x="6520"/>
        <item h="1" x="6521"/>
        <item h="1" x="6522"/>
        <item h="1" x="6523"/>
        <item h="1" x="6524"/>
        <item h="1" x="6525"/>
        <item h="1" x="6526"/>
        <item h="1" x="6527"/>
        <item h="1" x="6528"/>
        <item h="1" x="6529"/>
        <item h="1" x="6530"/>
        <item h="1" x="6531"/>
        <item h="1" x="6532"/>
        <item h="1" x="6533"/>
        <item h="1" x="6534"/>
        <item h="1" x="6535"/>
        <item h="1" x="6536"/>
        <item h="1" x="6537"/>
        <item h="1" x="6538"/>
        <item h="1" x="6539"/>
        <item h="1" x="6540"/>
        <item h="1" x="6541"/>
        <item h="1" x="6542"/>
        <item h="1" x="6543"/>
        <item h="1" x="6544"/>
        <item h="1" x="6545"/>
        <item h="1" x="6546"/>
        <item h="1" x="6547"/>
        <item h="1" x="6548"/>
        <item h="1" x="6549"/>
        <item h="1" x="6550"/>
        <item h="1" x="6551"/>
        <item h="1" x="6552"/>
        <item h="1" x="6553"/>
        <item h="1" x="6554"/>
        <item h="1" x="6555"/>
        <item h="1" x="6556"/>
        <item h="1" x="6557"/>
        <item h="1" x="6558"/>
        <item h="1" x="6559"/>
        <item h="1" x="6560"/>
        <item h="1" x="6561"/>
        <item h="1" x="6562"/>
        <item h="1" x="6563"/>
        <item h="1" x="6564"/>
        <item h="1" x="6565"/>
        <item h="1" x="6566"/>
        <item h="1" x="6567"/>
        <item h="1" x="6568"/>
        <item h="1" x="6569"/>
        <item h="1" x="6570"/>
        <item h="1" x="6571"/>
        <item h="1" x="6572"/>
        <item h="1" x="6573"/>
        <item h="1" x="6574"/>
        <item h="1" x="6575"/>
        <item h="1" x="6576"/>
        <item h="1" x="6577"/>
        <item h="1" x="6578"/>
        <item h="1" x="6579"/>
        <item h="1" x="6580"/>
        <item h="1" x="6581"/>
        <item h="1" x="6582"/>
        <item h="1" x="6583"/>
        <item h="1" x="6584"/>
        <item h="1" x="6585"/>
        <item h="1" x="6586"/>
        <item h="1" x="6587"/>
        <item h="1" x="6588"/>
        <item h="1" x="6589"/>
        <item h="1" x="6590"/>
        <item h="1" x="6591"/>
        <item h="1" x="6592"/>
        <item h="1" x="6593"/>
        <item h="1" x="6594"/>
        <item h="1" x="6595"/>
        <item h="1" x="6596"/>
        <item h="1" x="6597"/>
        <item h="1" x="6598"/>
        <item h="1" x="6599"/>
        <item h="1" x="6600"/>
        <item h="1" x="6601"/>
        <item h="1" x="6602"/>
        <item h="1" x="6603"/>
        <item h="1" x="6604"/>
        <item h="1" x="6605"/>
        <item h="1" x="6606"/>
        <item h="1" x="6607"/>
        <item h="1" x="6608"/>
        <item h="1" x="6609"/>
        <item h="1" x="6610"/>
        <item h="1" x="6611"/>
        <item h="1" x="6612"/>
        <item h="1" x="6613"/>
        <item h="1" x="6614"/>
        <item h="1" x="6615"/>
        <item h="1" x="6616"/>
        <item h="1" x="6617"/>
        <item h="1" x="6618"/>
        <item h="1" x="6619"/>
        <item h="1" x="6620"/>
        <item h="1" x="6621"/>
        <item h="1" x="6622"/>
        <item h="1" x="6623"/>
        <item h="1" x="6624"/>
        <item h="1" x="6625"/>
        <item h="1" x="6626"/>
        <item h="1" x="6627"/>
        <item h="1" x="6628"/>
        <item h="1" x="6629"/>
        <item h="1" x="6630"/>
        <item h="1" x="6631"/>
        <item h="1" x="6632"/>
        <item h="1" x="6633"/>
        <item h="1" x="6634"/>
        <item h="1" x="6635"/>
        <item h="1" x="6636"/>
        <item h="1" x="6637"/>
        <item h="1" x="6638"/>
        <item h="1" x="6639"/>
        <item h="1" x="6640"/>
        <item h="1" x="6641"/>
        <item h="1" x="6642"/>
        <item h="1" x="6643"/>
        <item h="1" x="6644"/>
        <item h="1" x="6645"/>
        <item h="1" x="6646"/>
        <item h="1" x="6647"/>
        <item h="1" x="6648"/>
        <item h="1" x="6649"/>
        <item h="1" x="6650"/>
        <item h="1" x="6651"/>
        <item h="1" x="6652"/>
        <item h="1" x="6653"/>
        <item h="1" x="6654"/>
        <item h="1" x="6655"/>
        <item h="1" x="6656"/>
        <item h="1" x="6657"/>
        <item h="1" x="6658"/>
        <item h="1" x="6659"/>
        <item h="1" x="6660"/>
        <item h="1" x="6661"/>
        <item h="1" x="6662"/>
        <item h="1" x="6663"/>
        <item h="1" x="6664"/>
        <item h="1" x="6665"/>
        <item h="1" x="6666"/>
        <item h="1" x="6667"/>
        <item h="1" x="6668"/>
        <item h="1" x="6669"/>
        <item h="1" x="6670"/>
        <item h="1" x="6671"/>
        <item h="1" x="6672"/>
        <item h="1" x="6673"/>
        <item h="1" x="6674"/>
        <item h="1" x="6675"/>
        <item h="1" x="6676"/>
        <item h="1" x="6677"/>
        <item h="1" x="6678"/>
        <item h="1" x="6679"/>
        <item h="1" x="6680"/>
        <item h="1" x="6681"/>
        <item h="1" x="6682"/>
        <item h="1" x="6683"/>
        <item h="1" x="6684"/>
        <item h="1" x="6685"/>
        <item h="1" x="6686"/>
        <item h="1" x="6687"/>
        <item h="1" x="6688"/>
        <item h="1" x="6689"/>
        <item h="1" x="6690"/>
        <item h="1" x="6691"/>
        <item h="1" x="6692"/>
        <item h="1" x="6693"/>
        <item h="1" x="6694"/>
        <item h="1" x="6695"/>
        <item h="1" x="6696"/>
        <item h="1" x="6697"/>
        <item h="1" x="6698"/>
        <item h="1" x="6699"/>
        <item h="1" x="6700"/>
        <item h="1" x="6701"/>
        <item h="1" x="6702"/>
        <item h="1" x="6703"/>
        <item h="1" x="6704"/>
        <item h="1" x="6705"/>
        <item h="1" x="6706"/>
        <item h="1" x="6707"/>
        <item h="1" x="6708"/>
        <item h="1" x="6709"/>
        <item h="1" x="6710"/>
        <item h="1" x="6711"/>
        <item h="1" x="6712"/>
        <item h="1" x="6713"/>
        <item h="1" x="6714"/>
        <item h="1" x="6715"/>
        <item h="1" x="6716"/>
        <item h="1" x="6717"/>
        <item h="1" x="6718"/>
        <item h="1" x="6719"/>
        <item h="1" x="6720"/>
        <item h="1" x="6721"/>
        <item h="1" x="6722"/>
        <item h="1" x="6723"/>
        <item h="1" x="6724"/>
        <item h="1" x="6725"/>
        <item h="1" x="6726"/>
        <item h="1" x="6727"/>
        <item h="1" x="6728"/>
        <item h="1" x="6729"/>
        <item h="1" x="6730"/>
        <item h="1" x="6731"/>
        <item h="1" x="6732"/>
        <item h="1" x="6733"/>
        <item h="1" x="6734"/>
        <item h="1" x="6735"/>
        <item h="1" x="6736"/>
        <item h="1" x="6737"/>
        <item h="1" x="6738"/>
        <item h="1" x="6739"/>
        <item h="1" x="6740"/>
        <item h="1" x="6741"/>
        <item h="1" x="6742"/>
        <item h="1" x="6743"/>
        <item h="1" x="6744"/>
        <item h="1" x="6745"/>
        <item h="1" x="6746"/>
        <item h="1" x="6747"/>
        <item h="1" x="6748"/>
        <item h="1" x="6749"/>
        <item h="1" x="6750"/>
        <item h="1" x="6751"/>
        <item h="1" x="6752"/>
        <item h="1" x="6753"/>
        <item h="1" x="6754"/>
        <item h="1" x="6755"/>
        <item h="1" x="6756"/>
        <item h="1" x="6757"/>
        <item h="1" x="6758"/>
        <item h="1" x="6759"/>
        <item h="1" x="6760"/>
        <item h="1" x="6761"/>
        <item h="1" x="6762"/>
        <item h="1" x="6763"/>
        <item h="1" x="6764"/>
        <item h="1" x="6765"/>
        <item h="1" x="6766"/>
        <item h="1" x="6767"/>
        <item h="1" x="6768"/>
        <item h="1" x="6769"/>
        <item h="1" x="6770"/>
        <item h="1" x="6771"/>
        <item h="1" x="6772"/>
        <item h="1" x="6773"/>
        <item h="1" x="6774"/>
        <item h="1" x="6775"/>
        <item h="1" x="6776"/>
        <item h="1" x="6777"/>
        <item h="1" x="6778"/>
        <item h="1" x="6779"/>
        <item h="1" x="6780"/>
        <item h="1" x="6781"/>
        <item h="1" x="6782"/>
        <item h="1" x="6783"/>
        <item h="1" x="6784"/>
        <item h="1" x="6785"/>
        <item h="1" x="6786"/>
        <item h="1" x="6787"/>
        <item h="1" x="6788"/>
        <item h="1" x="6789"/>
        <item h="1" x="6790"/>
        <item h="1" x="6791"/>
        <item h="1" x="6792"/>
        <item h="1" x="6793"/>
        <item h="1" x="6794"/>
        <item h="1" x="6795"/>
        <item h="1" x="6796"/>
        <item h="1" x="6797"/>
        <item h="1" x="6798"/>
        <item h="1" x="6799"/>
        <item h="1" x="6800"/>
        <item h="1" x="6801"/>
        <item h="1" x="6802"/>
        <item h="1" x="6803"/>
        <item h="1" x="6804"/>
        <item h="1" x="6805"/>
        <item h="1" x="6806"/>
        <item h="1" x="6807"/>
        <item h="1" x="6808"/>
        <item h="1" x="6809"/>
        <item h="1" x="6810"/>
        <item h="1" x="6811"/>
        <item h="1" x="6812"/>
        <item h="1" x="6813"/>
        <item h="1" x="6814"/>
        <item h="1" x="6815"/>
        <item h="1" x="6816"/>
        <item h="1" x="6817"/>
        <item h="1" x="6818"/>
        <item h="1" x="6819"/>
        <item h="1" x="6820"/>
        <item h="1" x="6821"/>
        <item h="1" x="6822"/>
        <item h="1" x="6823"/>
        <item h="1" x="6824"/>
        <item h="1" x="6825"/>
        <item h="1" x="6826"/>
        <item h="1" x="6827"/>
        <item h="1" x="6828"/>
        <item h="1" x="6829"/>
        <item h="1" x="6830"/>
        <item h="1" x="6831"/>
        <item h="1" x="6832"/>
        <item h="1" x="6833"/>
        <item h="1" x="6834"/>
        <item h="1" x="6835"/>
        <item h="1" x="6836"/>
        <item h="1" x="6837"/>
        <item h="1" x="6838"/>
        <item h="1" x="6839"/>
        <item h="1" x="6840"/>
        <item h="1" x="6841"/>
        <item h="1" x="6842"/>
        <item h="1" x="6843"/>
        <item h="1" x="6844"/>
        <item h="1" x="6845"/>
        <item h="1" x="6846"/>
        <item h="1" x="6847"/>
        <item h="1" x="6848"/>
        <item h="1" x="6849"/>
        <item h="1" x="6850"/>
        <item h="1" x="6851"/>
        <item h="1" x="6852"/>
        <item h="1" x="6853"/>
        <item h="1" x="6854"/>
        <item h="1" x="6855"/>
        <item h="1" x="6856"/>
        <item h="1" x="6857"/>
        <item h="1" x="6858"/>
        <item h="1" x="6859"/>
        <item h="1" x="6860"/>
        <item h="1" x="6861"/>
        <item h="1" x="6862"/>
        <item h="1" x="6863"/>
        <item h="1" x="6864"/>
        <item h="1" x="6865"/>
        <item h="1" x="6866"/>
        <item h="1" x="6867"/>
        <item h="1" x="6868"/>
        <item h="1" x="6869"/>
        <item h="1" x="6870"/>
        <item h="1" x="6871"/>
        <item h="1" x="6872"/>
        <item h="1" x="6873"/>
        <item h="1" x="6874"/>
        <item h="1" x="6875"/>
        <item h="1" x="6876"/>
        <item h="1" x="6877"/>
        <item h="1" x="6878"/>
        <item h="1" x="6879"/>
        <item h="1" x="6880"/>
        <item h="1" x="6881"/>
        <item h="1" x="6882"/>
        <item h="1" x="6883"/>
        <item h="1" x="6884"/>
        <item h="1" x="6885"/>
        <item h="1" x="6886"/>
        <item h="1" x="6887"/>
        <item h="1" x="6888"/>
        <item h="1" x="6889"/>
        <item h="1" x="6890"/>
        <item h="1" x="6891"/>
        <item h="1" x="6892"/>
        <item h="1" x="6893"/>
        <item h="1" x="6894"/>
        <item h="1" x="6895"/>
        <item h="1" x="6896"/>
        <item h="1" x="6897"/>
        <item h="1" x="6898"/>
        <item h="1" x="6899"/>
        <item h="1" x="6900"/>
        <item h="1" x="6901"/>
        <item h="1" x="6902"/>
        <item h="1" x="6903"/>
        <item h="1" x="6904"/>
        <item h="1" x="6905"/>
        <item h="1" x="6906"/>
        <item h="1" x="6907"/>
        <item h="1" x="6908"/>
        <item h="1" x="6909"/>
        <item h="1" x="6910"/>
        <item h="1" x="6911"/>
        <item h="1" x="6912"/>
        <item h="1" x="6913"/>
        <item h="1" x="6914"/>
        <item h="1" x="6915"/>
        <item h="1" x="6916"/>
        <item h="1" x="6917"/>
        <item h="1" x="6918"/>
        <item h="1" x="6919"/>
        <item h="1" x="6920"/>
        <item h="1" x="6921"/>
        <item h="1" x="6922"/>
        <item h="1" x="6923"/>
        <item h="1" x="6924"/>
        <item h="1" x="6925"/>
        <item h="1" x="6926"/>
        <item h="1" x="6927"/>
        <item h="1" x="6928"/>
        <item h="1" x="6929"/>
        <item h="1" x="6930"/>
        <item h="1" x="6931"/>
        <item h="1" x="6932"/>
        <item h="1" x="6933"/>
        <item h="1" x="6934"/>
        <item h="1" x="6935"/>
        <item h="1" x="6936"/>
        <item h="1" x="6937"/>
        <item h="1" x="6938"/>
        <item h="1" x="6939"/>
        <item h="1" x="6940"/>
        <item h="1" x="6941"/>
        <item h="1" x="6942"/>
        <item h="1" x="6943"/>
        <item h="1" x="6944"/>
        <item h="1" x="6945"/>
        <item h="1" x="6946"/>
        <item h="1" x="6947"/>
        <item h="1" x="6948"/>
        <item h="1" x="6949"/>
        <item h="1" x="6950"/>
        <item h="1" x="6951"/>
        <item h="1" x="6952"/>
        <item h="1" x="6953"/>
        <item h="1" x="6954"/>
        <item h="1" x="6955"/>
        <item h="1" x="6956"/>
        <item h="1" x="6957"/>
        <item h="1" x="6958"/>
        <item h="1" x="6959"/>
        <item h="1" x="6960"/>
        <item h="1" x="6961"/>
        <item h="1" x="6962"/>
        <item h="1" x="6963"/>
        <item h="1" x="6964"/>
        <item h="1" x="6965"/>
        <item h="1" x="6966"/>
        <item h="1" x="6967"/>
        <item h="1" x="6968"/>
        <item h="1" x="6969"/>
        <item h="1" x="6970"/>
        <item h="1" x="6971"/>
        <item h="1" x="6972"/>
        <item h="1" x="6973"/>
        <item h="1" x="6974"/>
        <item h="1" x="6975"/>
        <item h="1" x="6976"/>
        <item h="1" x="6977"/>
        <item h="1" x="6978"/>
        <item h="1" x="6979"/>
        <item h="1" x="6980"/>
        <item h="1" x="6981"/>
        <item h="1" x="6982"/>
        <item h="1" x="6983"/>
        <item h="1" x="6984"/>
        <item h="1" x="6985"/>
        <item h="1" x="6986"/>
        <item h="1" x="6987"/>
        <item h="1" x="6988"/>
        <item h="1" x="6989"/>
        <item h="1" x="6990"/>
        <item h="1" x="6991"/>
        <item h="1" x="6992"/>
        <item h="1" x="6993"/>
        <item h="1" x="6994"/>
        <item h="1" x="6995"/>
        <item h="1" x="6996"/>
        <item h="1" x="6997"/>
        <item h="1" x="6998"/>
        <item h="1" x="6999"/>
        <item h="1" x="7000"/>
        <item h="1" x="7001"/>
        <item h="1" x="7002"/>
        <item h="1" x="7003"/>
        <item h="1" x="7004"/>
        <item h="1" x="7005"/>
        <item h="1" x="7006"/>
        <item h="1" x="7007"/>
        <item h="1" x="7008"/>
        <item h="1" x="7009"/>
        <item h="1" x="7010"/>
        <item h="1" x="7011"/>
        <item h="1" x="7012"/>
        <item h="1" x="7013"/>
        <item h="1" x="7014"/>
        <item h="1" x="7015"/>
        <item h="1" x="7016"/>
        <item h="1" x="7017"/>
        <item h="1" x="7018"/>
        <item h="1" x="7019"/>
        <item h="1" x="7020"/>
        <item h="1" x="7021"/>
        <item h="1" x="7022"/>
        <item h="1" x="7023"/>
        <item h="1" x="7024"/>
        <item h="1" x="7025"/>
        <item h="1" x="7026"/>
        <item h="1" x="7027"/>
        <item h="1" x="7028"/>
        <item h="1" x="7029"/>
        <item h="1" x="7030"/>
        <item h="1" x="7031"/>
        <item h="1" x="7032"/>
        <item h="1" x="7033"/>
        <item h="1" x="7034"/>
        <item h="1" x="7035"/>
        <item h="1" x="7036"/>
        <item h="1" x="7037"/>
        <item h="1" x="7038"/>
        <item h="1" x="7039"/>
        <item h="1" x="7040"/>
        <item h="1" x="7041"/>
        <item h="1" x="7042"/>
        <item h="1" x="7043"/>
        <item h="1" x="7044"/>
        <item h="1" x="7045"/>
        <item h="1" x="7046"/>
        <item h="1" x="7047"/>
        <item h="1" x="7048"/>
        <item h="1" x="7049"/>
        <item h="1" x="7050"/>
        <item h="1" x="7051"/>
        <item h="1" x="7052"/>
        <item h="1" x="7053"/>
        <item h="1" x="7054"/>
        <item h="1" x="7055"/>
        <item h="1" x="7056"/>
        <item h="1" x="7057"/>
        <item h="1" x="7058"/>
        <item h="1" x="7059"/>
        <item h="1" x="7060"/>
        <item h="1" x="7061"/>
        <item h="1" x="7062"/>
        <item h="1" x="7063"/>
        <item h="1" x="7064"/>
        <item h="1" x="7065"/>
        <item h="1" x="7066"/>
        <item h="1" x="7067"/>
        <item h="1" x="7068"/>
        <item h="1" x="7069"/>
        <item h="1" x="7070"/>
        <item h="1" x="7071"/>
        <item h="1" x="7072"/>
        <item h="1" x="7073"/>
        <item h="1" x="7074"/>
        <item h="1" x="7075"/>
        <item h="1" x="7076"/>
        <item h="1" x="7077"/>
        <item h="1" x="7078"/>
        <item h="1" x="7079"/>
        <item h="1" x="7080"/>
        <item h="1" x="7081"/>
        <item h="1" x="7082"/>
        <item h="1" x="7083"/>
        <item h="1" x="7084"/>
        <item h="1" x="7085"/>
        <item h="1" x="7086"/>
        <item h="1" x="7087"/>
        <item h="1" x="7088"/>
        <item h="1" x="7089"/>
        <item h="1" x="7090"/>
        <item h="1" x="7091"/>
        <item h="1" x="7092"/>
        <item h="1" x="7093"/>
        <item h="1" x="7094"/>
        <item h="1" x="7095"/>
        <item h="1" x="7096"/>
        <item h="1" x="7097"/>
        <item h="1" x="7098"/>
        <item h="1" x="7099"/>
        <item h="1" x="7100"/>
        <item h="1" x="7101"/>
        <item h="1" x="7102"/>
        <item h="1" x="7103"/>
        <item h="1" x="7104"/>
        <item h="1" x="7105"/>
        <item h="1" x="7106"/>
        <item h="1" x="7107"/>
        <item h="1" x="7108"/>
        <item h="1" x="7109"/>
        <item h="1" x="7110"/>
        <item h="1" x="7111"/>
        <item h="1" x="7112"/>
        <item h="1" x="7113"/>
        <item h="1" x="7114"/>
        <item h="1" x="7115"/>
        <item h="1" x="7116"/>
        <item h="1" x="7117"/>
        <item h="1" x="7118"/>
        <item h="1" x="7119"/>
        <item h="1" x="7120"/>
        <item h="1" x="7121"/>
        <item h="1" x="7122"/>
        <item h="1" x="7123"/>
        <item h="1" x="7124"/>
        <item h="1" x="7125"/>
        <item h="1" x="7126"/>
        <item h="1" x="7127"/>
        <item h="1" x="7128"/>
        <item h="1" x="7129"/>
        <item h="1" x="7130"/>
        <item h="1" x="7131"/>
        <item h="1" x="7132"/>
        <item h="1" x="7133"/>
        <item h="1" x="7134"/>
        <item h="1" x="7135"/>
        <item h="1" x="7136"/>
        <item h="1" x="7137"/>
        <item h="1" x="7138"/>
        <item h="1" x="7139"/>
        <item h="1" x="7140"/>
        <item h="1" x="7141"/>
        <item h="1" x="7142"/>
        <item h="1" x="7143"/>
        <item h="1" x="7144"/>
        <item h="1" x="7145"/>
        <item h="1" x="7146"/>
        <item h="1" x="7147"/>
        <item h="1" x="7148"/>
        <item h="1" x="7149"/>
        <item h="1" x="7150"/>
        <item h="1" x="7151"/>
        <item h="1" x="7152"/>
        <item h="1" x="7153"/>
        <item h="1" x="7154"/>
        <item h="1" x="7155"/>
        <item h="1" x="7156"/>
        <item h="1" x="7157"/>
        <item h="1" x="7158"/>
        <item h="1" x="7159"/>
        <item h="1" x="7160"/>
        <item h="1" x="7161"/>
        <item h="1" x="7162"/>
        <item h="1" x="7163"/>
        <item h="1" x="7164"/>
        <item h="1" x="7165"/>
        <item h="1" x="7166"/>
        <item h="1" x="7167"/>
        <item h="1" x="7168"/>
        <item h="1" x="7169"/>
        <item h="1" x="7170"/>
        <item h="1" x="7171"/>
        <item h="1" x="7172"/>
        <item h="1" x="7173"/>
        <item h="1" x="7174"/>
        <item h="1" x="7175"/>
        <item h="1" x="7176"/>
        <item h="1" x="7177"/>
        <item h="1" x="7178"/>
        <item h="1" x="7179"/>
        <item h="1" x="7180"/>
        <item h="1" x="7181"/>
        <item h="1" x="7182"/>
        <item h="1" x="7183"/>
        <item h="1" x="7184"/>
        <item h="1" x="7185"/>
        <item h="1" x="7186"/>
        <item h="1" x="7187"/>
        <item h="1" x="7188"/>
        <item h="1" x="7189"/>
        <item h="1" x="7190"/>
        <item h="1" x="7191"/>
        <item h="1" x="7192"/>
        <item h="1" x="7193"/>
        <item h="1" x="7194"/>
        <item h="1" x="7195"/>
        <item h="1" x="7196"/>
        <item h="1" x="7197"/>
        <item h="1" x="7198"/>
        <item h="1" x="7199"/>
        <item h="1" x="7200"/>
        <item h="1" x="7201"/>
        <item h="1" x="7202"/>
        <item h="1" x="7203"/>
        <item h="1" x="7204"/>
        <item h="1" x="7205"/>
        <item h="1" x="7206"/>
        <item h="1" x="7207"/>
        <item h="1" x="7208"/>
        <item h="1" x="7209"/>
        <item h="1" x="7210"/>
        <item h="1" x="7211"/>
        <item h="1" x="7212"/>
        <item h="1" x="7213"/>
        <item h="1" x="7214"/>
        <item h="1" x="7215"/>
        <item h="1" x="7216"/>
        <item h="1" x="7217"/>
        <item h="1" x="7218"/>
        <item h="1" x="7219"/>
        <item h="1" x="7220"/>
        <item h="1" x="7221"/>
        <item h="1" x="7222"/>
        <item h="1" x="7223"/>
        <item h="1" x="7224"/>
        <item h="1" x="7225"/>
        <item h="1" x="7226"/>
        <item h="1" x="7227"/>
        <item h="1" x="7228"/>
        <item h="1" x="7229"/>
        <item h="1" x="7230"/>
        <item h="1" x="7231"/>
        <item h="1" x="7232"/>
        <item h="1" x="7233"/>
        <item h="1" x="7234"/>
        <item h="1" x="7235"/>
        <item h="1" x="7236"/>
        <item h="1" x="7237"/>
        <item h="1" x="7238"/>
        <item h="1" x="7239"/>
        <item h="1" x="7240"/>
        <item h="1" x="7241"/>
        <item h="1" x="7242"/>
        <item h="1" x="7243"/>
        <item h="1" x="7244"/>
        <item h="1" x="7245"/>
        <item h="1" x="7246"/>
        <item h="1" x="7247"/>
        <item h="1" x="7248"/>
        <item h="1" x="7249"/>
        <item h="1" x="7250"/>
        <item h="1" x="7251"/>
        <item h="1" x="7252"/>
        <item h="1" x="7253"/>
        <item h="1" x="7254"/>
        <item h="1" x="7255"/>
        <item h="1" x="7256"/>
        <item h="1" x="7257"/>
        <item h="1" x="7258"/>
        <item h="1" x="7259"/>
        <item h="1" x="7260"/>
        <item h="1" x="7261"/>
        <item h="1" x="7262"/>
        <item h="1" x="7263"/>
        <item h="1" x="7264"/>
        <item h="1" x="7265"/>
        <item h="1" x="7266"/>
        <item h="1" x="7267"/>
        <item h="1" x="7268"/>
        <item h="1" x="7269"/>
        <item h="1" x="7270"/>
        <item h="1" x="7271"/>
        <item h="1" x="7272"/>
        <item h="1" x="7273"/>
        <item h="1" x="7274"/>
        <item h="1" x="7275"/>
        <item h="1" x="7276"/>
        <item h="1" x="7277"/>
        <item h="1" x="7278"/>
        <item h="1" x="7279"/>
        <item h="1" x="7280"/>
        <item h="1" x="7281"/>
        <item h="1" x="7282"/>
        <item h="1" x="7283"/>
        <item h="1" x="7284"/>
        <item h="1" x="7285"/>
        <item h="1" x="7286"/>
        <item h="1" x="7287"/>
        <item h="1" x="7288"/>
        <item h="1" x="7289"/>
        <item h="1" x="7290"/>
        <item h="1" x="7291"/>
        <item h="1" x="7292"/>
        <item h="1" x="7293"/>
        <item h="1" x="7294"/>
        <item h="1" x="7295"/>
        <item h="1" x="7296"/>
        <item h="1" x="7297"/>
        <item h="1" x="7298"/>
        <item h="1" x="7299"/>
        <item h="1" x="7300"/>
        <item h="1" x="7301"/>
        <item h="1" x="7302"/>
        <item h="1" x="7303"/>
        <item h="1" x="7304"/>
        <item h="1" x="7305"/>
        <item h="1" x="7306"/>
        <item h="1" x="7307"/>
        <item h="1" x="7308"/>
        <item h="1" x="7309"/>
        <item h="1" x="7310"/>
        <item h="1" x="7311"/>
        <item h="1" x="7312"/>
        <item h="1" x="7313"/>
        <item h="1" x="7314"/>
        <item h="1" x="7315"/>
        <item h="1" x="7316"/>
        <item h="1" x="7317"/>
        <item h="1" x="7318"/>
        <item h="1" x="7319"/>
        <item h="1" x="7320"/>
        <item h="1" x="7321"/>
        <item h="1" x="7322"/>
        <item h="1" x="7323"/>
        <item h="1" x="7324"/>
        <item h="1" x="7325"/>
        <item h="1" x="7326"/>
        <item h="1" x="7327"/>
        <item h="1" x="7328"/>
        <item h="1" x="7329"/>
        <item h="1" x="7330"/>
        <item h="1" x="7331"/>
        <item h="1" x="7332"/>
        <item h="1" x="7333"/>
        <item h="1" x="7334"/>
        <item h="1" x="7335"/>
        <item h="1" x="7336"/>
        <item h="1" x="7337"/>
        <item h="1" x="7338"/>
        <item h="1" x="7339"/>
        <item h="1" x="7340"/>
        <item h="1" x="7341"/>
        <item h="1" x="7342"/>
        <item h="1" x="7343"/>
        <item h="1" x="7344"/>
        <item h="1" x="7345"/>
        <item h="1" x="7346"/>
        <item h="1" x="7347"/>
        <item h="1" x="7348"/>
        <item h="1" x="7349"/>
        <item h="1" x="7350"/>
        <item h="1" x="7351"/>
        <item h="1" x="7352"/>
        <item h="1" x="7353"/>
        <item h="1" x="7354"/>
        <item h="1" x="7355"/>
        <item h="1" x="7356"/>
        <item h="1" x="7357"/>
        <item h="1" x="7358"/>
        <item h="1" x="7359"/>
        <item h="1" x="7360"/>
        <item h="1" x="7361"/>
        <item h="1" x="7362"/>
        <item h="1" x="7363"/>
        <item h="1" x="7364"/>
        <item h="1" x="7365"/>
        <item h="1" x="7366"/>
        <item h="1" x="7367"/>
        <item h="1" x="7368"/>
        <item h="1" x="7369"/>
        <item h="1" x="7370"/>
        <item h="1" x="7371"/>
        <item h="1" x="7372"/>
        <item h="1" x="7373"/>
        <item h="1" x="7374"/>
        <item h="1" x="7375"/>
        <item h="1" x="7376"/>
        <item h="1" x="7377"/>
        <item h="1" x="7378"/>
        <item h="1" x="7379"/>
        <item h="1" x="7380"/>
        <item h="1" x="7381"/>
        <item h="1" x="7382"/>
        <item h="1" x="7383"/>
        <item h="1" x="7384"/>
        <item h="1" x="7385"/>
        <item h="1" x="7386"/>
        <item h="1" x="7387"/>
        <item h="1" x="7388"/>
        <item h="1" x="7389"/>
        <item h="1" x="7390"/>
        <item h="1" x="7391"/>
        <item h="1" x="7392"/>
        <item h="1" x="7393"/>
        <item h="1" x="7394"/>
        <item h="1" x="7395"/>
        <item h="1" x="7396"/>
        <item h="1" x="7397"/>
        <item h="1" x="7398"/>
        <item h="1" x="7399"/>
        <item h="1" x="7400"/>
        <item h="1" x="7401"/>
        <item h="1" x="7402"/>
        <item h="1" x="7403"/>
        <item h="1" x="7404"/>
        <item h="1" x="7405"/>
        <item h="1" x="7406"/>
        <item h="1" x="7407"/>
        <item h="1" x="7408"/>
        <item h="1" x="7409"/>
        <item h="1" x="7410"/>
        <item h="1" x="7411"/>
        <item h="1" x="7412"/>
        <item h="1" x="7413"/>
        <item h="1" x="7414"/>
        <item h="1" x="7415"/>
        <item h="1" x="7416"/>
        <item h="1" x="7417"/>
        <item h="1" x="7418"/>
        <item h="1" x="7419"/>
        <item h="1" x="7420"/>
        <item h="1" x="7421"/>
        <item h="1" x="7422"/>
        <item h="1" x="7423"/>
        <item h="1" x="7424"/>
        <item h="1" x="7425"/>
        <item h="1" x="7426"/>
        <item h="1" x="7427"/>
        <item h="1" x="7428"/>
        <item h="1" x="7429"/>
        <item h="1" x="7430"/>
        <item h="1" x="7431"/>
        <item h="1" x="7432"/>
        <item h="1" x="7433"/>
        <item h="1" x="7434"/>
        <item h="1" x="7435"/>
        <item h="1" x="7436"/>
        <item h="1" x="7437"/>
        <item h="1" x="7438"/>
        <item h="1" x="7439"/>
        <item h="1" x="7440"/>
        <item h="1" x="7441"/>
        <item h="1" x="7442"/>
        <item h="1" x="7443"/>
        <item h="1" x="7444"/>
        <item h="1" x="7445"/>
        <item h="1" x="7446"/>
        <item h="1" x="7447"/>
        <item h="1" x="7448"/>
        <item h="1" x="7449"/>
        <item h="1" x="7450"/>
        <item h="1" x="7451"/>
        <item h="1" x="7452"/>
        <item h="1" x="7453"/>
        <item h="1" x="7454"/>
        <item h="1" x="7455"/>
        <item h="1" x="7456"/>
        <item h="1" x="7457"/>
        <item h="1" x="7458"/>
        <item h="1" x="7459"/>
        <item h="1" x="7460"/>
        <item h="1" x="7461"/>
        <item h="1" x="7462"/>
        <item h="1" x="7463"/>
        <item h="1" x="7464"/>
        <item h="1" x="7465"/>
        <item h="1" x="7466"/>
        <item h="1" x="7467"/>
        <item h="1" x="7468"/>
        <item h="1" x="7469"/>
        <item h="1" x="7470"/>
        <item h="1" x="7471"/>
        <item h="1" x="7472"/>
        <item h="1" x="7473"/>
        <item h="1" x="7474"/>
        <item h="1" x="7475"/>
        <item h="1" x="7476"/>
        <item h="1" x="7477"/>
        <item h="1" x="7478"/>
        <item h="1" x="7479"/>
        <item h="1" x="7480"/>
        <item h="1" x="7481"/>
        <item h="1" x="7482"/>
        <item h="1" x="7483"/>
        <item h="1" x="7484"/>
        <item h="1" x="7485"/>
        <item h="1" x="7486"/>
        <item h="1" x="7487"/>
        <item h="1" x="7488"/>
        <item h="1" x="7489"/>
        <item h="1" x="7490"/>
        <item h="1" x="7491"/>
        <item h="1" x="7492"/>
        <item h="1" x="7493"/>
        <item h="1" x="7494"/>
        <item h="1" x="7495"/>
        <item h="1" x="7496"/>
        <item h="1" x="7497"/>
        <item h="1" x="7498"/>
        <item h="1" x="7499"/>
        <item h="1" x="7500"/>
        <item h="1" x="7501"/>
        <item h="1" x="7502"/>
        <item h="1" x="7503"/>
        <item h="1" x="7504"/>
        <item h="1" x="7505"/>
        <item h="1" x="7506"/>
        <item h="1" x="7507"/>
        <item h="1" x="7508"/>
        <item h="1" x="7509"/>
        <item h="1" x="7510"/>
        <item h="1" x="7511"/>
        <item h="1" x="7512"/>
        <item h="1" x="7513"/>
        <item h="1" x="7514"/>
        <item h="1" x="7515"/>
        <item h="1" x="7516"/>
        <item h="1" x="7517"/>
        <item h="1" x="7518"/>
        <item h="1" x="7519"/>
        <item h="1" x="7520"/>
        <item h="1" x="7521"/>
        <item h="1" x="7522"/>
        <item h="1" x="7523"/>
        <item h="1" x="7524"/>
        <item h="1" x="7525"/>
        <item h="1" x="7526"/>
        <item h="1" x="7527"/>
        <item h="1" x="7528"/>
        <item h="1" x="7529"/>
        <item h="1" x="7530"/>
        <item h="1" x="7531"/>
        <item h="1" x="7532"/>
        <item h="1" x="7533"/>
        <item h="1" x="7534"/>
        <item h="1" x="7535"/>
        <item h="1" x="7536"/>
        <item h="1" x="7537"/>
        <item h="1" x="7538"/>
        <item h="1" x="7539"/>
        <item h="1" x="7540"/>
        <item h="1" x="7541"/>
        <item h="1" x="7542"/>
        <item h="1" x="7543"/>
        <item h="1" x="7544"/>
        <item h="1" x="7545"/>
        <item h="1" x="7546"/>
        <item h="1" x="7547"/>
        <item h="1" x="7548"/>
        <item h="1" x="7549"/>
        <item h="1" x="7550"/>
        <item h="1" x="7551"/>
        <item h="1" x="7552"/>
        <item h="1" x="7553"/>
        <item h="1" x="7554"/>
        <item h="1" x="7555"/>
        <item h="1" x="7556"/>
        <item h="1" x="7557"/>
        <item h="1" x="7558"/>
        <item h="1" x="7559"/>
        <item h="1" x="7560"/>
        <item h="1" x="7561"/>
        <item h="1" x="7562"/>
        <item h="1" x="7563"/>
        <item h="1" x="7564"/>
        <item h="1" x="7565"/>
        <item h="1" x="7566"/>
        <item h="1" x="7567"/>
        <item h="1" x="7568"/>
        <item h="1" x="7569"/>
        <item h="1" x="7570"/>
        <item h="1" x="7571"/>
        <item h="1" x="7572"/>
        <item h="1" x="7573"/>
        <item h="1" x="7574"/>
        <item h="1" x="7575"/>
        <item h="1" x="7576"/>
        <item h="1" x="7577"/>
        <item h="1" x="7578"/>
        <item h="1" x="7579"/>
        <item h="1" x="7580"/>
        <item h="1" x="7581"/>
        <item h="1" x="7582"/>
        <item h="1" x="7583"/>
        <item h="1" x="7584"/>
        <item h="1" x="7585"/>
        <item h="1" x="7586"/>
        <item h="1" x="7587"/>
        <item h="1" x="7588"/>
        <item h="1" x="7589"/>
        <item h="1" x="7590"/>
        <item h="1" x="7591"/>
        <item h="1" x="7592"/>
        <item h="1" x="7593"/>
        <item h="1" x="7594"/>
        <item h="1" x="7595"/>
        <item h="1" x="7596"/>
        <item h="1" x="7597"/>
        <item h="1" x="7598"/>
        <item h="1" x="7599"/>
        <item h="1" x="7600"/>
        <item h="1" x="7601"/>
        <item h="1" x="7602"/>
        <item h="1" x="7603"/>
        <item h="1" x="7604"/>
        <item h="1" x="7605"/>
        <item h="1" x="7606"/>
        <item h="1" x="7607"/>
        <item h="1" x="7608"/>
        <item h="1" x="7609"/>
        <item h="1" x="7610"/>
        <item h="1" x="7611"/>
        <item h="1" x="7612"/>
        <item h="1" x="7613"/>
        <item h="1" x="7614"/>
        <item h="1" x="7615"/>
        <item h="1" x="7616"/>
        <item h="1" x="7617"/>
        <item h="1" x="7618"/>
        <item h="1" x="7619"/>
        <item h="1" x="7620"/>
        <item h="1" x="7621"/>
        <item h="1" x="7622"/>
        <item h="1" x="7623"/>
        <item h="1" x="7624"/>
        <item h="1" x="7625"/>
        <item h="1" x="7626"/>
        <item h="1" x="7627"/>
        <item h="1" x="7628"/>
        <item h="1" x="7629"/>
        <item h="1" x="7630"/>
        <item h="1" x="7631"/>
        <item h="1" x="7632"/>
        <item h="1" x="7633"/>
        <item h="1" x="7634"/>
        <item h="1" x="7635"/>
        <item h="1" x="7636"/>
        <item h="1" x="7637"/>
        <item h="1" x="7638"/>
        <item h="1" x="7639"/>
        <item h="1" x="7640"/>
        <item h="1" x="7641"/>
        <item h="1" x="7642"/>
        <item h="1" x="7643"/>
        <item h="1" x="7644"/>
        <item h="1" x="7645"/>
        <item h="1" x="7646"/>
        <item h="1" x="7647"/>
        <item h="1" x="7648"/>
        <item h="1" x="7649"/>
        <item h="1" x="7650"/>
        <item h="1" x="7651"/>
        <item h="1" x="7652"/>
        <item h="1" x="7653"/>
        <item h="1" x="7654"/>
        <item h="1" x="7655"/>
        <item h="1" x="7656"/>
        <item h="1" x="7657"/>
        <item h="1" x="7658"/>
        <item h="1" x="7659"/>
        <item h="1" x="7660"/>
        <item h="1" x="7661"/>
        <item h="1" x="7662"/>
        <item h="1" x="7663"/>
        <item h="1" x="7664"/>
        <item h="1" x="7665"/>
        <item h="1" x="7666"/>
        <item h="1" x="7667"/>
        <item h="1" x="7668"/>
        <item h="1" x="7669"/>
        <item h="1" x="7670"/>
        <item h="1" x="7671"/>
        <item h="1" x="7672"/>
        <item h="1" x="7673"/>
        <item h="1" x="7674"/>
        <item h="1" x="7675"/>
        <item h="1" x="7676"/>
        <item h="1" x="7677"/>
        <item h="1" x="7678"/>
        <item h="1" x="7679"/>
        <item h="1" x="7680"/>
        <item h="1" x="7681"/>
        <item h="1" x="7682"/>
        <item h="1" x="7683"/>
        <item h="1" x="7684"/>
        <item h="1" x="7685"/>
        <item h="1" x="7686"/>
        <item h="1" x="7687"/>
        <item h="1" x="7688"/>
        <item h="1" x="7689"/>
        <item h="1" x="7690"/>
        <item h="1" x="7691"/>
        <item h="1" x="7692"/>
        <item h="1" x="7693"/>
        <item h="1" x="7694"/>
        <item h="1" x="7695"/>
        <item h="1" x="7696"/>
        <item h="1" x="7697"/>
        <item h="1" x="7698"/>
        <item h="1" x="7699"/>
        <item h="1" x="7700"/>
        <item h="1" x="7701"/>
        <item h="1" x="7702"/>
        <item h="1" x="7703"/>
        <item h="1" x="7704"/>
        <item h="1" x="7705"/>
        <item h="1" x="7706"/>
        <item h="1" x="7707"/>
        <item h="1" x="7708"/>
        <item h="1" x="7709"/>
        <item h="1" x="7710"/>
        <item h="1" x="7711"/>
        <item h="1" x="7712"/>
        <item h="1" x="7713"/>
        <item h="1" x="7714"/>
        <item h="1" x="7715"/>
        <item h="1" x="7716"/>
        <item h="1" x="7717"/>
        <item h="1" x="7718"/>
        <item h="1" x="7719"/>
        <item h="1" x="7720"/>
        <item h="1" x="7721"/>
        <item h="1" x="7722"/>
        <item h="1" x="7723"/>
        <item h="1" x="7724"/>
        <item h="1" x="7725"/>
        <item h="1" x="7726"/>
        <item h="1" x="7727"/>
        <item h="1" x="7728"/>
        <item h="1" x="7729"/>
        <item h="1" x="7730"/>
        <item h="1" x="7731"/>
        <item h="1" x="7732"/>
        <item h="1" x="7733"/>
        <item h="1" x="7734"/>
        <item h="1" x="7735"/>
        <item h="1" x="7736"/>
        <item h="1" x="7737"/>
        <item h="1" x="7738"/>
        <item h="1" x="7739"/>
        <item h="1" x="7740"/>
        <item h="1" x="7741"/>
        <item h="1" x="7742"/>
        <item h="1" x="7743"/>
        <item h="1" x="7744"/>
        <item h="1" x="7745"/>
        <item h="1" x="7746"/>
        <item h="1" x="7747"/>
        <item h="1" x="7748"/>
        <item h="1" x="7749"/>
        <item h="1" x="7750"/>
        <item h="1" x="7751"/>
        <item h="1" x="7752"/>
        <item h="1" x="7753"/>
        <item h="1" x="7754"/>
        <item h="1" x="7755"/>
        <item h="1" x="7756"/>
        <item h="1" x="7757"/>
        <item h="1" x="7758"/>
        <item h="1" x="7759"/>
        <item h="1" x="7760"/>
        <item h="1" x="7761"/>
        <item h="1" x="7762"/>
        <item h="1" x="7763"/>
        <item h="1" x="7764"/>
        <item h="1" x="7765"/>
        <item h="1" x="7766"/>
        <item h="1" x="7767"/>
        <item h="1" x="7768"/>
        <item h="1" x="7769"/>
        <item h="1" x="7770"/>
        <item h="1" x="7771"/>
        <item h="1" x="7772"/>
        <item h="1" x="7773"/>
        <item h="1" x="7774"/>
        <item h="1" x="7775"/>
        <item h="1" x="7776"/>
        <item h="1" x="7777"/>
        <item h="1" x="7778"/>
        <item h="1" x="7779"/>
        <item h="1" x="7780"/>
        <item h="1" x="7781"/>
        <item h="1" x="7782"/>
        <item h="1" x="7783"/>
        <item h="1" x="7784"/>
        <item h="1" x="7785"/>
        <item h="1" x="7786"/>
        <item h="1" x="7787"/>
        <item h="1" x="7788"/>
        <item h="1" x="7789"/>
        <item h="1" x="7790"/>
        <item h="1" x="7791"/>
        <item h="1" x="7792"/>
        <item h="1" x="7793"/>
        <item h="1" x="7794"/>
        <item h="1" x="7795"/>
        <item h="1" x="7796"/>
        <item h="1" x="7797"/>
        <item h="1" x="7798"/>
        <item h="1" x="7799"/>
        <item h="1" x="7800"/>
        <item h="1" x="7801"/>
        <item h="1" x="7802"/>
        <item h="1" x="7803"/>
        <item h="1" x="7804"/>
        <item h="1" x="7805"/>
        <item h="1" x="7806"/>
        <item h="1" x="7807"/>
        <item h="1" x="7808"/>
        <item h="1" x="7809"/>
        <item h="1" x="7810"/>
        <item h="1" x="7811"/>
        <item h="1" x="7812"/>
        <item h="1" x="7813"/>
        <item h="1" x="7814"/>
        <item h="1" x="7815"/>
        <item h="1" x="7816"/>
        <item h="1" x="7817"/>
        <item h="1" x="7818"/>
        <item h="1" x="7819"/>
        <item h="1" x="7820"/>
        <item h="1" x="7821"/>
        <item h="1" x="7822"/>
        <item h="1" x="7823"/>
        <item h="1" x="7824"/>
        <item h="1" x="7825"/>
        <item h="1" x="7826"/>
        <item h="1" x="7827"/>
        <item h="1" x="7828"/>
        <item h="1" x="7829"/>
        <item h="1" x="7830"/>
        <item h="1" x="7831"/>
        <item h="1" x="7832"/>
        <item h="1" x="7833"/>
        <item h="1" x="7834"/>
        <item h="1" x="7835"/>
        <item h="1" x="7836"/>
        <item h="1" x="7837"/>
        <item h="1" x="7838"/>
        <item h="1" x="7839"/>
        <item h="1" x="7840"/>
        <item h="1" x="7841"/>
        <item h="1" x="7842"/>
        <item h="1" x="7843"/>
        <item h="1" x="7844"/>
        <item h="1" x="7845"/>
        <item h="1" x="7846"/>
        <item h="1" x="7847"/>
        <item h="1" x="7848"/>
        <item h="1" x="7849"/>
        <item h="1" x="7850"/>
        <item h="1" x="7851"/>
        <item h="1" x="7852"/>
        <item h="1" x="7853"/>
        <item h="1" x="7854"/>
        <item h="1" x="7855"/>
        <item h="1" x="7856"/>
        <item h="1" x="7857"/>
        <item h="1" x="7858"/>
        <item h="1" x="7859"/>
        <item h="1" x="7860"/>
        <item h="1" x="7861"/>
        <item h="1" x="7862"/>
        <item h="1" x="7863"/>
        <item h="1" x="7864"/>
        <item h="1" x="7865"/>
        <item h="1" x="7866"/>
        <item h="1" x="7867"/>
        <item h="1" x="7868"/>
        <item h="1" x="7869"/>
        <item h="1" x="7870"/>
        <item h="1" x="7871"/>
        <item h="1" x="7872"/>
        <item h="1" x="7873"/>
        <item h="1" x="7874"/>
        <item h="1" x="7875"/>
        <item h="1" x="7876"/>
        <item h="1" x="7877"/>
        <item h="1" x="7878"/>
        <item h="1" x="7879"/>
        <item h="1" x="7880"/>
        <item h="1" x="7881"/>
        <item h="1" x="7882"/>
        <item h="1" x="7883"/>
        <item h="1" x="7884"/>
        <item h="1" x="7885"/>
        <item h="1" x="7886"/>
        <item h="1" x="7887"/>
        <item h="1" x="7888"/>
        <item h="1" x="7889"/>
        <item h="1" x="7890"/>
        <item h="1" x="7891"/>
        <item h="1" x="7892"/>
        <item h="1" x="7893"/>
        <item h="1" x="7894"/>
        <item h="1" x="7895"/>
        <item h="1" x="7896"/>
        <item h="1" x="7897"/>
        <item h="1" x="7898"/>
        <item h="1" x="7899"/>
        <item h="1" x="7900"/>
        <item h="1" x="7901"/>
        <item h="1" x="7902"/>
        <item h="1" x="7903"/>
        <item h="1" x="7904"/>
        <item h="1" x="7905"/>
        <item h="1" x="7906"/>
        <item h="1" x="7907"/>
        <item h="1" x="7908"/>
        <item h="1" x="7909"/>
        <item h="1" x="7910"/>
        <item h="1" x="7911"/>
        <item h="1" x="7912"/>
        <item h="1" x="7913"/>
        <item h="1" x="7914"/>
        <item h="1" x="7915"/>
        <item h="1" x="7916"/>
        <item h="1" x="7917"/>
        <item h="1" x="7918"/>
        <item h="1" x="7919"/>
        <item h="1" x="7920"/>
        <item h="1" x="7921"/>
        <item h="1" x="7922"/>
        <item h="1" x="7923"/>
        <item h="1" x="7924"/>
        <item h="1" x="7925"/>
        <item h="1" x="7926"/>
        <item h="1" x="7927"/>
        <item h="1" x="7928"/>
        <item h="1" x="7929"/>
        <item h="1" x="7930"/>
        <item h="1" x="7931"/>
        <item h="1" x="7932"/>
        <item h="1" x="7933"/>
        <item h="1" x="7934"/>
        <item h="1" x="7935"/>
        <item h="1" x="7936"/>
        <item h="1" x="7937"/>
        <item h="1" x="7938"/>
        <item h="1" x="7939"/>
        <item h="1" x="7940"/>
        <item h="1" x="7941"/>
        <item h="1" x="7942"/>
        <item h="1" x="7943"/>
        <item h="1" x="7944"/>
        <item h="1" x="7945"/>
        <item h="1" x="7946"/>
        <item h="1" x="7947"/>
        <item h="1" x="7948"/>
        <item h="1" x="7949"/>
        <item h="1" x="7950"/>
        <item h="1" x="7951"/>
        <item h="1" x="7952"/>
        <item h="1" x="7953"/>
        <item h="1" x="7954"/>
        <item h="1" x="7955"/>
        <item h="1" x="7956"/>
        <item h="1" x="7957"/>
        <item h="1" x="7958"/>
        <item h="1" x="7959"/>
        <item h="1" x="7960"/>
        <item h="1" x="7961"/>
        <item h="1" x="7962"/>
        <item h="1" x="7963"/>
        <item h="1" x="7964"/>
        <item h="1" x="7965"/>
        <item h="1" x="7966"/>
        <item h="1" x="7967"/>
        <item h="1" x="7968"/>
        <item h="1" x="7969"/>
        <item h="1" x="7970"/>
        <item h="1" x="7971"/>
        <item h="1" x="7972"/>
        <item h="1" x="7973"/>
        <item h="1" x="7974"/>
        <item h="1" x="7975"/>
        <item h="1" x="7976"/>
        <item h="1" x="7977"/>
        <item h="1" x="7978"/>
        <item h="1" x="7979"/>
        <item h="1" x="7980"/>
        <item h="1" x="7981"/>
        <item h="1" x="7982"/>
        <item h="1" x="7983"/>
        <item h="1" x="7984"/>
        <item h="1" x="7985"/>
        <item h="1" x="7986"/>
        <item h="1" x="7987"/>
        <item h="1" x="7988"/>
        <item h="1" x="7989"/>
        <item h="1" x="7990"/>
        <item h="1" x="7991"/>
        <item h="1" x="7992"/>
        <item h="1" x="7993"/>
        <item h="1" x="7994"/>
        <item h="1" x="7995"/>
        <item h="1" x="7996"/>
        <item h="1" x="7997"/>
        <item h="1" x="7998"/>
        <item h="1" x="7999"/>
        <item h="1" x="8000"/>
        <item h="1" x="8001"/>
        <item h="1" x="8002"/>
        <item h="1" x="8003"/>
        <item h="1" x="8004"/>
        <item h="1" x="8005"/>
        <item h="1" x="8006"/>
        <item h="1" x="8007"/>
        <item h="1" x="8008"/>
        <item h="1" x="8009"/>
        <item h="1" x="8010"/>
        <item h="1" x="8011"/>
        <item h="1" x="8012"/>
        <item h="1" x="8013"/>
        <item h="1" x="8014"/>
        <item h="1" x="8015"/>
        <item h="1" x="8016"/>
        <item h="1" x="8017"/>
        <item h="1" x="8018"/>
        <item h="1" x="8019"/>
        <item h="1" x="8020"/>
        <item h="1" x="8021"/>
        <item h="1" x="8022"/>
        <item h="1" x="8023"/>
        <item h="1" x="8024"/>
        <item h="1" x="8025"/>
        <item h="1" x="8026"/>
        <item h="1" x="8027"/>
        <item h="1" x="8028"/>
        <item h="1" x="8029"/>
        <item h="1" x="8030"/>
        <item h="1" x="8031"/>
        <item h="1" x="8032"/>
        <item h="1" x="8033"/>
        <item h="1" x="8034"/>
        <item h="1" x="8035"/>
        <item h="1" x="8036"/>
        <item h="1" x="8037"/>
        <item h="1" x="8038"/>
        <item h="1" x="8039"/>
        <item h="1" x="8040"/>
        <item h="1" x="8041"/>
        <item h="1" x="8042"/>
        <item h="1" x="8043"/>
        <item h="1" x="8044"/>
        <item h="1" x="8045"/>
        <item h="1" x="8046"/>
        <item h="1" x="8047"/>
        <item h="1" x="8048"/>
        <item h="1" x="8049"/>
        <item h="1" x="8050"/>
        <item h="1" x="8051"/>
        <item h="1" x="8052"/>
        <item h="1" x="8053"/>
        <item h="1" x="8054"/>
        <item h="1" x="8055"/>
        <item h="1" x="8056"/>
        <item h="1" x="8057"/>
        <item h="1" x="8058"/>
        <item h="1" x="8059"/>
        <item h="1" x="8060"/>
        <item h="1" x="8061"/>
        <item h="1" x="8062"/>
        <item h="1" x="8063"/>
        <item h="1" x="8064"/>
        <item h="1" x="8065"/>
        <item h="1" x="8066"/>
        <item h="1" x="8067"/>
        <item h="1" x="8068"/>
        <item h="1" x="8069"/>
        <item h="1" x="8070"/>
        <item h="1" x="8071"/>
        <item h="1" x="8072"/>
        <item h="1" x="8073"/>
        <item h="1" x="8074"/>
        <item h="1" x="8075"/>
        <item h="1" x="8076"/>
        <item h="1" x="8077"/>
        <item h="1" x="8078"/>
        <item h="1" x="8079"/>
        <item h="1" x="8080"/>
        <item h="1" x="8081"/>
        <item h="1" x="8082"/>
        <item h="1" x="8083"/>
        <item h="1" x="8084"/>
        <item h="1" x="8085"/>
        <item h="1" x="8086"/>
        <item h="1" x="8087"/>
        <item h="1" x="8088"/>
        <item h="1" x="8089"/>
        <item h="1" x="8090"/>
        <item h="1" x="8091"/>
        <item h="1" x="8092"/>
        <item h="1" x="8093"/>
        <item h="1" x="8094"/>
        <item h="1" x="8095"/>
        <item h="1" x="8096"/>
        <item h="1" x="8097"/>
        <item h="1" x="8098"/>
        <item h="1" x="8099"/>
        <item h="1" x="8100"/>
        <item h="1" x="8101"/>
        <item h="1" x="8102"/>
        <item h="1" x="8103"/>
        <item h="1" x="8104"/>
        <item h="1" x="8105"/>
        <item h="1" x="8106"/>
        <item h="1" x="8107"/>
        <item h="1" x="8108"/>
        <item h="1" x="8109"/>
        <item h="1" x="8110"/>
        <item h="1" x="8111"/>
        <item h="1" x="8112"/>
        <item h="1" x="8113"/>
        <item h="1" x="8114"/>
        <item h="1" x="8115"/>
        <item h="1" x="8116"/>
        <item h="1" x="8117"/>
        <item h="1" x="8118"/>
        <item h="1" x="8119"/>
        <item h="1" x="8120"/>
        <item h="1" x="8121"/>
        <item h="1" x="8122"/>
        <item h="1" x="8123"/>
        <item h="1" x="8124"/>
        <item h="1" x="8125"/>
        <item h="1" x="8126"/>
        <item h="1" x="8127"/>
        <item h="1" x="8128"/>
        <item h="1" x="8129"/>
        <item h="1" x="8130"/>
        <item h="1" x="8131"/>
        <item h="1" x="8132"/>
        <item h="1" x="8133"/>
        <item h="1" x="8134"/>
        <item h="1" x="8135"/>
        <item h="1" x="8136"/>
        <item h="1" x="8137"/>
        <item h="1" x="8138"/>
        <item h="1" x="8139"/>
        <item h="1" x="8140"/>
        <item h="1" x="8141"/>
        <item h="1" x="8142"/>
        <item h="1" x="8143"/>
        <item h="1" x="8144"/>
        <item h="1" x="8145"/>
        <item h="1" x="8146"/>
        <item h="1" x="8147"/>
        <item h="1" x="8148"/>
        <item h="1" x="8149"/>
        <item h="1" x="8150"/>
        <item h="1" x="8151"/>
        <item h="1" x="8152"/>
        <item h="1" x="8153"/>
        <item h="1" x="8154"/>
        <item h="1" x="8155"/>
        <item h="1" x="8156"/>
        <item h="1" x="8157"/>
        <item h="1" x="8158"/>
        <item h="1" x="8159"/>
        <item h="1" x="8160"/>
        <item h="1" x="8161"/>
        <item h="1" x="8162"/>
        <item h="1" x="8163"/>
        <item h="1" x="8164"/>
        <item h="1" x="8165"/>
        <item h="1" x="8166"/>
        <item h="1" x="8167"/>
        <item h="1" x="8168"/>
        <item h="1" x="8169"/>
        <item h="1" x="8170"/>
        <item h="1" x="8171"/>
        <item h="1" x="8172"/>
        <item h="1" x="8173"/>
        <item h="1" x="8174"/>
        <item h="1" x="8175"/>
        <item h="1" x="8176"/>
        <item h="1" x="8177"/>
        <item h="1" x="8178"/>
        <item h="1" x="8179"/>
        <item h="1" x="8180"/>
        <item h="1" x="8181"/>
        <item h="1" x="8182"/>
        <item h="1" x="8183"/>
        <item h="1" x="8184"/>
        <item h="1" x="8185"/>
        <item h="1" x="8186"/>
        <item h="1" x="8187"/>
        <item h="1" x="8188"/>
        <item h="1" x="8189"/>
        <item h="1" x="8190"/>
        <item h="1" x="8191"/>
        <item h="1" x="8192"/>
        <item h="1" x="8193"/>
        <item h="1" x="8194"/>
        <item h="1" x="8195"/>
        <item h="1" x="8196"/>
        <item h="1" x="8197"/>
        <item h="1" x="8198"/>
        <item h="1" x="8199"/>
        <item h="1" x="8200"/>
        <item h="1" x="8201"/>
        <item h="1" x="8202"/>
        <item h="1" x="8203"/>
        <item h="1" x="8204"/>
        <item h="1" x="8205"/>
        <item h="1" x="8206"/>
        <item h="1" x="8207"/>
        <item h="1" x="8208"/>
        <item h="1" x="8209"/>
        <item h="1" x="8210"/>
        <item h="1" x="8211"/>
        <item h="1" x="8212"/>
        <item h="1" x="8213"/>
        <item h="1" x="8214"/>
        <item h="1" x="8215"/>
        <item h="1" x="8216"/>
        <item h="1" x="8217"/>
        <item h="1" x="8218"/>
        <item h="1" x="8219"/>
        <item h="1" x="8220"/>
        <item h="1" x="8221"/>
        <item h="1" x="8222"/>
        <item h="1" x="8223"/>
        <item h="1" x="8224"/>
        <item h="1" x="8225"/>
        <item h="1" x="8226"/>
        <item h="1" x="8227"/>
        <item h="1" x="8228"/>
        <item h="1" x="8229"/>
        <item h="1" x="8230"/>
        <item h="1" x="8231"/>
        <item h="1" x="8232"/>
        <item h="1" x="8233"/>
        <item h="1" x="8234"/>
        <item h="1" x="8235"/>
        <item h="1" x="8236"/>
        <item h="1" x="8237"/>
        <item h="1" x="8238"/>
        <item h="1" x="8239"/>
        <item h="1" x="8240"/>
        <item h="1" x="8241"/>
        <item h="1" x="8242"/>
        <item h="1" x="8243"/>
        <item h="1" x="8244"/>
        <item h="1" x="8245"/>
        <item h="1" x="8246"/>
        <item h="1" x="8247"/>
        <item h="1" x="8248"/>
        <item h="1" x="8249"/>
        <item h="1" x="8250"/>
        <item h="1" x="8251"/>
        <item h="1" x="8252"/>
        <item h="1" x="8253"/>
        <item h="1" x="8254"/>
        <item h="1" x="8255"/>
        <item h="1" x="8256"/>
        <item h="1" x="8257"/>
        <item h="1" x="8258"/>
        <item h="1" x="8259"/>
        <item h="1" x="8260"/>
        <item h="1" x="8261"/>
        <item h="1" x="8262"/>
        <item h="1" x="8263"/>
        <item h="1" x="8264"/>
        <item h="1" x="8265"/>
        <item h="1" x="8266"/>
        <item h="1" x="8267"/>
        <item h="1" x="8268"/>
        <item h="1" x="8269"/>
        <item h="1" x="8270"/>
        <item h="1" x="8271"/>
        <item h="1" x="8272"/>
        <item h="1" x="8273"/>
        <item h="1" x="8274"/>
        <item h="1" x="8275"/>
        <item h="1" x="8276"/>
        <item h="1" x="8277"/>
        <item h="1" x="8278"/>
        <item h="1" x="8279"/>
        <item h="1" x="8280"/>
        <item h="1" x="8281"/>
        <item h="1" x="8282"/>
        <item h="1" x="8283"/>
        <item h="1" x="8284"/>
        <item h="1" x="8285"/>
        <item h="1" x="8286"/>
        <item h="1" x="8287"/>
        <item h="1" x="8288"/>
        <item h="1" x="8289"/>
        <item h="1" x="8290"/>
        <item h="1" x="8291"/>
        <item h="1" x="8292"/>
        <item h="1" x="8293"/>
        <item h="1" x="8294"/>
        <item h="1" x="8295"/>
        <item h="1" x="8296"/>
        <item h="1" x="8297"/>
        <item h="1" x="8298"/>
        <item h="1" x="8299"/>
        <item h="1" x="8300"/>
        <item h="1" x="8301"/>
        <item h="1" x="8302"/>
        <item h="1" x="8303"/>
        <item h="1" x="8304"/>
        <item h="1" x="8305"/>
        <item h="1" x="8306"/>
        <item h="1" x="8307"/>
        <item h="1" x="8308"/>
        <item h="1" x="8309"/>
        <item h="1" x="8310"/>
        <item h="1" x="8311"/>
        <item h="1" x="8312"/>
        <item h="1" x="8313"/>
        <item h="1" x="8314"/>
        <item h="1" x="8315"/>
        <item h="1" x="8316"/>
        <item h="1" x="8317"/>
        <item h="1" x="8318"/>
        <item h="1" x="8319"/>
        <item h="1" x="8320"/>
        <item h="1" x="8321"/>
        <item h="1" x="8322"/>
        <item h="1" x="8323"/>
        <item h="1" x="8324"/>
        <item h="1" x="8325"/>
        <item h="1" x="8326"/>
        <item h="1" x="8327"/>
        <item h="1" x="8328"/>
        <item h="1" x="8329"/>
        <item h="1" x="8330"/>
        <item h="1" x="8331"/>
        <item h="1" x="8332"/>
        <item h="1" x="8333"/>
        <item h="1" x="8334"/>
        <item h="1" x="8335"/>
        <item h="1" x="8336"/>
        <item h="1" x="8337"/>
        <item h="1" x="8338"/>
        <item h="1" x="8339"/>
        <item h="1" x="8340"/>
        <item h="1" x="8341"/>
        <item h="1" x="8342"/>
        <item h="1" x="8343"/>
        <item h="1" x="8344"/>
        <item h="1" x="8345"/>
        <item h="1" x="8346"/>
        <item h="1" x="8347"/>
        <item h="1" x="8348"/>
        <item h="1" x="8349"/>
        <item h="1" x="8350"/>
        <item h="1" x="8351"/>
        <item h="1" x="8352"/>
        <item h="1" x="8353"/>
        <item h="1" x="8354"/>
        <item h="1" x="8355"/>
        <item h="1" x="8356"/>
        <item h="1" x="8357"/>
        <item h="1" x="8358"/>
        <item h="1" x="8359"/>
        <item h="1" x="8360"/>
        <item h="1" x="8361"/>
        <item h="1" x="8362"/>
        <item h="1" x="8363"/>
        <item h="1" x="8364"/>
        <item h="1" x="8365"/>
        <item h="1" x="8366"/>
        <item h="1" x="8367"/>
        <item h="1" x="8368"/>
        <item h="1" x="8369"/>
        <item h="1" x="8370"/>
        <item h="1" x="8371"/>
        <item h="1" x="8372"/>
        <item h="1" x="8373"/>
        <item h="1" x="8374"/>
        <item h="1" x="8375"/>
        <item h="1" x="8376"/>
        <item h="1" x="8377"/>
        <item h="1" x="8378"/>
        <item h="1" x="8379"/>
        <item h="1" x="8380"/>
        <item h="1" x="8381"/>
        <item h="1" x="8382"/>
        <item h="1" x="8383"/>
        <item h="1" x="8384"/>
        <item h="1" x="8385"/>
        <item h="1" x="8386"/>
        <item h="1" x="8387"/>
        <item h="1" x="8388"/>
        <item h="1" x="8389"/>
        <item h="1" x="8390"/>
        <item h="1" x="8391"/>
        <item h="1" x="8392"/>
        <item h="1" x="8393"/>
        <item h="1" x="8394"/>
        <item h="1" x="8395"/>
        <item h="1" x="8396"/>
        <item h="1" x="8397"/>
        <item h="1" x="8398"/>
        <item h="1" x="8399"/>
        <item h="1" x="8400"/>
        <item h="1" x="8401"/>
        <item h="1" x="8402"/>
        <item h="1" x="8403"/>
        <item h="1" x="8404"/>
        <item h="1" x="8405"/>
        <item h="1" x="8406"/>
        <item h="1" x="8407"/>
        <item h="1" x="8408"/>
        <item h="1" x="8409"/>
        <item h="1" x="8410"/>
        <item h="1" x="8411"/>
        <item h="1" x="8412"/>
        <item h="1" x="8413"/>
        <item h="1" x="8414"/>
        <item h="1" x="8415"/>
        <item h="1" x="8416"/>
        <item h="1" x="8417"/>
        <item h="1" x="8418"/>
        <item h="1" x="8419"/>
        <item h="1" x="8420"/>
        <item h="1" x="8421"/>
        <item h="1" x="8422"/>
        <item h="1" x="8423"/>
        <item h="1" x="8424"/>
        <item h="1" x="8425"/>
        <item h="1" x="8426"/>
        <item h="1" x="8427"/>
        <item h="1" x="8428"/>
        <item h="1" x="8429"/>
        <item h="1" x="8430"/>
        <item h="1" x="8431"/>
        <item h="1" x="8432"/>
        <item h="1" x="8433"/>
        <item h="1" x="8434"/>
        <item h="1" x="8435"/>
        <item h="1" x="8436"/>
        <item h="1" x="8437"/>
        <item h="1" x="8438"/>
        <item h="1" x="8439"/>
        <item h="1" x="8440"/>
        <item h="1" x="8441"/>
        <item h="1" x="8442"/>
        <item h="1" x="8443"/>
        <item h="1" x="8444"/>
        <item h="1" x="8445"/>
        <item h="1" x="8446"/>
        <item h="1" x="8447"/>
        <item h="1" x="8448"/>
        <item h="1" x="8449"/>
        <item h="1" x="8450"/>
        <item h="1" x="8451"/>
        <item h="1" x="8452"/>
        <item h="1" x="8453"/>
        <item h="1" x="8454"/>
        <item h="1" x="8455"/>
        <item h="1" x="8456"/>
        <item h="1" x="8457"/>
        <item h="1" x="8458"/>
        <item h="1" x="8459"/>
        <item h="1" x="8460"/>
        <item h="1" x="8461"/>
        <item h="1" x="8462"/>
        <item h="1" x="8463"/>
        <item h="1" x="8464"/>
        <item h="1" x="8465"/>
        <item h="1" x="8466"/>
        <item h="1" x="8467"/>
        <item h="1" x="8468"/>
        <item h="1" x="8469"/>
        <item h="1" x="8470"/>
        <item h="1" x="8471"/>
        <item h="1" x="8472"/>
        <item h="1" x="8473"/>
        <item h="1" x="8474"/>
        <item h="1" x="8475"/>
        <item h="1" x="8476"/>
        <item h="1" x="8477"/>
        <item h="1" x="8478"/>
        <item h="1" x="8479"/>
        <item h="1" x="8480"/>
        <item h="1" x="8481"/>
        <item h="1" x="8482"/>
        <item h="1" x="8483"/>
        <item h="1" x="8484"/>
        <item h="1" x="8485"/>
        <item h="1" x="8486"/>
        <item h="1" x="8487"/>
        <item h="1" x="8488"/>
        <item h="1" x="8489"/>
        <item h="1" x="8490"/>
        <item h="1" x="8491"/>
        <item h="1" x="8492"/>
        <item h="1" x="8493"/>
        <item h="1" x="8494"/>
        <item h="1" x="8495"/>
        <item h="1" x="8496"/>
        <item h="1" x="8497"/>
        <item h="1" x="8498"/>
        <item h="1" x="8499"/>
        <item h="1" x="8500"/>
        <item h="1" x="8501"/>
        <item h="1" x="8502"/>
        <item h="1" x="8503"/>
        <item h="1" x="8504"/>
        <item h="1" x="8505"/>
        <item h="1" x="8506"/>
        <item h="1" x="8507"/>
        <item h="1" x="8508"/>
        <item h="1" x="8509"/>
        <item h="1" x="8510"/>
        <item h="1" x="8511"/>
        <item h="1" x="8512"/>
        <item h="1" x="8513"/>
        <item h="1" x="8514"/>
        <item h="1" x="8515"/>
        <item h="1" x="8516"/>
        <item h="1" x="8517"/>
        <item h="1" x="8518"/>
        <item h="1" x="8519"/>
        <item h="1" x="8520"/>
        <item h="1" x="8521"/>
        <item h="1" x="8522"/>
        <item h="1" x="8523"/>
        <item h="1" x="8524"/>
        <item h="1" x="8525"/>
        <item h="1" x="8526"/>
        <item h="1" x="8527"/>
        <item h="1" x="8528"/>
        <item h="1" x="8529"/>
        <item h="1" x="8530"/>
        <item h="1" x="8531"/>
        <item h="1" x="8532"/>
        <item h="1" x="8533"/>
        <item h="1" x="8534"/>
        <item h="1" x="8535"/>
        <item h="1" x="8536"/>
        <item h="1" x="8537"/>
        <item h="1" x="8538"/>
        <item h="1" x="8539"/>
        <item h="1" x="8540"/>
        <item h="1" x="8541"/>
        <item h="1" x="8542"/>
        <item h="1" x="8543"/>
        <item h="1" x="8544"/>
        <item h="1" x="8545"/>
        <item h="1" x="8546"/>
        <item h="1" x="8547"/>
        <item h="1" x="8548"/>
        <item h="1" x="8549"/>
        <item h="1" x="8550"/>
        <item h="1" x="8551"/>
        <item h="1" x="8552"/>
        <item h="1" x="8553"/>
        <item h="1" x="8554"/>
        <item h="1" x="8555"/>
        <item h="1" x="8556"/>
        <item h="1" x="8557"/>
        <item h="1" x="8558"/>
        <item h="1" x="8559"/>
        <item h="1" x="8560"/>
        <item h="1" x="8561"/>
        <item h="1" x="8562"/>
        <item h="1" x="8563"/>
        <item h="1" x="8564"/>
        <item h="1" x="8565"/>
        <item h="1" x="8566"/>
        <item h="1" x="8567"/>
        <item h="1" x="8568"/>
        <item h="1" x="8569"/>
        <item h="1" x="8570"/>
        <item h="1" x="8571"/>
        <item h="1" x="8572"/>
        <item h="1" x="8573"/>
        <item h="1" x="8574"/>
        <item h="1" x="8575"/>
        <item h="1" x="8576"/>
        <item h="1" x="8577"/>
        <item h="1" x="8578"/>
        <item h="1" x="8579"/>
        <item h="1" x="8580"/>
        <item h="1" x="8581"/>
        <item h="1" x="8582"/>
        <item h="1" x="8583"/>
        <item h="1" x="8584"/>
        <item h="1" x="8585"/>
        <item h="1" x="8586"/>
        <item h="1" x="8587"/>
        <item h="1" x="8588"/>
        <item h="1" x="8589"/>
        <item h="1" x="8590"/>
        <item h="1" x="8591"/>
        <item h="1" x="8592"/>
        <item h="1" x="8593"/>
        <item h="1" x="8594"/>
        <item h="1" x="8595"/>
        <item h="1" x="8596"/>
        <item h="1" x="8597"/>
        <item h="1" x="8598"/>
        <item h="1" x="8599"/>
        <item h="1" x="8600"/>
        <item h="1" x="8601"/>
        <item h="1" x="8602"/>
        <item h="1" x="8603"/>
        <item h="1" x="8604"/>
        <item h="1" x="8605"/>
        <item h="1" x="8606"/>
        <item h="1" x="8607"/>
        <item h="1" x="8608"/>
        <item h="1" x="8609"/>
        <item h="1" x="8610"/>
        <item h="1" x="8611"/>
        <item h="1" x="8612"/>
        <item h="1" x="8613"/>
        <item h="1" x="8614"/>
        <item h="1" x="8615"/>
        <item h="1" x="8616"/>
        <item h="1" x="8617"/>
        <item h="1" x="8618"/>
        <item h="1" x="8619"/>
        <item h="1" x="8620"/>
        <item h="1" x="8621"/>
        <item h="1" x="8622"/>
        <item h="1" x="8623"/>
        <item h="1" x="8624"/>
        <item h="1" x="8625"/>
        <item h="1" x="8626"/>
        <item h="1" x="8627"/>
        <item h="1" x="8628"/>
        <item h="1" x="8629"/>
        <item h="1" x="8630"/>
        <item h="1" x="8631"/>
        <item h="1" x="8632"/>
        <item h="1" x="8633"/>
        <item h="1" x="8634"/>
        <item h="1" x="8635"/>
        <item h="1" x="8636"/>
        <item h="1" x="8637"/>
        <item h="1" x="8638"/>
        <item h="1" x="8639"/>
        <item h="1" x="8640"/>
        <item h="1" x="8641"/>
        <item h="1" x="8642"/>
        <item h="1" x="8643"/>
        <item h="1" x="8644"/>
        <item h="1" x="8645"/>
        <item h="1" x="8646"/>
        <item h="1" x="8647"/>
        <item h="1" x="8648"/>
        <item h="1" x="8649"/>
        <item h="1" x="8650"/>
        <item h="1" x="8651"/>
        <item h="1" x="8652"/>
        <item h="1" x="8653"/>
        <item h="1" x="8654"/>
        <item h="1" x="8655"/>
        <item h="1" x="8656"/>
        <item h="1" x="8657"/>
        <item h="1" x="8658"/>
        <item h="1" x="8659"/>
        <item h="1" x="8660"/>
        <item h="1" x="8661"/>
        <item h="1" x="8662"/>
        <item h="1" x="8663"/>
        <item h="1" x="8664"/>
        <item h="1" x="8665"/>
        <item h="1" x="8666"/>
        <item h="1" x="8667"/>
        <item h="1" x="8668"/>
        <item h="1" x="8669"/>
        <item h="1" x="8670"/>
        <item h="1" x="8671"/>
        <item h="1" x="8672"/>
        <item h="1" x="8673"/>
        <item h="1" x="8674"/>
        <item h="1" x="8675"/>
        <item h="1" x="8676"/>
        <item h="1" x="8677"/>
        <item h="1" x="8678"/>
        <item h="1" x="8679"/>
        <item h="1" x="8680"/>
        <item h="1" x="8681"/>
        <item h="1" x="8682"/>
        <item h="1" x="8683"/>
        <item h="1" x="8684"/>
        <item h="1" x="8685"/>
        <item h="1" x="8686"/>
        <item h="1" x="8687"/>
        <item h="1" x="8688"/>
        <item h="1" x="8689"/>
        <item h="1" x="8690"/>
        <item h="1" x="8691"/>
        <item h="1" x="8692"/>
        <item h="1" x="8693"/>
        <item h="1" x="8694"/>
        <item h="1" x="8695"/>
        <item h="1" x="8696"/>
        <item h="1" x="8697"/>
        <item h="1" x="8698"/>
        <item h="1" x="8699"/>
        <item h="1" x="8700"/>
        <item h="1" x="8701"/>
        <item h="1" x="8702"/>
        <item h="1" x="8703"/>
        <item h="1" x="8704"/>
        <item h="1" x="8705"/>
        <item h="1" x="8706"/>
        <item h="1" x="8707"/>
        <item h="1" x="8708"/>
        <item h="1" x="8709"/>
        <item h="1" x="8710"/>
        <item h="1" x="8711"/>
        <item h="1" x="8712"/>
        <item h="1" x="8713"/>
        <item h="1" x="8714"/>
        <item h="1" x="8715"/>
        <item h="1" x="8716"/>
        <item h="1" x="8717"/>
        <item h="1" x="8718"/>
        <item h="1" x="8719"/>
        <item h="1" x="8720"/>
        <item h="1" x="8721"/>
        <item h="1" x="8722"/>
        <item h="1" x="8723"/>
        <item h="1" x="8724"/>
        <item h="1" x="8725"/>
        <item h="1" x="8726"/>
        <item h="1" x="8727"/>
        <item h="1" x="8728"/>
        <item h="1" x="8729"/>
        <item h="1" x="8730"/>
        <item h="1" x="8731"/>
        <item h="1" x="8732"/>
        <item h="1" x="8733"/>
        <item h="1" x="8734"/>
        <item h="1" x="8735"/>
        <item h="1" x="8736"/>
        <item h="1" x="8737"/>
        <item h="1" x="8738"/>
        <item h="1" x="8739"/>
        <item h="1" x="8740"/>
        <item h="1" x="8741"/>
        <item h="1" x="8742"/>
        <item h="1" x="8743"/>
        <item h="1" x="8744"/>
        <item h="1" x="8745"/>
        <item h="1" x="8746"/>
        <item h="1" x="8747"/>
        <item h="1" x="8748"/>
        <item h="1" x="8749"/>
        <item h="1" x="8750"/>
        <item h="1" x="8751"/>
        <item h="1" x="8752"/>
        <item h="1" x="8753"/>
        <item h="1" x="8754"/>
        <item h="1" x="8755"/>
        <item h="1" x="8756"/>
        <item h="1" x="8757"/>
        <item h="1" x="8758"/>
        <item h="1" x="8759"/>
        <item h="1" x="8760"/>
        <item h="1" x="8761"/>
        <item h="1" x="8762"/>
        <item h="1" x="8763"/>
        <item h="1" x="8764"/>
        <item h="1" x="8765"/>
        <item h="1" x="8766"/>
        <item h="1" x="8767"/>
        <item h="1" x="8768"/>
        <item h="1" x="8769"/>
        <item h="1" x="8770"/>
        <item h="1" x="8771"/>
        <item h="1" x="8772"/>
        <item h="1" x="8773"/>
        <item h="1" x="8774"/>
        <item h="1" x="8775"/>
        <item h="1" x="8776"/>
        <item h="1" x="8777"/>
        <item h="1" x="8778"/>
        <item h="1" x="8779"/>
        <item h="1" x="8780"/>
        <item h="1" x="8781"/>
        <item h="1" x="8782"/>
        <item h="1" x="8783"/>
        <item h="1" x="8784"/>
        <item h="1" x="8785"/>
        <item h="1" x="8786"/>
        <item h="1" x="8787"/>
        <item h="1" x="8788"/>
        <item h="1" x="8789"/>
        <item h="1" x="8790"/>
        <item h="1" x="8791"/>
        <item h="1" x="8792"/>
        <item h="1" x="8793"/>
        <item h="1" x="8794"/>
        <item h="1" x="8795"/>
        <item h="1" x="8796"/>
        <item h="1" x="8797"/>
        <item h="1" x="8798"/>
        <item h="1" x="8799"/>
        <item h="1" x="8800"/>
        <item h="1" x="8801"/>
        <item h="1" x="8802"/>
        <item h="1" x="8803"/>
        <item h="1" x="8804"/>
        <item h="1" x="8805"/>
        <item h="1" x="8806"/>
        <item h="1" x="8807"/>
        <item h="1" x="8808"/>
        <item h="1" x="8809"/>
        <item h="1" x="8810"/>
        <item h="1" x="8811"/>
        <item h="1" x="8812"/>
        <item h="1" x="8813"/>
        <item h="1" x="8814"/>
        <item h="1" x="8815"/>
        <item h="1" x="8816"/>
        <item h="1" x="8817"/>
        <item h="1" x="8818"/>
        <item h="1" x="8819"/>
        <item h="1" x="8820"/>
        <item h="1" x="8821"/>
        <item h="1" x="8822"/>
        <item h="1" x="8823"/>
        <item h="1" x="8824"/>
        <item h="1" x="8825"/>
        <item h="1" x="8826"/>
        <item h="1" x="8827"/>
        <item h="1" x="8828"/>
        <item h="1" x="8829"/>
        <item h="1" x="8830"/>
        <item h="1" x="8831"/>
        <item h="1" x="8832"/>
        <item h="1" x="8833"/>
        <item h="1" x="8834"/>
        <item h="1" x="8835"/>
        <item h="1" x="8836"/>
        <item h="1" x="8837"/>
        <item h="1" x="8838"/>
        <item h="1" x="8839"/>
        <item h="1" x="8840"/>
        <item h="1" x="8841"/>
        <item h="1" x="8842"/>
        <item h="1" x="8843"/>
        <item h="1" x="8844"/>
        <item h="1" x="8845"/>
        <item h="1" x="8846"/>
        <item h="1" x="8847"/>
        <item h="1" x="8848"/>
        <item h="1" x="8849"/>
        <item h="1" x="8850"/>
        <item h="1" x="8851"/>
        <item h="1" x="8852"/>
        <item h="1" x="8853"/>
        <item h="1" x="8854"/>
        <item h="1" x="8855"/>
        <item h="1" x="8856"/>
        <item h="1" x="8857"/>
        <item h="1" x="8858"/>
        <item h="1" x="8859"/>
        <item h="1" x="8860"/>
        <item h="1" x="8861"/>
        <item h="1" x="8862"/>
        <item h="1" x="8863"/>
        <item h="1" x="8864"/>
        <item h="1" x="8865"/>
        <item h="1" x="8866"/>
        <item h="1" x="8867"/>
        <item h="1" x="8868"/>
        <item h="1" x="8869"/>
        <item h="1" x="8870"/>
        <item h="1" x="8871"/>
        <item h="1" x="8872"/>
        <item h="1" x="8873"/>
        <item h="1" x="8874"/>
        <item h="1" x="8875"/>
        <item h="1" x="8876"/>
        <item h="1" x="8877"/>
        <item h="1" x="8878"/>
        <item h="1" x="8879"/>
        <item h="1" x="8880"/>
        <item h="1" x="8881"/>
        <item h="1" x="8882"/>
        <item h="1" x="8883"/>
        <item h="1" x="8884"/>
        <item h="1" x="8885"/>
        <item h="1" x="8886"/>
        <item h="1" x="8887"/>
        <item h="1" x="8888"/>
        <item h="1" x="8889"/>
        <item h="1" x="8890"/>
        <item h="1" x="8891"/>
        <item h="1" x="8892"/>
        <item h="1" x="8893"/>
        <item h="1" x="8894"/>
        <item h="1" x="8895"/>
        <item h="1" x="8896"/>
        <item h="1" x="8897"/>
        <item h="1" x="8898"/>
        <item h="1" x="8899"/>
        <item h="1" x="8900"/>
        <item h="1" x="8901"/>
        <item h="1" x="8902"/>
        <item h="1" x="8903"/>
        <item h="1" x="8904"/>
        <item h="1" x="8905"/>
        <item h="1" x="8906"/>
        <item h="1" x="8907"/>
        <item h="1" x="8908"/>
        <item h="1" x="8909"/>
        <item h="1" x="8910"/>
        <item h="1" x="8911"/>
        <item h="1" x="8912"/>
        <item h="1" x="8913"/>
        <item h="1" x="8914"/>
        <item h="1" x="8915"/>
        <item h="1" x="8916"/>
        <item h="1" x="8917"/>
        <item h="1" x="8918"/>
        <item h="1" x="8919"/>
        <item h="1" x="8920"/>
        <item h="1" x="8921"/>
        <item h="1" x="8922"/>
        <item h="1" x="8923"/>
        <item h="1" x="8924"/>
        <item h="1" x="8925"/>
        <item h="1" x="8926"/>
        <item h="1" x="8927"/>
        <item h="1" x="8928"/>
        <item h="1" x="8929"/>
        <item h="1" x="8930"/>
        <item h="1" x="8931"/>
        <item h="1" x="8932"/>
        <item h="1" x="8933"/>
        <item h="1" x="8934"/>
        <item h="1" x="8935"/>
        <item h="1" x="8936"/>
        <item h="1" x="8937"/>
        <item h="1" x="8938"/>
        <item h="1" x="8939"/>
        <item h="1" x="8940"/>
        <item h="1" x="8941"/>
        <item h="1" x="8942"/>
        <item h="1" x="8943"/>
        <item h="1" x="8944"/>
        <item h="1" x="8945"/>
        <item h="1" x="8946"/>
        <item h="1" x="8947"/>
        <item h="1" x="8948"/>
        <item h="1" x="8949"/>
        <item h="1" x="8950"/>
        <item h="1" x="8951"/>
        <item h="1" x="8952"/>
        <item h="1" x="8953"/>
        <item h="1" x="8954"/>
        <item h="1" x="8955"/>
        <item h="1" x="8956"/>
        <item h="1" x="8957"/>
        <item h="1" x="8958"/>
        <item h="1" x="8959"/>
        <item h="1" x="8960"/>
        <item h="1" x="8961"/>
        <item h="1" x="8962"/>
        <item h="1" x="8963"/>
        <item h="1" x="8964"/>
        <item h="1" x="8965"/>
        <item h="1" x="8966"/>
        <item h="1" x="8967"/>
        <item h="1" x="8968"/>
        <item h="1" x="8969"/>
        <item h="1" x="8970"/>
        <item h="1" x="8971"/>
        <item h="1" x="8972"/>
        <item h="1" x="8973"/>
        <item h="1" x="8974"/>
        <item h="1" x="8975"/>
        <item h="1" x="8976"/>
        <item h="1" x="8977"/>
        <item h="1" x="8978"/>
        <item h="1" x="8979"/>
        <item h="1" x="8980"/>
        <item h="1" x="8981"/>
        <item h="1" x="8982"/>
        <item h="1" x="8983"/>
        <item h="1" x="8984"/>
        <item h="1" x="8985"/>
        <item h="1" x="8986"/>
        <item h="1" x="8987"/>
        <item h="1" x="8988"/>
        <item h="1" x="8989"/>
        <item h="1" x="8990"/>
        <item h="1" x="8991"/>
        <item h="1" x="8992"/>
        <item h="1" x="8993"/>
        <item h="1" x="8994"/>
        <item h="1" x="8995"/>
        <item h="1" x="8996"/>
        <item h="1" x="8997"/>
        <item h="1" x="8998"/>
        <item h="1" x="8999"/>
        <item h="1" x="9000"/>
        <item h="1" x="9001"/>
        <item h="1" x="9002"/>
        <item h="1" x="9003"/>
        <item h="1" x="9004"/>
        <item h="1" x="9005"/>
        <item h="1" x="9006"/>
        <item h="1" x="9007"/>
        <item h="1" x="9008"/>
        <item h="1" x="9009"/>
        <item h="1" x="9010"/>
        <item h="1" x="9011"/>
        <item h="1" x="9012"/>
        <item h="1" x="9013"/>
        <item h="1" x="9014"/>
        <item h="1" x="9015"/>
        <item h="1" x="9016"/>
        <item h="1" x="9017"/>
        <item h="1" x="9018"/>
        <item h="1" x="9019"/>
        <item h="1" x="9020"/>
        <item h="1" x="9021"/>
        <item h="1" x="9022"/>
        <item h="1" x="9023"/>
        <item h="1" x="9024"/>
        <item h="1" x="9025"/>
        <item h="1" x="9026"/>
        <item h="1" x="9027"/>
        <item h="1" x="9028"/>
        <item h="1" x="9029"/>
        <item h="1" x="9030"/>
        <item h="1" x="9031"/>
        <item h="1" x="9032"/>
        <item h="1" x="9033"/>
        <item h="1" x="9034"/>
        <item h="1" x="9035"/>
        <item h="1" x="9036"/>
        <item h="1" x="9037"/>
        <item h="1" x="9038"/>
        <item h="1" x="9039"/>
        <item h="1" x="9040"/>
        <item h="1" x="9041"/>
        <item h="1" x="9042"/>
        <item h="1" x="9043"/>
        <item h="1" x="9044"/>
        <item h="1" x="9045"/>
        <item h="1" x="9046"/>
        <item h="1" x="9047"/>
        <item h="1" x="9048"/>
        <item h="1" x="9049"/>
        <item h="1" x="9050"/>
        <item h="1" x="9051"/>
        <item h="1" x="9052"/>
        <item h="1" x="9053"/>
        <item h="1" x="9054"/>
        <item h="1" x="9055"/>
        <item h="1" x="9056"/>
        <item h="1" x="9057"/>
        <item h="1" x="9058"/>
        <item h="1" x="9059"/>
        <item h="1" x="9060"/>
        <item h="1" x="9061"/>
        <item h="1" x="9062"/>
        <item h="1" x="9063"/>
        <item h="1" x="9064"/>
        <item h="1" x="9065"/>
        <item h="1" x="9066"/>
        <item h="1" x="9067"/>
        <item h="1" x="9068"/>
        <item h="1" x="9069"/>
        <item h="1" x="9070"/>
        <item h="1" x="9071"/>
        <item h="1" x="9072"/>
        <item h="1" x="9073"/>
        <item h="1" x="9074"/>
        <item h="1" x="9075"/>
        <item h="1" x="9076"/>
        <item h="1" x="9077"/>
        <item h="1" x="9078"/>
        <item h="1" x="9079"/>
        <item h="1" x="9080"/>
        <item h="1" x="9081"/>
        <item h="1" x="9082"/>
        <item h="1" x="9083"/>
        <item h="1" x="9084"/>
        <item h="1" x="9085"/>
        <item h="1" x="9086"/>
        <item h="1" x="9087"/>
        <item h="1" x="9088"/>
        <item h="1" x="9089"/>
        <item h="1" x="9090"/>
        <item h="1" x="9091"/>
        <item h="1" x="9092"/>
        <item h="1" x="9093"/>
        <item h="1" x="9094"/>
        <item h="1" x="9095"/>
        <item h="1" x="9096"/>
        <item h="1" x="9097"/>
        <item h="1" x="9098"/>
        <item h="1" x="9099"/>
        <item h="1" x="9100"/>
        <item h="1" x="9101"/>
        <item h="1" x="9102"/>
        <item h="1" x="9103"/>
        <item h="1" x="9104"/>
        <item h="1" x="9105"/>
        <item h="1" x="9106"/>
        <item h="1" x="9107"/>
        <item h="1" x="9108"/>
        <item h="1" x="9109"/>
        <item h="1" x="9110"/>
        <item h="1" x="9111"/>
        <item h="1" x="9112"/>
        <item h="1" x="9113"/>
        <item h="1" x="9114"/>
        <item h="1" x="9115"/>
        <item h="1" x="9116"/>
        <item h="1" x="9117"/>
        <item h="1" x="9118"/>
        <item h="1" x="9119"/>
        <item h="1" x="9120"/>
        <item h="1" x="9121"/>
        <item h="1" x="9122"/>
        <item h="1" x="9123"/>
        <item h="1" x="9124"/>
        <item h="1" x="9125"/>
        <item h="1" x="9126"/>
        <item h="1" x="9127"/>
        <item h="1" x="9128"/>
        <item h="1" x="9129"/>
        <item h="1" x="9130"/>
        <item h="1" x="9131"/>
        <item h="1" x="9132"/>
        <item h="1" x="9133"/>
        <item h="1" x="9134"/>
        <item h="1" x="9135"/>
        <item h="1" x="9136"/>
        <item h="1" x="9137"/>
        <item h="1" x="9138"/>
        <item h="1" x="9139"/>
        <item h="1" x="9140"/>
        <item h="1" x="9141"/>
        <item h="1" x="9142"/>
        <item h="1" x="9143"/>
        <item h="1" x="9144"/>
        <item h="1" x="9145"/>
        <item h="1" x="9146"/>
        <item h="1" x="9147"/>
        <item h="1" x="9148"/>
        <item h="1" x="9149"/>
        <item h="1" x="9150"/>
        <item h="1" x="9151"/>
        <item h="1" x="9152"/>
        <item h="1" x="9153"/>
        <item h="1" x="9154"/>
        <item h="1" x="9155"/>
        <item h="1" x="9156"/>
        <item h="1" x="9157"/>
        <item h="1" x="9158"/>
        <item h="1" x="9159"/>
        <item h="1" x="9160"/>
        <item h="1" x="9161"/>
        <item h="1" x="9162"/>
        <item h="1" x="9163"/>
        <item h="1" x="9164"/>
        <item h="1" x="9165"/>
        <item h="1" x="9166"/>
        <item h="1" x="9167"/>
        <item h="1" x="9168"/>
        <item h="1" x="9169"/>
        <item h="1" x="9170"/>
        <item h="1" x="9171"/>
        <item h="1" x="9172"/>
        <item h="1" x="9173"/>
        <item h="1" x="9174"/>
        <item h="1" x="9175"/>
        <item h="1" x="9176"/>
        <item h="1" x="9177"/>
        <item h="1" x="9178"/>
        <item h="1" x="9179"/>
        <item h="1" x="9180"/>
        <item h="1" x="9181"/>
        <item h="1" x="9182"/>
        <item h="1" x="9183"/>
        <item h="1" x="9184"/>
        <item h="1" x="9185"/>
        <item h="1" x="9186"/>
        <item h="1" x="9187"/>
        <item h="1" x="9188"/>
        <item h="1" x="9189"/>
        <item h="1" x="9190"/>
        <item h="1" x="9191"/>
        <item h="1" x="9192"/>
        <item h="1" x="9193"/>
        <item h="1" x="9194"/>
        <item h="1" x="9195"/>
        <item h="1" x="9196"/>
        <item h="1" x="9197"/>
        <item h="1" x="9198"/>
        <item h="1" x="9199"/>
        <item h="1" x="9200"/>
        <item h="1" x="9201"/>
        <item h="1" x="9202"/>
        <item h="1" x="9203"/>
        <item h="1" x="9204"/>
        <item h="1" x="9205"/>
        <item h="1" x="9206"/>
        <item h="1" x="9207"/>
        <item h="1" x="9208"/>
        <item h="1" x="9209"/>
        <item h="1" x="9210"/>
        <item h="1" x="9211"/>
        <item h="1" x="9212"/>
        <item h="1" x="9213"/>
        <item h="1" x="9214"/>
        <item h="1" x="9215"/>
        <item h="1" x="9216"/>
        <item h="1" x="9217"/>
        <item h="1" x="9218"/>
        <item h="1" x="9219"/>
        <item h="1" x="9220"/>
        <item h="1" x="9221"/>
        <item h="1" x="9222"/>
        <item h="1" x="9223"/>
        <item h="1" x="9224"/>
        <item h="1" x="9225"/>
        <item h="1" x="9226"/>
        <item h="1" x="9227"/>
        <item h="1" x="9228"/>
        <item h="1" x="9229"/>
        <item h="1" x="9230"/>
        <item h="1" x="9231"/>
        <item h="1" x="9232"/>
        <item h="1" x="9233"/>
        <item h="1" x="9234"/>
        <item h="1" x="9235"/>
        <item h="1" x="9236"/>
        <item h="1" x="9237"/>
        <item h="1" x="9238"/>
        <item h="1" x="9239"/>
        <item h="1" x="9240"/>
        <item h="1" x="9241"/>
        <item h="1" x="9242"/>
        <item h="1" x="9243"/>
        <item h="1" x="9244"/>
        <item h="1" x="9245"/>
        <item h="1" x="9246"/>
        <item h="1" x="9247"/>
        <item h="1" x="9248"/>
        <item h="1" x="9249"/>
        <item h="1" x="9250"/>
        <item h="1" x="9251"/>
        <item h="1" x="9252"/>
        <item h="1" x="9253"/>
        <item h="1" x="9254"/>
        <item h="1" x="9255"/>
        <item h="1" x="9256"/>
        <item h="1" x="9257"/>
        <item h="1" x="9258"/>
        <item h="1" x="9259"/>
        <item h="1" x="9260"/>
        <item h="1" x="9261"/>
        <item h="1" x="9262"/>
        <item h="1" x="9263"/>
        <item h="1" x="9264"/>
        <item h="1" x="9265"/>
        <item h="1" x="9266"/>
        <item h="1" x="9267"/>
        <item h="1" x="9268"/>
        <item h="1" x="9269"/>
        <item h="1" x="9270"/>
        <item h="1" x="9271"/>
        <item h="1" x="9272"/>
        <item h="1" x="9273"/>
        <item h="1" x="9274"/>
        <item h="1" x="9275"/>
        <item h="1" x="9276"/>
        <item h="1" x="9277"/>
        <item h="1" x="9278"/>
        <item h="1" x="9279"/>
        <item h="1" x="9280"/>
        <item h="1" x="9281"/>
        <item h="1" x="9282"/>
        <item h="1" x="9283"/>
        <item h="1" x="9284"/>
        <item h="1" x="9285"/>
        <item h="1" x="9286"/>
        <item h="1" x="9287"/>
        <item h="1" x="9288"/>
        <item h="1" x="9289"/>
        <item h="1" x="9290"/>
        <item h="1" x="9291"/>
        <item h="1" x="9292"/>
        <item h="1" x="9293"/>
        <item h="1" x="9294"/>
        <item h="1" x="9295"/>
        <item h="1" x="9296"/>
        <item h="1" x="9297"/>
        <item h="1" x="9298"/>
        <item h="1" x="9299"/>
        <item h="1" x="9300"/>
        <item h="1" x="9301"/>
        <item h="1" x="9302"/>
        <item h="1" x="9303"/>
        <item h="1" x="9304"/>
        <item h="1" x="9305"/>
        <item h="1" x="9306"/>
        <item h="1" x="9307"/>
        <item h="1" x="9308"/>
        <item h="1" x="9309"/>
        <item h="1" x="9310"/>
        <item h="1" x="9311"/>
        <item h="1" x="9312"/>
        <item h="1" x="9313"/>
        <item h="1" x="9314"/>
        <item h="1" x="9315"/>
        <item h="1" x="9316"/>
        <item h="1" x="9317"/>
        <item h="1" x="9318"/>
        <item h="1" x="9319"/>
        <item h="1" x="9320"/>
        <item h="1" x="9321"/>
        <item h="1" x="9322"/>
        <item h="1" x="9323"/>
        <item h="1" x="9324"/>
        <item h="1" x="9325"/>
        <item h="1" x="9326"/>
        <item h="1" x="9327"/>
        <item h="1" x="9328"/>
        <item h="1" x="9329"/>
        <item h="1" x="9330"/>
        <item h="1" x="9331"/>
        <item h="1" x="9332"/>
        <item h="1" x="9333"/>
        <item h="1" x="9334"/>
        <item h="1" x="9335"/>
        <item h="1" x="9336"/>
        <item h="1" x="9337"/>
        <item h="1" x="9338"/>
        <item h="1" x="9339"/>
        <item h="1" x="9340"/>
        <item h="1" x="9341"/>
        <item h="1" x="9342"/>
        <item h="1" x="9343"/>
        <item h="1" x="9344"/>
        <item h="1" x="9345"/>
        <item h="1" x="9346"/>
        <item h="1" x="9347"/>
        <item h="1" x="9348"/>
        <item h="1" x="9349"/>
        <item h="1" x="9350"/>
        <item h="1" x="9351"/>
        <item h="1" x="9352"/>
        <item h="1" x="9353"/>
        <item h="1" x="9354"/>
        <item h="1" x="9355"/>
        <item h="1" x="9356"/>
        <item h="1" x="9357"/>
        <item h="1" x="9358"/>
        <item h="1" x="9359"/>
        <item h="1" x="9360"/>
        <item h="1" x="9361"/>
        <item h="1" x="9362"/>
        <item h="1" x="9363"/>
        <item h="1" x="9364"/>
        <item h="1" x="9365"/>
        <item h="1" x="9366"/>
        <item h="1" x="9367"/>
        <item h="1" x="9368"/>
        <item h="1" x="9369"/>
        <item h="1" x="9370"/>
        <item h="1" x="9371"/>
        <item h="1" x="9372"/>
        <item h="1" x="9373"/>
        <item h="1" x="9374"/>
        <item h="1" x="9375"/>
        <item h="1" x="9376"/>
        <item h="1" x="9377"/>
        <item h="1" x="9378"/>
        <item h="1" x="9379"/>
        <item h="1" x="9380"/>
        <item h="1" x="9381"/>
        <item h="1" x="9382"/>
        <item h="1" x="9383"/>
        <item h="1" x="9384"/>
        <item h="1" x="9385"/>
        <item h="1" x="9386"/>
        <item h="1" x="9387"/>
        <item h="1" x="9388"/>
        <item h="1" x="9389"/>
        <item h="1" x="9390"/>
        <item h="1" x="9391"/>
        <item h="1" x="9392"/>
        <item h="1" x="9393"/>
        <item h="1" x="9394"/>
        <item h="1" x="9395"/>
        <item h="1" x="9396"/>
        <item h="1" x="9397"/>
        <item h="1" x="9398"/>
        <item h="1" x="9399"/>
        <item h="1" x="9400"/>
        <item h="1" x="9401"/>
        <item h="1" x="9402"/>
        <item h="1" x="9403"/>
        <item h="1" x="9404"/>
        <item h="1" x="9405"/>
        <item h="1" x="9406"/>
        <item h="1" x="9407"/>
        <item h="1" x="9408"/>
        <item h="1" x="9409"/>
        <item h="1" x="9410"/>
        <item h="1" x="9411"/>
        <item h="1" x="9412"/>
        <item h="1" x="9413"/>
        <item h="1" x="9414"/>
        <item h="1" x="9415"/>
        <item h="1" x="9416"/>
        <item h="1" x="9417"/>
        <item h="1" x="9418"/>
        <item h="1" x="9419"/>
        <item h="1" x="9420"/>
        <item h="1" x="9421"/>
        <item h="1" x="9422"/>
        <item h="1" x="9423"/>
        <item h="1" x="9424"/>
        <item h="1" x="9425"/>
        <item h="1" x="9426"/>
        <item h="1" x="9427"/>
        <item h="1" x="9428"/>
        <item h="1" x="9429"/>
        <item h="1" x="9430"/>
        <item h="1" x="9431"/>
        <item h="1" x="9432"/>
        <item h="1" x="9433"/>
        <item h="1" x="9434"/>
        <item h="1" x="9435"/>
        <item h="1" x="9436"/>
        <item h="1" x="9437"/>
        <item h="1" x="9438"/>
        <item h="1" x="9439"/>
        <item h="1" x="9440"/>
        <item h="1" x="9441"/>
        <item h="1" x="9442"/>
        <item h="1" x="9443"/>
        <item h="1" x="9444"/>
        <item h="1" x="9445"/>
        <item h="1" x="9446"/>
        <item h="1" x="9447"/>
        <item h="1" x="9448"/>
        <item h="1" x="9449"/>
        <item h="1" x="9450"/>
        <item h="1" x="9451"/>
        <item h="1" x="9452"/>
        <item h="1" x="9453"/>
        <item h="1" x="9454"/>
        <item h="1" x="9455"/>
        <item h="1" x="9456"/>
        <item h="1" x="9457"/>
        <item h="1" x="9458"/>
        <item h="1" x="9459"/>
        <item h="1" x="9460"/>
        <item h="1" x="9461"/>
        <item h="1" x="9462"/>
        <item h="1" x="9463"/>
        <item h="1" x="9464"/>
        <item h="1" x="9465"/>
        <item h="1" x="9466"/>
        <item h="1" x="9467"/>
        <item h="1" x="9468"/>
        <item h="1" x="9469"/>
        <item h="1" x="9470"/>
        <item h="1" x="9471"/>
        <item h="1" x="9472"/>
        <item h="1" x="9473"/>
        <item h="1" x="9474"/>
        <item h="1" x="9475"/>
        <item h="1" x="9476"/>
        <item h="1" x="9477"/>
        <item h="1" x="9478"/>
        <item h="1" x="9479"/>
        <item h="1" x="9480"/>
        <item h="1" x="9481"/>
        <item h="1" x="9482"/>
        <item h="1" x="9483"/>
        <item h="1" x="9484"/>
        <item h="1" x="9485"/>
        <item h="1" x="9486"/>
        <item h="1" x="9487"/>
        <item h="1" x="9488"/>
        <item h="1" x="9489"/>
        <item h="1" x="9490"/>
        <item h="1" x="9491"/>
        <item h="1" x="9492"/>
        <item h="1" x="9493"/>
        <item h="1" x="9494"/>
        <item h="1" x="9495"/>
        <item h="1" x="9496"/>
        <item h="1" x="9497"/>
        <item h="1" x="9498"/>
        <item h="1" x="9499"/>
        <item h="1" x="9500"/>
        <item h="1" x="9501"/>
        <item h="1" x="9502"/>
        <item h="1" x="9503"/>
        <item h="1" x="9504"/>
        <item h="1" x="9505"/>
        <item h="1" x="9506"/>
        <item h="1" x="9507"/>
        <item h="1" x="9508"/>
        <item h="1" x="9509"/>
        <item h="1" x="9510"/>
        <item h="1" x="9511"/>
        <item h="1" x="9512"/>
        <item h="1" x="9513"/>
        <item h="1" x="9514"/>
        <item h="1" x="9515"/>
        <item h="1" x="9516"/>
        <item h="1" x="9517"/>
        <item h="1" x="9518"/>
        <item h="1" x="9519"/>
        <item h="1" x="9520"/>
        <item h="1" x="9521"/>
        <item h="1" x="9522"/>
        <item h="1" x="9523"/>
        <item h="1" x="9524"/>
        <item h="1" x="9525"/>
        <item h="1" x="9526"/>
        <item h="1" x="9527"/>
        <item h="1" x="9528"/>
        <item h="1" x="9529"/>
        <item h="1" x="9530"/>
        <item h="1" x="9531"/>
        <item h="1" x="9532"/>
        <item h="1" x="9533"/>
        <item h="1" x="9534"/>
        <item h="1" x="9535"/>
        <item h="1" x="9536"/>
        <item h="1" x="9537"/>
        <item h="1" x="9538"/>
        <item h="1" x="9539"/>
        <item h="1" x="9540"/>
        <item h="1" x="9541"/>
        <item h="1" x="9542"/>
        <item h="1" x="9543"/>
        <item h="1" x="9544"/>
        <item h="1" x="9545"/>
        <item h="1" x="9546"/>
        <item h="1" x="9547"/>
        <item h="1" x="9548"/>
        <item h="1" x="9549"/>
        <item h="1" x="9550"/>
        <item h="1" x="9551"/>
        <item h="1" x="9552"/>
        <item h="1" x="9553"/>
        <item h="1" x="9554"/>
        <item h="1" x="9555"/>
        <item h="1" x="9556"/>
        <item h="1" x="9557"/>
        <item h="1" x="9558"/>
        <item h="1" x="9559"/>
        <item h="1" x="9560"/>
        <item h="1" x="9561"/>
        <item h="1" x="9562"/>
        <item h="1" x="9563"/>
        <item h="1" x="9564"/>
        <item h="1" x="9565"/>
        <item h="1" x="9566"/>
        <item h="1" x="9567"/>
        <item h="1" x="9568"/>
        <item h="1" x="9569"/>
        <item h="1" x="9570"/>
        <item h="1" x="9571"/>
        <item h="1" x="9572"/>
        <item h="1" x="9573"/>
        <item h="1" x="9574"/>
        <item h="1" x="9575"/>
        <item h="1" x="9576"/>
        <item h="1" x="9577"/>
        <item h="1" x="9578"/>
        <item h="1" x="9579"/>
        <item h="1" x="9580"/>
        <item h="1" x="9581"/>
        <item h="1" x="9582"/>
        <item h="1" x="9583"/>
        <item h="1" x="9584"/>
        <item h="1" x="9585"/>
        <item h="1" x="9586"/>
        <item h="1" x="9587"/>
        <item h="1" x="9588"/>
        <item h="1" x="9589"/>
        <item h="1" x="9590"/>
        <item h="1" x="9591"/>
        <item h="1" x="9592"/>
        <item h="1" x="9593"/>
        <item h="1" x="9594"/>
        <item h="1" x="9595"/>
        <item h="1" x="9596"/>
        <item h="1" x="9597"/>
        <item h="1" x="9598"/>
        <item h="1" x="9599"/>
        <item h="1" x="9600"/>
        <item h="1" x="9601"/>
        <item h="1" x="9602"/>
        <item h="1" x="9603"/>
        <item h="1" x="9604"/>
        <item h="1" x="9605"/>
        <item h="1" x="9606"/>
        <item h="1" x="9607"/>
        <item h="1" x="9608"/>
        <item h="1" x="9609"/>
        <item h="1" x="9610"/>
        <item h="1" x="9611"/>
        <item h="1" x="9612"/>
        <item h="1" x="9613"/>
        <item h="1" x="9614"/>
        <item h="1" x="9615"/>
        <item h="1" x="9616"/>
        <item h="1" x="9617"/>
        <item h="1" x="9618"/>
        <item h="1" x="9619"/>
        <item h="1" x="9620"/>
        <item h="1" x="9621"/>
        <item h="1" x="9622"/>
        <item h="1" x="9623"/>
        <item h="1" x="9624"/>
        <item h="1" x="9625"/>
        <item h="1" x="9626"/>
        <item h="1" x="9627"/>
        <item h="1" x="9628"/>
        <item h="1" x="9629"/>
        <item h="1" x="9630"/>
        <item h="1" x="9631"/>
        <item h="1" x="9632"/>
        <item h="1" x="9633"/>
        <item h="1" x="9634"/>
        <item h="1" x="9635"/>
        <item h="1" x="9636"/>
        <item h="1" x="9637"/>
        <item h="1" x="9638"/>
        <item h="1" x="9639"/>
        <item h="1" x="9640"/>
        <item h="1" x="9641"/>
        <item h="1" x="9642"/>
        <item h="1" x="9643"/>
        <item h="1" x="9644"/>
        <item h="1" x="9645"/>
        <item h="1" x="9646"/>
        <item h="1" x="9647"/>
        <item h="1" x="9648"/>
        <item h="1" x="9649"/>
        <item h="1" x="9650"/>
        <item h="1" x="9651"/>
        <item h="1" x="9652"/>
        <item h="1" x="9653"/>
        <item h="1" x="9654"/>
        <item h="1" x="9655"/>
        <item h="1" x="9656"/>
        <item h="1" x="9657"/>
        <item h="1" x="9658"/>
        <item h="1" x="9659"/>
        <item h="1" x="9660"/>
        <item h="1" x="9661"/>
        <item h="1" x="9662"/>
        <item h="1" x="9663"/>
        <item h="1" x="9664"/>
        <item h="1" x="9665"/>
        <item h="1" x="9666"/>
        <item h="1" x="9667"/>
        <item h="1" x="9668"/>
        <item h="1" x="9669"/>
        <item h="1" x="9670"/>
        <item h="1" x="9671"/>
        <item h="1" x="9672"/>
        <item h="1" x="9673"/>
        <item h="1" x="9674"/>
        <item h="1" x="9675"/>
        <item h="1" x="9676"/>
        <item h="1" x="9677"/>
        <item h="1" x="9678"/>
        <item h="1" x="9679"/>
        <item h="1" x="9680"/>
        <item h="1" x="9681"/>
        <item h="1" x="9682"/>
        <item h="1" x="9683"/>
        <item h="1" x="9684"/>
        <item h="1" x="9685"/>
        <item h="1" x="9686"/>
        <item h="1" x="9687"/>
        <item h="1" x="9688"/>
        <item h="1" x="9689"/>
        <item h="1" x="9690"/>
        <item h="1" x="9691"/>
        <item h="1" x="9692"/>
        <item h="1" x="9693"/>
        <item h="1" x="9694"/>
        <item h="1" x="9695"/>
        <item h="1" x="9696"/>
        <item h="1" x="9697"/>
        <item h="1" x="9698"/>
        <item h="1" x="9699"/>
        <item h="1" x="9700"/>
        <item h="1" x="9701"/>
        <item h="1" x="9702"/>
        <item h="1" x="9703"/>
        <item h="1" x="9704"/>
        <item h="1" x="9705"/>
        <item h="1" x="9706"/>
        <item h="1" x="9707"/>
        <item h="1" x="9708"/>
        <item h="1" x="9709"/>
        <item h="1" x="9710"/>
        <item h="1" x="9711"/>
        <item h="1" x="9712"/>
        <item h="1" x="9713"/>
        <item h="1" x="9714"/>
        <item h="1" x="9715"/>
        <item h="1" x="9716"/>
        <item h="1" x="9717"/>
        <item h="1" x="9718"/>
        <item h="1" x="9719"/>
        <item h="1" x="9720"/>
        <item h="1" x="9721"/>
        <item h="1" x="9722"/>
        <item h="1" x="9723"/>
        <item h="1" x="9724"/>
        <item h="1" x="9725"/>
        <item h="1" x="9726"/>
        <item h="1" x="9727"/>
        <item h="1" x="9728"/>
        <item h="1" x="9729"/>
        <item h="1" x="9730"/>
        <item h="1" x="9731"/>
        <item h="1" x="9732"/>
        <item h="1" x="9733"/>
        <item h="1" x="9734"/>
        <item h="1" x="9735"/>
        <item h="1" x="9736"/>
        <item h="1" x="9737"/>
        <item h="1" x="9738"/>
        <item h="1" x="9739"/>
        <item h="1" x="9740"/>
        <item h="1" x="9741"/>
        <item h="1" x="9742"/>
        <item h="1" x="9743"/>
        <item h="1" x="9744"/>
        <item h="1" x="9745"/>
        <item h="1" x="9746"/>
        <item h="1" x="9747"/>
        <item h="1" x="9748"/>
        <item h="1" x="9749"/>
        <item h="1" x="9750"/>
        <item h="1" x="9751"/>
        <item h="1" x="9752"/>
        <item h="1" x="9753"/>
        <item h="1" x="9754"/>
        <item h="1" x="9755"/>
        <item h="1" x="9756"/>
        <item h="1" x="9757"/>
        <item h="1" x="9758"/>
        <item h="1" x="9759"/>
        <item h="1" x="9760"/>
        <item h="1" x="9761"/>
        <item h="1" x="9762"/>
        <item h="1" x="9763"/>
        <item h="1" x="9764"/>
        <item h="1" x="9765"/>
        <item h="1" x="9766"/>
        <item h="1" x="9767"/>
        <item h="1" x="9768"/>
        <item h="1" x="9769"/>
        <item h="1" x="9770"/>
        <item h="1" x="9771"/>
        <item h="1" x="9772"/>
        <item h="1" x="9773"/>
        <item h="1" x="9774"/>
        <item h="1" x="9775"/>
        <item h="1" x="9776"/>
        <item h="1" x="9777"/>
        <item h="1" x="9778"/>
        <item h="1" x="9779"/>
        <item h="1" x="9780"/>
        <item h="1" x="9781"/>
        <item h="1" x="9782"/>
        <item h="1" x="9783"/>
        <item h="1" x="9784"/>
        <item h="1" x="9785"/>
        <item h="1" x="9786"/>
        <item h="1" x="9787"/>
        <item h="1" x="9788"/>
        <item h="1" x="9789"/>
        <item h="1" x="9790"/>
        <item h="1" x="9791"/>
        <item h="1" x="9792"/>
        <item h="1" x="9793"/>
        <item h="1" x="9794"/>
        <item h="1" x="9795"/>
        <item h="1" x="9796"/>
        <item h="1" x="9797"/>
        <item h="1" x="9798"/>
        <item h="1" x="9799"/>
        <item h="1" x="9800"/>
        <item h="1" x="9801"/>
        <item h="1" x="9802"/>
        <item h="1" x="9803"/>
        <item h="1" x="9804"/>
        <item h="1" x="9805"/>
        <item h="1" x="9806"/>
        <item h="1" x="9807"/>
        <item h="1" x="9808"/>
        <item h="1" x="9809"/>
        <item h="1" x="9810"/>
        <item h="1" x="9811"/>
        <item h="1" x="9812"/>
        <item h="1" x="9813"/>
        <item h="1" x="9814"/>
        <item h="1" x="9815"/>
        <item h="1" x="9816"/>
        <item h="1" x="9817"/>
        <item h="1" x="9818"/>
        <item h="1" x="9819"/>
        <item h="1" x="9820"/>
        <item h="1" x="9821"/>
        <item h="1" x="9822"/>
        <item h="1" x="9823"/>
        <item h="1" x="9824"/>
        <item h="1" x="9825"/>
        <item h="1" x="9826"/>
        <item h="1" x="9827"/>
        <item h="1" x="9828"/>
        <item h="1" x="9829"/>
        <item h="1" x="9830"/>
        <item h="1" x="9831"/>
        <item h="1" x="9832"/>
        <item h="1" x="9833"/>
        <item h="1" x="9834"/>
        <item h="1" x="9835"/>
        <item h="1" x="9836"/>
        <item h="1" x="9837"/>
        <item h="1" x="9838"/>
        <item h="1" x="9839"/>
        <item h="1" x="9840"/>
        <item h="1" x="9841"/>
        <item h="1" x="9842"/>
        <item h="1" x="9843"/>
        <item h="1" x="9844"/>
        <item h="1" x="9845"/>
        <item h="1" x="9846"/>
        <item h="1" x="9847"/>
        <item h="1" x="9848"/>
        <item h="1" x="9849"/>
        <item h="1" x="9850"/>
        <item h="1" x="9851"/>
        <item h="1" x="9852"/>
        <item h="1" x="9853"/>
        <item h="1" x="9854"/>
        <item h="1" x="9855"/>
        <item h="1" x="9856"/>
        <item h="1" x="9857"/>
        <item h="1" x="9858"/>
        <item h="1" x="9859"/>
        <item h="1" x="9860"/>
        <item h="1" x="9861"/>
        <item h="1" x="9862"/>
        <item h="1" x="9863"/>
        <item h="1" x="9864"/>
        <item h="1" x="9865"/>
        <item h="1" x="9866"/>
        <item h="1" x="9867"/>
        <item h="1" x="9868"/>
        <item h="1" x="9869"/>
        <item h="1" x="9870"/>
        <item h="1" x="9871"/>
        <item h="1" x="9872"/>
        <item h="1" x="9873"/>
        <item h="1" x="9874"/>
        <item h="1" x="9875"/>
        <item h="1" x="9876"/>
        <item h="1" x="9877"/>
        <item h="1" x="9878"/>
        <item h="1" x="9879"/>
        <item h="1" x="9880"/>
        <item h="1" x="9881"/>
        <item h="1" x="9882"/>
        <item h="1" x="9883"/>
        <item h="1" x="9884"/>
        <item h="1" x="9885"/>
        <item h="1" x="9886"/>
        <item h="1" x="9887"/>
        <item h="1" x="9888"/>
        <item h="1" x="9889"/>
        <item h="1" x="9890"/>
        <item h="1" x="9891"/>
        <item h="1" x="9892"/>
        <item h="1" x="9893"/>
        <item h="1" x="9894"/>
        <item h="1" x="9895"/>
        <item h="1" x="9896"/>
        <item h="1" x="9897"/>
        <item h="1" x="9898"/>
        <item h="1" x="9899"/>
        <item h="1" x="9900"/>
        <item h="1" x="9901"/>
        <item h="1" x="9902"/>
        <item h="1" x="9903"/>
        <item h="1" x="9904"/>
        <item h="1" x="9905"/>
        <item h="1" x="9906"/>
        <item h="1" x="9907"/>
        <item h="1" x="9908"/>
        <item h="1" x="9909"/>
        <item h="1" x="9910"/>
        <item h="1" x="9911"/>
        <item h="1" x="9912"/>
        <item h="1" x="9913"/>
        <item h="1" x="9914"/>
        <item h="1" x="9915"/>
        <item h="1" x="9916"/>
        <item h="1" x="9917"/>
        <item h="1" x="9918"/>
        <item h="1" x="9919"/>
        <item h="1" x="9920"/>
        <item h="1" x="9921"/>
        <item h="1" x="9922"/>
        <item h="1" x="9923"/>
        <item h="1" x="9924"/>
        <item h="1" x="9925"/>
        <item h="1" x="9926"/>
        <item h="1" x="9927"/>
        <item h="1" x="9928"/>
        <item h="1" x="9929"/>
        <item h="1" x="9930"/>
        <item h="1" x="9931"/>
        <item h="1" x="9932"/>
        <item h="1" x="9933"/>
        <item h="1" x="9934"/>
        <item h="1" x="9935"/>
        <item h="1" x="9936"/>
        <item h="1" x="9937"/>
        <item h="1" x="9938"/>
        <item h="1" x="9939"/>
        <item h="1" x="9940"/>
        <item h="1" x="9941"/>
        <item h="1" x="9942"/>
        <item h="1" x="9943"/>
        <item h="1" x="9944"/>
        <item h="1" x="9945"/>
        <item h="1" x="9946"/>
        <item h="1" x="9947"/>
        <item h="1" x="9948"/>
        <item h="1" x="9949"/>
        <item h="1" x="9950"/>
        <item h="1" x="9951"/>
        <item h="1" x="9952"/>
        <item h="1" x="9953"/>
        <item h="1" x="9954"/>
        <item h="1" x="9955"/>
        <item h="1" x="9956"/>
        <item h="1" x="9957"/>
        <item h="1" x="9958"/>
        <item h="1" x="9959"/>
        <item h="1" x="9960"/>
        <item h="1" x="9961"/>
        <item h="1" x="9962"/>
        <item h="1" x="9963"/>
        <item h="1" x="9964"/>
        <item h="1" x="9965"/>
        <item h="1" x="9966"/>
        <item h="1" x="9967"/>
        <item h="1" x="9968"/>
        <item h="1" x="9969"/>
        <item h="1" x="9970"/>
        <item h="1" x="9971"/>
        <item h="1" x="9972"/>
        <item h="1" x="9973"/>
        <item h="1" x="9974"/>
        <item h="1" x="9975"/>
        <item h="1" x="9976"/>
        <item h="1" x="9977"/>
        <item h="1" x="9978"/>
        <item h="1" x="9979"/>
        <item h="1" x="9980"/>
        <item h="1" x="9981"/>
        <item h="1" x="9982"/>
        <item h="1" x="9983"/>
        <item h="1" x="9984"/>
        <item h="1" x="9985"/>
        <item h="1" x="9986"/>
        <item h="1" x="9987"/>
        <item h="1" x="9988"/>
        <item h="1" x="9989"/>
        <item h="1" x="9990"/>
        <item h="1" x="9991"/>
        <item h="1" x="9992"/>
        <item h="1" x="9993"/>
        <item h="1" x="9994"/>
        <item h="1" x="9995"/>
        <item h="1" x="9996"/>
        <item h="1" x="9997"/>
        <item h="1" x="9998"/>
        <item h="1" x="9999"/>
        <item h="1" x="10000"/>
        <item h="1" x="10001"/>
        <item h="1" x="10002"/>
        <item h="1" x="10003"/>
        <item h="1" x="10004"/>
        <item h="1" x="10005"/>
        <item h="1" x="10006"/>
        <item h="1" x="10007"/>
        <item h="1" x="10008"/>
        <item h="1" x="10009"/>
        <item h="1" x="10010"/>
        <item h="1" x="10011"/>
        <item h="1" x="10012"/>
        <item h="1" x="10013"/>
        <item h="1" x="10014"/>
        <item h="1" x="10015"/>
        <item h="1" x="10016"/>
        <item h="1" x="10017"/>
        <item h="1" x="10018"/>
        <item h="1" x="10019"/>
        <item h="1" x="10020"/>
        <item h="1" x="10021"/>
        <item h="1" x="10022"/>
        <item h="1" x="10023"/>
        <item h="1" x="10024"/>
        <item h="1" x="10025"/>
        <item h="1" x="10026"/>
        <item h="1" x="10027"/>
        <item h="1" x="10028"/>
        <item h="1" x="10029"/>
        <item h="1" x="10030"/>
        <item h="1" x="10031"/>
        <item h="1" x="10032"/>
        <item h="1" x="10033"/>
        <item h="1" x="10034"/>
        <item h="1" x="10035"/>
        <item h="1" x="10036"/>
        <item h="1" x="10037"/>
        <item h="1" x="10038"/>
        <item h="1" x="10039"/>
        <item h="1" x="10040"/>
        <item h="1" x="10041"/>
        <item h="1" x="10042"/>
        <item h="1" x="10043"/>
        <item h="1" x="10044"/>
        <item h="1" x="10045"/>
        <item h="1" x="10046"/>
        <item h="1" x="10047"/>
        <item h="1" x="10048"/>
        <item h="1" x="10049"/>
        <item h="1" x="10050"/>
        <item h="1" x="10051"/>
        <item h="1" x="10052"/>
        <item h="1" x="10053"/>
        <item h="1" x="10054"/>
        <item h="1" x="10055"/>
        <item h="1" x="10056"/>
        <item h="1" x="10057"/>
        <item h="1" x="10058"/>
        <item h="1" x="10059"/>
        <item h="1" x="10060"/>
        <item h="1" x="10061"/>
        <item h="1" x="10062"/>
        <item h="1" x="10063"/>
        <item h="1" x="10064"/>
        <item h="1" x="10065"/>
        <item h="1" x="10066"/>
        <item h="1" x="10067"/>
        <item h="1" x="10068"/>
        <item h="1" x="10069"/>
        <item h="1" x="10070"/>
        <item h="1" x="10071"/>
        <item h="1" x="10072"/>
        <item h="1" x="10073"/>
        <item h="1" x="10074"/>
        <item h="1" x="10075"/>
        <item h="1" x="10076"/>
        <item h="1" x="10077"/>
        <item h="1" x="10078"/>
        <item h="1" x="10079"/>
        <item h="1" x="10080"/>
        <item h="1" x="10081"/>
        <item h="1" x="10082"/>
        <item h="1" x="10083"/>
        <item h="1" x="10084"/>
        <item h="1" x="10085"/>
        <item h="1" x="10086"/>
        <item h="1" x="10087"/>
        <item h="1" x="10088"/>
        <item h="1" x="10089"/>
        <item h="1" x="10090"/>
        <item h="1" x="10091"/>
        <item h="1" x="10092"/>
        <item h="1" x="10093"/>
        <item h="1" x="10094"/>
        <item h="1" x="10095"/>
        <item h="1" x="10096"/>
        <item h="1" x="10097"/>
        <item h="1" x="10098"/>
        <item h="1" x="10099"/>
        <item h="1" x="10100"/>
        <item h="1" x="10101"/>
        <item h="1" x="10102"/>
        <item h="1" x="10103"/>
        <item h="1" x="10104"/>
        <item h="1" x="10105"/>
        <item h="1" x="10106"/>
        <item h="1" x="10107"/>
        <item h="1" x="10108"/>
        <item h="1" x="10109"/>
        <item h="1" x="10110"/>
        <item h="1" x="10111"/>
        <item h="1" x="10112"/>
        <item h="1" x="10113"/>
        <item h="1" x="10114"/>
        <item h="1" x="10115"/>
        <item h="1" x="10116"/>
        <item h="1" x="10117"/>
        <item h="1" x="10118"/>
        <item h="1" x="10119"/>
        <item h="1" x="10120"/>
        <item h="1" x="10121"/>
        <item h="1" x="10122"/>
        <item h="1" x="10123"/>
        <item h="1" x="10124"/>
        <item h="1" x="10125"/>
        <item h="1" x="10126"/>
        <item h="1" x="10127"/>
        <item h="1" x="10128"/>
        <item h="1" x="10129"/>
        <item h="1" x="10130"/>
        <item h="1" x="10131"/>
        <item h="1" x="10132"/>
        <item h="1" x="10133"/>
        <item h="1" x="10134"/>
        <item h="1" x="10135"/>
        <item h="1" x="10136"/>
        <item h="1" x="10137"/>
        <item h="1" x="10138"/>
        <item h="1" x="10139"/>
        <item h="1" x="10140"/>
        <item h="1" x="10141"/>
        <item h="1" x="10142"/>
        <item h="1" x="10143"/>
        <item h="1" x="10144"/>
        <item h="1" x="10145"/>
        <item h="1" x="10146"/>
        <item h="1" x="10147"/>
        <item h="1" x="10148"/>
        <item h="1" x="10149"/>
        <item h="1" x="10150"/>
        <item h="1" x="10151"/>
        <item h="1" x="10152"/>
        <item h="1" x="10153"/>
        <item h="1" x="10154"/>
        <item h="1" x="10155"/>
        <item h="1" x="10156"/>
        <item h="1" x="10157"/>
        <item h="1" x="10158"/>
        <item h="1" x="10159"/>
        <item h="1" x="10160"/>
        <item h="1" x="10161"/>
        <item h="1" x="10162"/>
        <item h="1" x="10163"/>
        <item h="1" x="10164"/>
        <item h="1" x="10165"/>
        <item h="1" x="10166"/>
        <item h="1" x="10167"/>
        <item h="1" x="10168"/>
        <item h="1" x="10169"/>
        <item h="1" x="10170"/>
        <item h="1" x="10171"/>
        <item h="1" x="10172"/>
        <item h="1" x="10173"/>
        <item h="1" x="10174"/>
        <item h="1" x="10175"/>
        <item h="1" x="10176"/>
        <item h="1" x="10177"/>
        <item h="1" x="10178"/>
        <item h="1" x="10179"/>
        <item h="1" x="10180"/>
        <item h="1" x="10181"/>
        <item h="1" x="10182"/>
        <item h="1" x="10183"/>
        <item h="1" x="10184"/>
        <item h="1" x="10185"/>
        <item h="1" x="10186"/>
        <item h="1" x="10187"/>
        <item h="1" x="10188"/>
        <item h="1" x="10189"/>
        <item h="1" x="10190"/>
        <item h="1" x="10191"/>
        <item h="1" x="10192"/>
        <item h="1" x="10193"/>
        <item h="1" x="10194"/>
        <item h="1" x="10195"/>
        <item h="1" x="10196"/>
        <item h="1" x="10197"/>
        <item h="1" x="10198"/>
        <item h="1" x="10199"/>
        <item h="1" x="10200"/>
        <item h="1" x="10201"/>
        <item h="1" x="10202"/>
        <item h="1" x="10203"/>
        <item h="1" x="10204"/>
        <item h="1" x="10205"/>
        <item h="1" x="10206"/>
        <item h="1" x="10207"/>
        <item h="1" x="10208"/>
        <item h="1" x="10209"/>
        <item h="1" x="10210"/>
        <item h="1" x="10211"/>
        <item h="1" x="10212"/>
        <item h="1" x="10213"/>
        <item h="1" x="10214"/>
        <item h="1" x="10215"/>
        <item h="1" x="10216"/>
        <item h="1" x="10217"/>
        <item h="1" x="10218"/>
        <item h="1" x="10219"/>
        <item h="1" x="10220"/>
        <item h="1" x="10221"/>
        <item h="1" x="10222"/>
        <item h="1" x="10223"/>
        <item h="1" x="10224"/>
        <item h="1" x="10225"/>
        <item h="1" x="10226"/>
        <item h="1" x="10227"/>
        <item h="1" x="10228"/>
        <item h="1" x="10229"/>
        <item h="1" x="10230"/>
        <item h="1" x="10231"/>
        <item h="1" x="10232"/>
        <item h="1" x="10233"/>
        <item h="1" x="10234"/>
        <item h="1" x="10235"/>
        <item h="1" x="10236"/>
        <item h="1" x="10237"/>
        <item h="1" x="10238"/>
        <item h="1" x="10239"/>
        <item h="1" x="10240"/>
        <item h="1" x="10241"/>
        <item h="1" x="10242"/>
        <item h="1" x="10243"/>
        <item h="1" x="10244"/>
        <item h="1" x="10245"/>
        <item h="1" x="10246"/>
        <item h="1" x="10247"/>
        <item h="1" x="10248"/>
        <item h="1" x="10249"/>
        <item h="1" x="10250"/>
        <item h="1" x="10251"/>
        <item h="1" x="10252"/>
        <item h="1" x="10253"/>
        <item h="1" x="10254"/>
        <item h="1" x="10255"/>
        <item h="1" x="10256"/>
        <item h="1" x="10257"/>
        <item h="1" x="10258"/>
        <item h="1" x="10259"/>
        <item h="1" x="10260"/>
        <item h="1" x="10261"/>
        <item h="1" x="10262"/>
        <item h="1" x="10263"/>
        <item h="1" x="10264"/>
        <item h="1" x="10265"/>
        <item h="1" x="10266"/>
        <item h="1" x="10267"/>
        <item h="1" x="10268"/>
        <item h="1" x="10269"/>
        <item h="1" x="10270"/>
        <item h="1" x="10271"/>
        <item h="1" x="10272"/>
        <item h="1" x="10273"/>
        <item h="1" x="10274"/>
        <item h="1" x="10275"/>
        <item h="1" x="10276"/>
        <item h="1" x="10277"/>
        <item h="1" x="10278"/>
        <item h="1" x="10279"/>
        <item h="1" x="10280"/>
        <item h="1" x="10281"/>
        <item h="1" x="10282"/>
        <item h="1" x="10283"/>
        <item h="1" x="10284"/>
        <item h="1" x="10285"/>
        <item h="1" x="10286"/>
        <item h="1" x="10287"/>
        <item h="1" x="10288"/>
        <item h="1" x="10289"/>
        <item h="1" x="10290"/>
        <item h="1" x="10291"/>
        <item h="1" x="10292"/>
        <item h="1" x="10293"/>
        <item h="1" x="10294"/>
        <item h="1" x="10295"/>
        <item h="1" x="10296"/>
        <item h="1" x="10297"/>
        <item h="1" x="10298"/>
        <item h="1" x="10299"/>
        <item h="1" x="10300"/>
        <item h="1" x="10301"/>
        <item h="1" x="10302"/>
        <item h="1" x="10303"/>
        <item h="1" x="10304"/>
        <item h="1" x="10305"/>
        <item h="1" x="10306"/>
        <item h="1" x="10307"/>
        <item h="1" x="10308"/>
        <item h="1" x="10309"/>
        <item h="1" x="10310"/>
        <item h="1" x="10311"/>
        <item h="1" x="10312"/>
        <item h="1" x="10313"/>
        <item h="1" x="10314"/>
        <item h="1" x="10315"/>
        <item h="1" x="10316"/>
        <item h="1" x="10317"/>
        <item h="1" x="10318"/>
        <item h="1" x="10319"/>
        <item h="1" x="10320"/>
        <item h="1" x="10321"/>
        <item h="1" x="10322"/>
        <item h="1" x="10323"/>
        <item h="1" x="10324"/>
        <item h="1" x="10325"/>
        <item h="1" x="10326"/>
        <item h="1" x="10327"/>
        <item h="1" x="10328"/>
        <item h="1" x="10329"/>
        <item h="1" x="10330"/>
        <item h="1" x="10331"/>
        <item h="1" x="10332"/>
        <item h="1" x="10333"/>
        <item h="1" x="10334"/>
        <item h="1" x="10335"/>
        <item h="1" x="10336"/>
        <item h="1" x="10337"/>
        <item h="1" x="10338"/>
        <item h="1" x="10339"/>
        <item h="1" x="10340"/>
        <item h="1" x="10341"/>
        <item h="1" x="10342"/>
        <item h="1" x="10343"/>
        <item h="1" x="10344"/>
        <item h="1" x="10345"/>
        <item h="1" x="10346"/>
        <item h="1" x="10347"/>
        <item h="1" x="10348"/>
        <item h="1" x="10349"/>
        <item h="1" x="10350"/>
        <item h="1" x="10351"/>
        <item h="1" x="10352"/>
        <item h="1" x="10353"/>
        <item h="1" x="10354"/>
        <item h="1" x="10355"/>
        <item h="1" x="10356"/>
        <item h="1" x="10357"/>
        <item h="1" x="10358"/>
        <item h="1" x="10359"/>
        <item h="1" x="10360"/>
        <item h="1" x="10361"/>
        <item h="1" x="10362"/>
        <item h="1" x="10363"/>
        <item h="1" x="10364"/>
        <item h="1" x="10365"/>
        <item h="1" x="10366"/>
        <item h="1" x="10367"/>
        <item h="1" x="10368"/>
        <item h="1" x="10369"/>
        <item h="1" x="10370"/>
        <item h="1" x="10371"/>
        <item h="1" x="10372"/>
        <item h="1" x="10373"/>
        <item h="1" x="10374"/>
        <item h="1" x="10375"/>
        <item h="1" x="10376"/>
        <item h="1" x="10377"/>
        <item h="1" x="10378"/>
        <item h="1" x="10379"/>
        <item h="1" x="10380"/>
        <item h="1" x="10381"/>
        <item h="1" x="10382"/>
        <item h="1" x="10383"/>
        <item h="1" x="10384"/>
        <item h="1" x="10385"/>
        <item h="1" x="10386"/>
        <item h="1" x="10387"/>
        <item h="1" x="10388"/>
        <item h="1" x="10389"/>
        <item h="1" x="10390"/>
        <item h="1" x="10391"/>
        <item h="1" x="10392"/>
        <item h="1" x="10393"/>
        <item h="1" x="10394"/>
        <item h="1" x="10395"/>
        <item h="1" x="10396"/>
        <item h="1" x="10397"/>
        <item h="1" x="10398"/>
        <item h="1" x="10399"/>
        <item h="1" x="10400"/>
        <item h="1" x="10401"/>
        <item h="1" x="10402"/>
        <item h="1" x="10403"/>
        <item h="1" x="10404"/>
        <item h="1" x="10405"/>
        <item h="1" x="10406"/>
        <item h="1" x="10407"/>
        <item h="1" x="10408"/>
        <item h="1" x="10409"/>
        <item h="1" x="10410"/>
        <item h="1" x="10411"/>
        <item h="1" x="10412"/>
        <item h="1" x="10413"/>
        <item h="1" x="10414"/>
        <item h="1" x="10415"/>
        <item h="1" x="10416"/>
        <item h="1" x="10417"/>
        <item h="1" x="10418"/>
        <item h="1" x="10419"/>
        <item h="1" x="10420"/>
        <item h="1" x="10421"/>
        <item h="1" x="10422"/>
        <item h="1" x="10423"/>
        <item h="1" x="10424"/>
        <item h="1" x="10425"/>
        <item h="1" x="10426"/>
        <item h="1" x="10427"/>
        <item h="1" x="10428"/>
        <item h="1" x="10429"/>
        <item h="1" x="10430"/>
        <item h="1" x="10431"/>
        <item h="1" x="10432"/>
        <item h="1" x="10433"/>
        <item h="1" x="10434"/>
        <item h="1" x="10435"/>
        <item h="1" x="10436"/>
        <item h="1" x="10437"/>
        <item h="1" x="10438"/>
        <item h="1" x="10439"/>
        <item h="1" x="10440"/>
        <item h="1" x="10441"/>
        <item h="1" x="10442"/>
        <item h="1" x="10443"/>
        <item h="1" x="10444"/>
        <item h="1" x="10445"/>
        <item h="1" x="10446"/>
        <item h="1" x="10447"/>
        <item h="1" x="10448"/>
        <item h="1" x="10449"/>
        <item h="1" x="10450"/>
        <item h="1" x="10451"/>
        <item h="1" x="10452"/>
        <item h="1" x="10453"/>
        <item h="1" x="10454"/>
        <item h="1" x="10455"/>
        <item h="1" x="10456"/>
        <item h="1" x="10457"/>
        <item h="1" x="10458"/>
        <item h="1" x="10459"/>
        <item h="1" x="10460"/>
        <item h="1" x="10461"/>
        <item h="1" x="10462"/>
        <item h="1" x="10463"/>
        <item h="1" x="10464"/>
        <item h="1" x="10465"/>
        <item h="1" x="10466"/>
        <item h="1" x="10467"/>
        <item h="1" x="10468"/>
        <item h="1" x="10469"/>
        <item h="1" x="10470"/>
        <item h="1" x="10471"/>
        <item h="1" x="10472"/>
        <item h="1" x="10473"/>
        <item h="1" x="10474"/>
        <item h="1" x="10475"/>
        <item h="1" x="10476"/>
        <item h="1" x="10477"/>
        <item h="1" x="10478"/>
        <item h="1" x="10479"/>
        <item h="1" x="10480"/>
        <item h="1" x="10481"/>
        <item h="1" x="10482"/>
        <item h="1" x="10483"/>
        <item h="1" x="10484"/>
        <item h="1" x="10485"/>
        <item h="1" x="10486"/>
        <item h="1" x="10487"/>
        <item h="1" x="10488"/>
        <item h="1" x="10489"/>
        <item h="1" x="10490"/>
        <item h="1" x="10491"/>
        <item h="1" x="10492"/>
        <item h="1" x="10493"/>
        <item h="1" x="10494"/>
        <item h="1" x="10495"/>
        <item h="1" x="10496"/>
        <item h="1" x="10497"/>
        <item h="1" x="10498"/>
        <item h="1" x="10499"/>
        <item h="1" x="10500"/>
        <item h="1" x="10501"/>
        <item h="1" x="10502"/>
        <item h="1" x="10503"/>
        <item h="1" x="10504"/>
        <item h="1" x="10505"/>
        <item h="1" x="10506"/>
        <item h="1" x="10507"/>
        <item h="1" x="10508"/>
        <item h="1" x="10509"/>
        <item h="1" x="10510"/>
        <item h="1" x="10511"/>
        <item h="1" x="10512"/>
        <item h="1" x="10513"/>
        <item h="1" x="10514"/>
        <item h="1" x="10515"/>
        <item h="1" x="10516"/>
        <item h="1" x="10517"/>
        <item h="1" x="10518"/>
        <item h="1" x="10519"/>
        <item h="1" x="10520"/>
        <item h="1" x="10521"/>
        <item h="1" x="10522"/>
        <item h="1" x="10523"/>
        <item h="1" x="10524"/>
        <item h="1" x="10525"/>
        <item h="1" x="10526"/>
        <item h="1" x="10527"/>
        <item h="1" x="10528"/>
        <item h="1" x="10529"/>
        <item h="1" x="10530"/>
        <item h="1" x="10531"/>
        <item h="1" x="10532"/>
        <item h="1" x="10533"/>
        <item h="1" x="10534"/>
        <item h="1" x="10535"/>
        <item h="1" x="10536"/>
        <item h="1" x="10537"/>
        <item h="1" x="10538"/>
        <item h="1" x="10539"/>
        <item h="1" x="10540"/>
        <item h="1" x="10541"/>
        <item h="1" x="10542"/>
        <item h="1" x="10543"/>
        <item h="1" x="10544"/>
        <item h="1" x="10545"/>
        <item h="1" x="10546"/>
        <item h="1" x="10547"/>
        <item h="1" x="10548"/>
        <item h="1" x="10549"/>
        <item h="1" x="10550"/>
        <item h="1" x="10551"/>
        <item h="1" x="10552"/>
        <item h="1" x="10553"/>
        <item h="1" x="10554"/>
        <item h="1" x="10555"/>
        <item h="1" x="10556"/>
        <item h="1" x="10557"/>
        <item h="1" x="10558"/>
        <item h="1" x="10559"/>
        <item h="1" x="10560"/>
        <item h="1" x="10561"/>
        <item h="1" x="10562"/>
        <item h="1" x="10563"/>
        <item h="1" x="10564"/>
        <item h="1" x="10565"/>
        <item h="1" x="10566"/>
        <item h="1" x="10567"/>
        <item h="1" x="10568"/>
        <item h="1" x="10569"/>
        <item h="1" x="10570"/>
        <item h="1" x="10571"/>
        <item h="1" x="10572"/>
        <item h="1" x="10573"/>
        <item h="1" x="10574"/>
        <item h="1" x="10575"/>
        <item h="1" x="10576"/>
        <item h="1" x="10577"/>
        <item h="1" x="10578"/>
        <item h="1" x="10579"/>
        <item h="1" x="10580"/>
        <item h="1" x="10581"/>
        <item h="1" x="10582"/>
        <item h="1" x="10583"/>
        <item h="1" x="10584"/>
        <item h="1" x="10585"/>
        <item h="1" x="10586"/>
        <item h="1" x="10587"/>
        <item h="1" x="10588"/>
        <item h="1" x="10589"/>
        <item h="1" x="10590"/>
        <item h="1" x="10591"/>
        <item h="1" x="10592"/>
        <item h="1" x="10593"/>
        <item h="1" x="10594"/>
        <item h="1" x="10595"/>
        <item h="1" x="10596"/>
        <item h="1" x="10597"/>
        <item h="1" x="10598"/>
        <item h="1" x="10599"/>
        <item h="1" x="10600"/>
        <item h="1" x="10601"/>
        <item h="1" x="10602"/>
        <item h="1" x="10603"/>
        <item h="1" x="10604"/>
        <item h="1" x="10605"/>
        <item h="1" x="10606"/>
        <item h="1" x="10607"/>
        <item h="1" x="10608"/>
        <item h="1" x="10609"/>
        <item h="1" x="10610"/>
        <item h="1" x="10611"/>
        <item h="1" x="10612"/>
        <item h="1" x="10613"/>
        <item h="1" x="10614"/>
        <item h="1" x="10615"/>
        <item h="1" x="10616"/>
        <item h="1" x="10617"/>
        <item h="1" x="10618"/>
        <item h="1" x="10619"/>
        <item h="1" x="10620"/>
        <item h="1" x="10621"/>
        <item h="1" x="10622"/>
        <item h="1" x="10623"/>
        <item h="1" x="10624"/>
        <item h="1" x="10625"/>
        <item h="1" x="10626"/>
        <item h="1" x="10627"/>
        <item h="1" x="10628"/>
        <item h="1" x="10629"/>
        <item h="1" x="10630"/>
        <item h="1" x="10631"/>
        <item h="1" x="10632"/>
        <item h="1" x="10633"/>
        <item h="1" x="10634"/>
        <item h="1" x="10635"/>
        <item h="1" x="10636"/>
        <item h="1" x="10637"/>
        <item h="1" x="10638"/>
        <item h="1" x="10639"/>
        <item h="1" x="10640"/>
        <item h="1" x="10641"/>
        <item h="1" x="10642"/>
        <item h="1" x="10643"/>
        <item h="1" x="10644"/>
        <item h="1" x="10645"/>
        <item h="1" x="10646"/>
        <item h="1" x="10647"/>
        <item h="1" x="10648"/>
        <item h="1" x="10649"/>
        <item h="1" x="10650"/>
        <item h="1" x="10651"/>
        <item h="1" x="10652"/>
        <item h="1" x="10653"/>
        <item h="1" x="10654"/>
        <item h="1" x="10655"/>
        <item h="1" x="10656"/>
        <item h="1" x="10657"/>
        <item h="1" x="10658"/>
        <item h="1" x="10659"/>
        <item h="1" x="10660"/>
        <item h="1" x="10661"/>
        <item h="1" x="10662"/>
        <item h="1" x="10663"/>
        <item h="1" x="10664"/>
        <item h="1" x="10665"/>
        <item h="1" x="10666"/>
        <item h="1" x="10667"/>
        <item h="1" x="10668"/>
        <item h="1" x="10669"/>
        <item h="1" x="10670"/>
        <item h="1" x="10671"/>
        <item h="1" x="10672"/>
        <item h="1" x="10673"/>
        <item h="1" x="10674"/>
        <item h="1" x="10675"/>
        <item h="1" x="10676"/>
        <item h="1" x="10677"/>
        <item h="1" x="10678"/>
        <item h="1" x="10679"/>
        <item h="1" x="10680"/>
        <item h="1" x="10681"/>
        <item h="1" x="10682"/>
        <item h="1" x="10683"/>
        <item h="1" x="10684"/>
        <item h="1" x="10685"/>
        <item h="1" x="10686"/>
        <item h="1" x="10687"/>
        <item h="1" x="10688"/>
        <item h="1" x="10689"/>
        <item h="1" x="10690"/>
        <item h="1" x="10691"/>
        <item h="1" x="10692"/>
        <item h="1" x="10693"/>
        <item h="1" x="10694"/>
        <item h="1" x="10695"/>
        <item h="1" x="10696"/>
        <item h="1" x="10697"/>
        <item h="1" x="10698"/>
        <item h="1" x="10699"/>
        <item h="1" x="10700"/>
        <item h="1" x="10701"/>
        <item h="1" x="10702"/>
        <item h="1" x="10703"/>
        <item h="1" x="10704"/>
        <item h="1" x="10705"/>
        <item h="1" x="10706"/>
        <item h="1" x="10707"/>
        <item h="1" x="10708"/>
        <item h="1" x="10709"/>
        <item h="1" x="10710"/>
        <item h="1" x="10711"/>
        <item h="1" x="10712"/>
        <item h="1" x="10713"/>
        <item h="1" x="10714"/>
        <item h="1" x="10715"/>
        <item h="1" x="10716"/>
        <item h="1" x="10717"/>
        <item h="1" x="10718"/>
        <item h="1" x="10719"/>
        <item h="1" x="10720"/>
        <item h="1" x="10721"/>
        <item h="1" x="10722"/>
        <item h="1" x="10723"/>
        <item h="1" x="10724"/>
        <item h="1" x="10725"/>
        <item h="1" x="10726"/>
        <item h="1" x="10727"/>
        <item h="1" x="10728"/>
        <item h="1" x="10729"/>
        <item h="1" x="10730"/>
        <item h="1" x="10731"/>
        <item h="1" x="10732"/>
        <item h="1" x="10733"/>
        <item h="1" x="10734"/>
        <item h="1" x="10735"/>
        <item h="1" x="10736"/>
        <item h="1" x="10737"/>
        <item h="1" x="10738"/>
        <item h="1" x="10739"/>
        <item h="1" x="10740"/>
        <item h="1" x="10741"/>
        <item h="1" x="10742"/>
        <item h="1" x="10743"/>
        <item h="1" x="10744"/>
        <item h="1" x="10745"/>
        <item h="1" x="10746"/>
        <item h="1" x="10747"/>
        <item h="1" x="10748"/>
        <item h="1" x="10749"/>
        <item h="1" x="10750"/>
        <item h="1" x="10751"/>
        <item h="1" x="10752"/>
        <item h="1" x="10753"/>
        <item h="1" x="10754"/>
        <item h="1" x="10755"/>
        <item h="1" x="10756"/>
        <item h="1" x="10757"/>
        <item h="1" x="10758"/>
        <item h="1" x="10759"/>
        <item h="1" x="10760"/>
        <item h="1" x="10761"/>
        <item h="1" x="10762"/>
        <item h="1" x="10763"/>
        <item h="1" x="10764"/>
        <item h="1" x="10765"/>
        <item h="1" x="10766"/>
        <item h="1" x="10767"/>
        <item h="1" x="10768"/>
        <item h="1" x="10769"/>
        <item h="1" x="10770"/>
        <item h="1" x="10771"/>
        <item h="1" x="10772"/>
        <item h="1" x="10773"/>
        <item h="1" x="10774"/>
        <item h="1" x="10775"/>
        <item h="1" x="10776"/>
        <item h="1" x="10777"/>
        <item h="1" x="10778"/>
        <item h="1" x="10779"/>
        <item h="1" x="10780"/>
        <item h="1" x="10781"/>
        <item h="1" x="10782"/>
        <item h="1" x="10783"/>
        <item h="1" x="10784"/>
        <item h="1" x="10785"/>
        <item h="1" x="10786"/>
        <item h="1" x="10787"/>
        <item h="1" x="10788"/>
        <item h="1" x="10789"/>
        <item h="1" x="10790"/>
        <item h="1" x="10791"/>
        <item h="1" x="10792"/>
        <item h="1" x="10793"/>
        <item h="1" x="10794"/>
        <item h="1" x="10795"/>
        <item h="1" x="10796"/>
        <item h="1" x="10797"/>
        <item h="1" x="10798"/>
        <item h="1" x="10799"/>
        <item h="1" x="10800"/>
        <item h="1" x="10801"/>
        <item h="1" x="10802"/>
        <item h="1" x="10803"/>
        <item h="1" x="10804"/>
        <item h="1" x="10805"/>
        <item h="1" x="10806"/>
        <item h="1" x="10807"/>
        <item h="1" x="10808"/>
        <item h="1" x="10809"/>
        <item h="1" x="10810"/>
        <item h="1" x="10811"/>
        <item h="1" x="10812"/>
        <item h="1" x="10813"/>
        <item h="1" x="10814"/>
        <item h="1" x="10815"/>
        <item h="1" x="10816"/>
        <item h="1" x="10817"/>
        <item h="1" x="10818"/>
        <item h="1" x="10819"/>
        <item h="1" x="10820"/>
        <item h="1" x="10821"/>
        <item h="1" x="10822"/>
        <item h="1" x="10823"/>
        <item h="1" x="10824"/>
        <item h="1" x="10825"/>
        <item h="1" x="10826"/>
        <item h="1" x="10827"/>
        <item h="1" x="10828"/>
        <item h="1" x="10829"/>
        <item h="1" x="10830"/>
        <item h="1" x="10831"/>
        <item h="1" x="10832"/>
        <item h="1" x="10833"/>
        <item h="1" x="10834"/>
        <item h="1" x="10835"/>
        <item h="1" x="10836"/>
        <item h="1" x="10837"/>
        <item h="1" x="10838"/>
        <item h="1" x="10839"/>
        <item h="1" x="10840"/>
        <item h="1" x="10841"/>
        <item h="1" x="10842"/>
        <item h="1" x="10843"/>
        <item h="1" x="10844"/>
        <item h="1" x="10845"/>
        <item h="1" x="10846"/>
        <item h="1" x="10847"/>
        <item h="1" x="10848"/>
        <item h="1" x="10849"/>
        <item h="1" x="10850"/>
        <item h="1" x="10851"/>
        <item h="1" x="10852"/>
        <item h="1" x="10853"/>
        <item h="1" x="10854"/>
        <item h="1" x="10855"/>
        <item h="1" x="10856"/>
        <item h="1" x="10857"/>
        <item h="1" x="10858"/>
        <item h="1" x="10859"/>
        <item h="1" x="10860"/>
        <item h="1" x="10861"/>
        <item h="1" x="10862"/>
        <item h="1" x="10863"/>
        <item h="1" x="10864"/>
        <item h="1" x="10865"/>
        <item h="1" x="10866"/>
        <item h="1" x="10867"/>
        <item h="1" x="10868"/>
        <item h="1" x="10869"/>
        <item h="1" x="10870"/>
        <item h="1" x="10871"/>
        <item h="1" x="10872"/>
        <item h="1" x="10873"/>
        <item h="1" x="10874"/>
        <item h="1" x="10875"/>
        <item h="1" x="10876"/>
        <item h="1" x="10877"/>
        <item h="1" x="10878"/>
        <item h="1" x="10879"/>
        <item h="1" x="10880"/>
        <item h="1" x="10881"/>
        <item h="1" x="10882"/>
        <item h="1" x="10883"/>
        <item h="1" x="10884"/>
        <item h="1" x="10885"/>
        <item h="1" x="10886"/>
        <item h="1" x="10887"/>
        <item h="1" x="10888"/>
        <item h="1" x="10889"/>
        <item h="1" x="10890"/>
        <item h="1" x="10891"/>
        <item h="1" x="10892"/>
        <item h="1" x="10893"/>
        <item h="1" x="10894"/>
        <item h="1" x="10895"/>
        <item h="1" x="10896"/>
        <item h="1" x="10897"/>
        <item h="1" x="10898"/>
        <item h="1" x="10899"/>
        <item h="1" x="10900"/>
        <item h="1" x="10901"/>
        <item h="1" x="10902"/>
        <item h="1" x="10903"/>
        <item h="1" x="10904"/>
        <item h="1" x="10905"/>
        <item h="1" x="10906"/>
        <item h="1" x="10907"/>
        <item h="1" x="10908"/>
        <item h="1" x="10909"/>
        <item h="1" x="10910"/>
        <item h="1" x="10911"/>
        <item h="1" x="10912"/>
        <item h="1" x="10913"/>
        <item h="1" x="10914"/>
        <item h="1" x="10915"/>
        <item h="1" x="10916"/>
        <item h="1" x="10917"/>
        <item h="1" x="10918"/>
        <item h="1" x="10919"/>
        <item h="1" x="10920"/>
        <item h="1" x="10921"/>
        <item h="1" x="10922"/>
        <item h="1" x="10923"/>
        <item h="1" x="10924"/>
        <item h="1" x="10925"/>
        <item h="1" x="10926"/>
        <item h="1" x="10927"/>
        <item h="1" x="10928"/>
        <item h="1" x="10929"/>
        <item h="1" x="10930"/>
        <item h="1" x="10931"/>
        <item h="1" x="10932"/>
        <item h="1" x="10933"/>
        <item h="1" x="10934"/>
        <item h="1" x="10935"/>
        <item h="1" x="10936"/>
        <item h="1" x="10937"/>
        <item h="1" x="10938"/>
        <item h="1" x="10939"/>
        <item h="1" x="10940"/>
        <item h="1" x="10941"/>
        <item h="1" x="10942"/>
        <item h="1" x="10943"/>
        <item h="1" x="10944"/>
        <item h="1" x="10945"/>
        <item h="1" x="10946"/>
        <item h="1" x="10947"/>
        <item h="1" x="10948"/>
        <item h="1" x="10949"/>
        <item h="1" x="10950"/>
        <item h="1" x="10951"/>
        <item h="1" x="10952"/>
        <item h="1" x="10953"/>
        <item h="1" x="10954"/>
        <item h="1" x="10955"/>
        <item h="1" x="10956"/>
        <item h="1" x="10957"/>
        <item h="1" x="10958"/>
        <item h="1" x="10959"/>
        <item h="1" x="10960"/>
        <item h="1" x="10961"/>
        <item h="1" x="10962"/>
        <item h="1" x="10963"/>
        <item h="1" x="10964"/>
        <item h="1" x="10965"/>
        <item h="1" x="10966"/>
        <item h="1" x="10967"/>
        <item h="1" x="10968"/>
        <item h="1" x="10969"/>
        <item h="1" x="10970"/>
        <item h="1" x="10971"/>
        <item h="1" x="10972"/>
        <item h="1" x="10973"/>
        <item h="1" x="10974"/>
        <item h="1" x="10975"/>
        <item h="1" x="10976"/>
        <item h="1" x="10977"/>
        <item h="1" x="10978"/>
        <item h="1" x="10979"/>
        <item h="1" x="10980"/>
        <item h="1" x="10981"/>
        <item h="1" x="10982"/>
        <item h="1" x="10983"/>
        <item h="1" x="10984"/>
        <item h="1" x="10985"/>
        <item h="1" x="10986"/>
        <item h="1" x="10987"/>
        <item h="1" x="10988"/>
        <item h="1" x="10989"/>
        <item h="1" x="10990"/>
        <item h="1" x="10991"/>
        <item h="1" x="10992"/>
        <item h="1" x="10993"/>
        <item h="1" x="10994"/>
        <item h="1" x="10995"/>
        <item h="1" x="10996"/>
        <item h="1" x="10997"/>
        <item h="1" x="10998"/>
        <item h="1" x="10999"/>
        <item h="1" x="11000"/>
        <item h="1" x="11001"/>
        <item h="1" x="11002"/>
        <item h="1" x="11003"/>
        <item h="1" x="11004"/>
        <item h="1" x="11005"/>
        <item h="1" x="11006"/>
        <item h="1" x="11007"/>
        <item h="1" x="11008"/>
        <item h="1" x="11009"/>
        <item h="1" x="11010"/>
        <item h="1" x="11011"/>
        <item h="1" x="11012"/>
        <item h="1" x="11013"/>
        <item h="1" x="11014"/>
        <item h="1" x="11015"/>
        <item h="1" x="11016"/>
        <item h="1" x="11017"/>
        <item h="1" x="11018"/>
        <item h="1" x="11019"/>
        <item h="1" x="11020"/>
        <item h="1" x="11021"/>
        <item h="1" x="11022"/>
        <item h="1" x="11023"/>
        <item h="1" x="11024"/>
        <item h="1" x="11025"/>
        <item h="1" x="11026"/>
        <item h="1" x="11027"/>
        <item h="1" x="11028"/>
        <item h="1" x="11029"/>
        <item h="1" x="11030"/>
        <item h="1" x="11031"/>
        <item h="1" x="11032"/>
        <item h="1" x="11033"/>
        <item h="1" x="11034"/>
        <item h="1" x="11035"/>
        <item h="1" x="11036"/>
        <item h="1" x="11037"/>
        <item h="1" x="11038"/>
        <item h="1" x="11039"/>
        <item h="1" x="11040"/>
        <item h="1" x="11041"/>
        <item h="1" x="11042"/>
        <item h="1" x="11043"/>
        <item h="1" x="11044"/>
        <item h="1" x="11045"/>
        <item h="1" x="11046"/>
        <item h="1" x="11047"/>
        <item h="1" x="11048"/>
        <item h="1" x="11049"/>
        <item h="1" x="11050"/>
        <item h="1" x="11051"/>
        <item h="1" x="11052"/>
        <item h="1" x="11053"/>
        <item h="1" x="11054"/>
        <item h="1" x="11055"/>
        <item h="1" x="11056"/>
        <item h="1" x="11057"/>
        <item h="1" x="11058"/>
        <item h="1" x="11059"/>
        <item h="1" x="11060"/>
        <item h="1" x="11061"/>
        <item h="1" x="11062"/>
        <item h="1" x="11063"/>
        <item h="1" x="11064"/>
        <item h="1" x="11065"/>
        <item h="1" x="11066"/>
        <item h="1" x="11067"/>
        <item h="1" x="11068"/>
        <item h="1" x="11069"/>
        <item h="1" x="11070"/>
        <item h="1" x="11071"/>
        <item h="1" x="11072"/>
        <item h="1" x="11073"/>
        <item h="1" x="11074"/>
        <item h="1" x="11075"/>
        <item h="1" x="11076"/>
        <item h="1" x="11077"/>
        <item h="1" x="11078"/>
        <item h="1" x="11079"/>
        <item h="1" x="11080"/>
        <item h="1" x="11081"/>
        <item h="1" x="11082"/>
        <item h="1" x="11083"/>
        <item h="1" x="11084"/>
        <item h="1" x="11085"/>
        <item h="1" x="11086"/>
        <item h="1" x="11087"/>
        <item h="1" x="11088"/>
        <item h="1" x="11089"/>
        <item h="1" x="11090"/>
        <item h="1" x="11091"/>
        <item h="1" x="11092"/>
        <item h="1" x="11093"/>
        <item h="1" x="11094"/>
        <item h="1" x="11095"/>
        <item h="1" x="11096"/>
        <item h="1" x="11097"/>
        <item h="1" x="11098"/>
        <item h="1" x="11099"/>
        <item h="1" x="11100"/>
        <item h="1" x="11101"/>
        <item h="1" x="11102"/>
        <item h="1" x="11103"/>
        <item h="1" x="11104"/>
        <item h="1" x="11105"/>
        <item h="1" x="11106"/>
        <item h="1" x="11107"/>
        <item h="1" x="11108"/>
        <item h="1" x="11109"/>
        <item h="1" x="11110"/>
        <item h="1" x="11111"/>
        <item h="1" x="11112"/>
        <item h="1" x="11113"/>
        <item h="1" x="11114"/>
        <item h="1" x="11115"/>
        <item h="1" x="11116"/>
        <item h="1" x="11117"/>
        <item h="1" x="11118"/>
        <item h="1" x="11119"/>
        <item h="1" x="11120"/>
        <item h="1" x="11121"/>
        <item h="1" x="11122"/>
        <item h="1" x="11123"/>
        <item h="1" x="11124"/>
        <item h="1" x="11125"/>
        <item h="1" x="11126"/>
        <item h="1" x="11127"/>
        <item h="1" x="11128"/>
        <item h="1" x="11129"/>
        <item h="1" x="11130"/>
        <item h="1" x="11131"/>
        <item h="1" x="11132"/>
        <item h="1" x="11133"/>
        <item h="1" x="11134"/>
        <item h="1" x="11135"/>
        <item h="1" x="11136"/>
        <item h="1" x="11137"/>
        <item h="1" x="11138"/>
        <item h="1" x="11139"/>
        <item h="1" x="11140"/>
        <item h="1" x="11141"/>
        <item h="1" x="11142"/>
        <item h="1" x="11143"/>
        <item h="1" x="11144"/>
        <item h="1" x="11145"/>
        <item h="1" x="11146"/>
        <item h="1" x="11147"/>
        <item h="1" x="11148"/>
        <item h="1" x="11149"/>
        <item h="1" x="11150"/>
        <item h="1" x="11151"/>
        <item h="1" x="11152"/>
        <item h="1" x="11153"/>
        <item h="1" x="11154"/>
        <item h="1" x="11155"/>
        <item h="1" x="11156"/>
        <item h="1" x="11157"/>
        <item h="1" x="11158"/>
        <item h="1" x="11159"/>
        <item h="1" x="11160"/>
        <item h="1" x="11161"/>
        <item h="1" x="11162"/>
        <item h="1" x="11163"/>
        <item h="1" x="11164"/>
        <item h="1" x="11165"/>
        <item h="1" x="11166"/>
        <item h="1" x="11167"/>
        <item h="1" x="11168"/>
        <item h="1" x="11169"/>
        <item h="1" x="11170"/>
        <item h="1" x="11171"/>
        <item h="1" x="11172"/>
        <item h="1" x="11173"/>
        <item h="1" x="11174"/>
        <item h="1" x="11175"/>
        <item h="1" x="11176"/>
        <item h="1" x="11177"/>
        <item h="1" x="11178"/>
        <item h="1" x="11179"/>
        <item h="1" x="11180"/>
        <item h="1" x="11181"/>
        <item h="1" x="11182"/>
        <item h="1" x="11183"/>
        <item h="1" x="11184"/>
        <item h="1" x="11185"/>
        <item h="1" x="11186"/>
        <item h="1" x="11187"/>
        <item h="1" x="11188"/>
        <item h="1" x="11189"/>
        <item h="1" x="11190"/>
        <item h="1" x="11191"/>
        <item h="1" x="11192"/>
        <item h="1" x="11193"/>
        <item h="1" x="11194"/>
        <item h="1" x="11195"/>
        <item h="1" x="11196"/>
        <item h="1" x="11197"/>
        <item h="1" x="11198"/>
        <item h="1" x="11199"/>
        <item h="1" x="11200"/>
        <item h="1" x="11201"/>
        <item h="1" x="11202"/>
        <item h="1" x="11203"/>
        <item h="1" x="11204"/>
        <item h="1" x="11205"/>
        <item h="1" x="11206"/>
        <item h="1" x="11207"/>
        <item h="1" x="11208"/>
        <item h="1" x="11209"/>
        <item h="1" x="11210"/>
        <item h="1" x="11211"/>
        <item h="1" x="11212"/>
        <item h="1" x="11213"/>
        <item h="1" x="11214"/>
        <item h="1" x="11215"/>
        <item h="1" x="11216"/>
        <item h="1" x="11217"/>
        <item h="1" x="11218"/>
        <item h="1" x="11219"/>
        <item h="1" x="11220"/>
        <item h="1" x="11221"/>
        <item h="1" x="11222"/>
        <item h="1" x="11223"/>
        <item h="1" x="11224"/>
        <item h="1" x="11225"/>
        <item h="1" x="11226"/>
        <item h="1" x="11227"/>
        <item h="1" x="11228"/>
        <item h="1" x="11229"/>
        <item h="1" x="11230"/>
        <item h="1" x="11231"/>
        <item h="1" x="11232"/>
        <item h="1" x="11233"/>
        <item h="1" x="11234"/>
        <item h="1" x="11235"/>
        <item h="1" x="11236"/>
        <item h="1" x="11237"/>
        <item h="1" x="11238"/>
        <item h="1" x="11239"/>
        <item h="1" x="11240"/>
        <item h="1" x="11241"/>
        <item h="1" x="11242"/>
        <item h="1" x="11243"/>
        <item h="1" x="11244"/>
        <item h="1" x="11245"/>
        <item h="1" x="11246"/>
        <item h="1" x="11247"/>
        <item h="1" x="11248"/>
        <item h="1" x="11249"/>
        <item h="1" x="11250"/>
        <item h="1" x="11251"/>
        <item h="1" x="11252"/>
        <item h="1" x="11253"/>
        <item h="1" x="11254"/>
        <item h="1" x="11255"/>
        <item h="1" x="11256"/>
        <item h="1" x="11257"/>
        <item h="1" x="11258"/>
        <item h="1" x="11259"/>
        <item h="1" x="11260"/>
        <item h="1" x="11261"/>
        <item h="1" x="11262"/>
        <item h="1" x="11263"/>
        <item h="1" x="11264"/>
        <item h="1" x="11265"/>
        <item h="1" x="11266"/>
        <item h="1" x="11267"/>
        <item h="1" x="11268"/>
        <item h="1" x="11269"/>
        <item h="1" x="11270"/>
        <item h="1" x="11271"/>
        <item h="1" x="11272"/>
        <item h="1" x="11273"/>
        <item h="1" x="11274"/>
        <item h="1" x="11275"/>
        <item h="1" x="11276"/>
        <item h="1" x="11277"/>
        <item h="1" x="11278"/>
        <item h="1" x="11279"/>
        <item h="1" x="11280"/>
        <item h="1" x="11281"/>
        <item h="1" x="11282"/>
        <item h="1" x="11283"/>
        <item h="1" x="11284"/>
        <item h="1" x="11285"/>
        <item h="1" x="11286"/>
        <item h="1" x="11287"/>
        <item h="1" x="11288"/>
        <item h="1" x="11289"/>
        <item h="1" x="11290"/>
        <item h="1" x="11291"/>
        <item h="1" x="11292"/>
        <item h="1" x="11293"/>
        <item h="1" x="11294"/>
        <item h="1" x="11295"/>
        <item h="1" x="11296"/>
        <item h="1" x="11297"/>
        <item h="1" x="11298"/>
        <item h="1" x="11299"/>
        <item h="1" x="11300"/>
        <item h="1" x="11301"/>
        <item h="1" x="11302"/>
        <item h="1" x="11303"/>
        <item h="1" x="11304"/>
        <item h="1" x="11305"/>
        <item h="1" x="11306"/>
        <item h="1" x="11307"/>
        <item h="1" x="11308"/>
        <item h="1" x="11309"/>
        <item h="1" x="11310"/>
        <item h="1" x="11311"/>
        <item h="1" x="11312"/>
        <item h="1" x="11313"/>
        <item h="1" x="11314"/>
        <item h="1" x="11315"/>
        <item h="1" x="11316"/>
        <item h="1" x="11317"/>
        <item h="1" x="11318"/>
        <item h="1" x="11319"/>
        <item h="1" x="11320"/>
        <item h="1" x="11321"/>
        <item h="1" x="11322"/>
        <item h="1" x="11323"/>
        <item h="1" x="11324"/>
        <item h="1" x="11325"/>
        <item h="1" x="11326"/>
        <item h="1" x="11327"/>
        <item h="1" x="11328"/>
        <item h="1" x="11329"/>
        <item h="1" x="11330"/>
        <item h="1" x="11331"/>
        <item h="1" x="11332"/>
        <item h="1" x="11333"/>
        <item h="1" x="11334"/>
        <item h="1" x="11335"/>
        <item h="1" x="11336"/>
        <item h="1" x="11337"/>
        <item h="1" x="11338"/>
        <item h="1" x="11339"/>
        <item h="1" x="11340"/>
        <item h="1" x="11341"/>
        <item h="1" x="11342"/>
        <item h="1" x="11343"/>
        <item h="1" x="11344"/>
        <item h="1" x="11345"/>
        <item h="1" x="11346"/>
        <item h="1" x="11347"/>
        <item h="1" x="11348"/>
        <item h="1" x="11349"/>
        <item h="1" x="11350"/>
        <item h="1" x="11351"/>
        <item h="1" x="11352"/>
        <item h="1" x="11353"/>
        <item h="1" x="11354"/>
        <item h="1" x="11355"/>
        <item h="1" x="11356"/>
        <item h="1" x="11357"/>
        <item h="1" x="11358"/>
        <item h="1" x="11359"/>
        <item h="1" x="11360"/>
        <item h="1" x="11361"/>
        <item h="1" x="11362"/>
        <item h="1" x="11363"/>
        <item h="1" x="11364"/>
        <item h="1" x="11365"/>
        <item h="1" x="11366"/>
        <item h="1" x="11367"/>
        <item h="1" x="11368"/>
        <item h="1" x="11369"/>
        <item h="1" x="11370"/>
        <item h="1" x="11371"/>
        <item h="1" x="11372"/>
        <item h="1" x="11373"/>
        <item h="1" x="11374"/>
        <item h="1" x="11375"/>
        <item h="1" x="11376"/>
        <item h="1" x="11377"/>
        <item h="1" x="11378"/>
        <item h="1" x="11379"/>
        <item h="1" x="11380"/>
        <item h="1" x="11381"/>
        <item h="1" x="11382"/>
        <item h="1" x="11383"/>
        <item h="1" x="11384"/>
        <item h="1" x="11385"/>
        <item h="1" x="11386"/>
        <item h="1" x="11387"/>
        <item h="1" x="11388"/>
        <item h="1" x="11389"/>
        <item h="1" x="11390"/>
        <item h="1" x="11391"/>
        <item h="1" x="11392"/>
        <item h="1" x="11393"/>
        <item h="1" x="11394"/>
        <item h="1" x="11395"/>
        <item h="1" x="11396"/>
        <item h="1" x="11397"/>
        <item h="1" x="11398"/>
        <item h="1" x="11399"/>
        <item h="1" x="11400"/>
        <item h="1" x="11401"/>
        <item h="1" x="11402"/>
        <item h="1" x="11403"/>
        <item h="1" x="11404"/>
        <item h="1" x="11405"/>
        <item h="1" x="11406"/>
        <item h="1" x="11407"/>
        <item h="1" x="11408"/>
        <item h="1" x="11409"/>
        <item h="1" x="11410"/>
        <item h="1" x="11411"/>
        <item h="1" x="11412"/>
        <item h="1" x="11413"/>
        <item h="1" x="11414"/>
        <item h="1" x="11415"/>
        <item h="1" x="11416"/>
        <item h="1" x="11417"/>
        <item h="1" x="11418"/>
        <item h="1" x="11419"/>
        <item h="1" x="11420"/>
        <item h="1" x="11421"/>
        <item h="1" x="11422"/>
        <item h="1" x="11423"/>
        <item h="1" x="11424"/>
        <item h="1" x="11425"/>
        <item h="1" x="11426"/>
        <item h="1" x="11427"/>
        <item h="1" x="11428"/>
        <item h="1" x="11429"/>
        <item h="1" x="11430"/>
        <item h="1" x="11431"/>
        <item h="1" x="11432"/>
        <item h="1" x="11433"/>
        <item h="1" x="11434"/>
        <item h="1" x="11435"/>
        <item h="1" x="11436"/>
        <item h="1" x="11437"/>
        <item h="1" x="11438"/>
        <item h="1" x="11439"/>
        <item h="1" x="11440"/>
        <item h="1" x="11441"/>
        <item h="1" x="11442"/>
        <item h="1" x="11443"/>
        <item h="1" x="11444"/>
        <item h="1" x="11445"/>
        <item h="1" x="11446"/>
        <item h="1" x="11447"/>
        <item h="1" x="11448"/>
        <item h="1" x="11449"/>
        <item h="1" x="11450"/>
        <item h="1" x="11451"/>
        <item h="1" x="11452"/>
        <item h="1" x="11453"/>
        <item h="1" x="11454"/>
        <item h="1" x="11455"/>
        <item h="1" x="11456"/>
        <item h="1" x="11457"/>
        <item h="1" x="11458"/>
        <item h="1" x="11459"/>
        <item h="1" x="11460"/>
        <item h="1" x="11461"/>
        <item h="1" x="11462"/>
        <item h="1" x="11463"/>
        <item h="1" x="11464"/>
        <item h="1" x="11465"/>
        <item h="1" x="11466"/>
        <item h="1" x="11467"/>
        <item h="1" x="11468"/>
        <item h="1" x="11469"/>
        <item h="1" x="11470"/>
        <item h="1" x="11471"/>
        <item h="1" x="11472"/>
        <item h="1" x="11473"/>
        <item h="1" x="11474"/>
        <item h="1" x="11475"/>
        <item h="1" x="11476"/>
        <item h="1" x="11477"/>
        <item h="1" x="11478"/>
        <item h="1" x="11479"/>
        <item h="1" x="11480"/>
        <item h="1" x="11481"/>
        <item h="1" x="11482"/>
        <item h="1" x="11483"/>
        <item h="1" x="11484"/>
        <item h="1" x="11485"/>
        <item h="1" x="11486"/>
        <item h="1" x="11487"/>
        <item h="1" x="11488"/>
        <item h="1" x="11489"/>
        <item h="1" x="11490"/>
        <item h="1" x="11491"/>
        <item h="1" x="11492"/>
        <item h="1" x="11493"/>
        <item h="1" x="11494"/>
        <item h="1" x="11495"/>
        <item h="1" x="11496"/>
        <item h="1" x="11497"/>
        <item h="1" x="11498"/>
        <item h="1" x="11499"/>
        <item h="1" x="11500"/>
        <item h="1" x="11501"/>
        <item h="1" x="11502"/>
        <item h="1" x="11503"/>
        <item h="1" x="11504"/>
        <item h="1" x="11505"/>
        <item h="1" x="11506"/>
        <item h="1" x="11507"/>
        <item h="1" x="11508"/>
        <item h="1" x="11509"/>
        <item h="1" x="11510"/>
        <item h="1" x="11511"/>
        <item h="1" x="11512"/>
        <item h="1" x="11513"/>
        <item h="1" x="11514"/>
        <item h="1" x="11515"/>
        <item h="1" x="11516"/>
        <item h="1" x="11517"/>
        <item h="1" x="11518"/>
        <item h="1" x="11519"/>
        <item h="1" x="11520"/>
        <item h="1" x="11521"/>
        <item h="1" x="11522"/>
        <item h="1" x="11523"/>
        <item h="1" x="11524"/>
        <item h="1" x="11525"/>
        <item h="1" x="11526"/>
        <item h="1" x="11527"/>
        <item h="1" x="11528"/>
        <item h="1" x="11529"/>
        <item h="1" x="11530"/>
        <item h="1" x="11531"/>
        <item h="1" x="11532"/>
        <item h="1" x="11533"/>
        <item h="1" x="11534"/>
        <item h="1" x="11535"/>
        <item h="1" x="11536"/>
        <item h="1" x="11537"/>
        <item h="1" x="11538"/>
        <item h="1" x="11539"/>
        <item h="1" x="11540"/>
        <item h="1" x="11541"/>
        <item h="1" x="11542"/>
        <item h="1" x="11543"/>
        <item h="1" x="11544"/>
        <item h="1" x="11545"/>
        <item h="1" x="11546"/>
        <item h="1" x="11547"/>
        <item h="1" x="11548"/>
        <item h="1" x="11549"/>
        <item h="1" x="11550"/>
        <item h="1" x="11551"/>
        <item h="1" x="11552"/>
        <item h="1" x="11553"/>
        <item h="1" x="11554"/>
        <item h="1" x="11555"/>
        <item h="1" x="11556"/>
        <item h="1" x="11557"/>
        <item h="1" x="11558"/>
        <item h="1" x="11559"/>
        <item h="1" x="11560"/>
        <item h="1" x="11561"/>
        <item h="1" x="11562"/>
        <item h="1" x="11563"/>
        <item h="1" x="11564"/>
        <item h="1" x="11565"/>
        <item h="1" x="11566"/>
        <item h="1" x="11567"/>
        <item h="1" x="11568"/>
        <item h="1" x="11569"/>
        <item h="1" x="11570"/>
        <item h="1" x="11571"/>
        <item h="1" x="11572"/>
        <item h="1" x="11573"/>
        <item h="1" x="11574"/>
        <item h="1" x="11575"/>
        <item h="1" x="11576"/>
        <item h="1" x="11577"/>
        <item h="1" x="11578"/>
        <item h="1" x="11579"/>
        <item h="1" x="11580"/>
        <item h="1" x="11581"/>
        <item h="1" x="11582"/>
        <item h="1" x="11583"/>
        <item h="1" x="11584"/>
        <item h="1" x="11585"/>
        <item h="1" x="11586"/>
        <item h="1" x="11587"/>
        <item h="1" x="11588"/>
        <item h="1" x="11589"/>
        <item h="1" x="11590"/>
        <item h="1" x="11591"/>
        <item h="1" x="11592"/>
        <item h="1" x="11593"/>
        <item h="1" x="11594"/>
        <item h="1" x="11595"/>
        <item h="1" x="11596"/>
        <item h="1" x="11597"/>
        <item h="1" x="11598"/>
        <item h="1" x="11599"/>
        <item h="1" x="11600"/>
        <item h="1" x="11601"/>
        <item h="1" x="11602"/>
        <item h="1" x="11603"/>
        <item h="1" x="11604"/>
        <item h="1" x="11605"/>
        <item h="1" x="11606"/>
        <item h="1" x="11607"/>
        <item h="1" x="11608"/>
        <item h="1" x="11609"/>
        <item h="1" x="11610"/>
        <item h="1" x="11611"/>
        <item h="1" x="11612"/>
        <item h="1" x="11613"/>
        <item h="1" x="11614"/>
        <item h="1" x="11615"/>
        <item h="1" x="11616"/>
        <item h="1" x="11617"/>
        <item h="1" x="11618"/>
        <item h="1" x="11619"/>
        <item h="1" x="11620"/>
        <item h="1" x="11621"/>
        <item h="1" x="11622"/>
        <item h="1" x="11623"/>
        <item h="1" x="11624"/>
        <item h="1" x="11625"/>
        <item h="1" x="11626"/>
        <item h="1" x="11627"/>
        <item h="1" x="11628"/>
        <item h="1" x="11629"/>
        <item h="1" x="11630"/>
        <item h="1" x="11631"/>
        <item h="1" x="11632"/>
        <item h="1" x="11633"/>
        <item h="1" x="11634"/>
        <item h="1" x="11635"/>
        <item h="1" x="11636"/>
        <item h="1" x="11637"/>
        <item h="1" x="11638"/>
        <item h="1" x="11639"/>
        <item h="1" x="11640"/>
        <item h="1" x="11641"/>
        <item h="1" x="11642"/>
        <item h="1" x="11643"/>
        <item h="1" x="11644"/>
        <item h="1" x="11645"/>
        <item h="1" x="11646"/>
        <item h="1" x="11647"/>
        <item h="1" x="11648"/>
        <item h="1" x="11649"/>
        <item h="1" x="11650"/>
        <item h="1" x="11651"/>
        <item h="1" x="11652"/>
        <item h="1" x="11653"/>
        <item h="1" x="11654"/>
        <item h="1" x="11655"/>
        <item h="1" x="11656"/>
        <item h="1" x="11657"/>
        <item h="1" x="11658"/>
        <item h="1" x="11659"/>
        <item h="1" x="11660"/>
        <item h="1" x="11661"/>
        <item h="1" x="11662"/>
        <item h="1" x="11663"/>
        <item h="1" x="11664"/>
        <item h="1" x="11665"/>
        <item h="1" x="11666"/>
        <item h="1" x="11667"/>
        <item h="1" x="11668"/>
        <item h="1" x="11669"/>
        <item h="1" x="11670"/>
        <item h="1" x="11671"/>
        <item h="1" x="11672"/>
        <item h="1" x="11673"/>
        <item h="1" x="11674"/>
        <item h="1" x="11675"/>
        <item h="1" x="11676"/>
        <item h="1" x="11677"/>
        <item h="1" x="11678"/>
        <item h="1" x="11679"/>
        <item h="1" x="11680"/>
        <item h="1" x="11681"/>
        <item h="1" x="11682"/>
        <item h="1" x="11683"/>
        <item h="1" x="11684"/>
        <item h="1" x="11685"/>
        <item h="1" x="11686"/>
        <item h="1" x="11687"/>
        <item h="1" x="11688"/>
        <item h="1" x="11689"/>
        <item h="1" x="11690"/>
        <item h="1" x="11691"/>
        <item h="1" x="11692"/>
        <item h="1" x="11693"/>
        <item h="1" x="11694"/>
        <item h="1" x="11695"/>
        <item h="1" x="11696"/>
        <item h="1" x="11697"/>
        <item h="1" x="11698"/>
        <item h="1" x="11699"/>
        <item h="1" x="11700"/>
        <item h="1" x="11701"/>
        <item h="1" x="11702"/>
        <item h="1" x="11703"/>
        <item h="1" x="11704"/>
        <item h="1" x="11705"/>
        <item h="1" x="11706"/>
        <item h="1" x="11707"/>
        <item h="1" x="11708"/>
        <item h="1" x="11709"/>
        <item h="1" x="11710"/>
        <item h="1" x="11711"/>
        <item h="1" x="11712"/>
        <item h="1" x="11713"/>
        <item h="1" x="11714"/>
        <item h="1" x="11715"/>
        <item h="1" x="11716"/>
        <item h="1" x="11717"/>
        <item h="1" x="11718"/>
        <item h="1" x="11719"/>
        <item h="1" x="11720"/>
        <item h="1" x="11721"/>
        <item h="1" x="11722"/>
        <item h="1" x="11723"/>
        <item h="1" x="11724"/>
        <item h="1" x="11725"/>
        <item h="1" x="11726"/>
        <item h="1" x="11727"/>
        <item h="1" x="11728"/>
        <item h="1" x="11729"/>
        <item h="1" x="11730"/>
        <item h="1" x="11731"/>
        <item h="1" x="11732"/>
        <item h="1" x="11733"/>
        <item h="1" x="11734"/>
        <item h="1" x="11735"/>
        <item h="1" x="11736"/>
        <item h="1" x="11737"/>
        <item h="1" x="11738"/>
        <item h="1" x="11739"/>
        <item h="1" x="11740"/>
        <item h="1" x="11741"/>
        <item h="1" x="11742"/>
        <item h="1" x="11743"/>
        <item h="1" x="11744"/>
        <item h="1" x="11745"/>
        <item h="1" x="11746"/>
        <item h="1" x="11747"/>
        <item h="1" x="11748"/>
        <item h="1" x="11749"/>
        <item h="1" x="11750"/>
        <item h="1" x="11751"/>
        <item h="1" x="11752"/>
        <item h="1" x="11753"/>
        <item h="1" x="11754"/>
        <item h="1" x="11755"/>
        <item h="1" x="11756"/>
        <item h="1" x="11757"/>
        <item h="1" x="11758"/>
        <item h="1" x="11759"/>
        <item h="1" x="11760"/>
        <item h="1" x="11761"/>
        <item h="1" x="11762"/>
        <item h="1" x="11763"/>
        <item h="1" x="11764"/>
        <item h="1" x="11765"/>
        <item h="1" x="11766"/>
        <item h="1" x="11767"/>
        <item h="1" x="11768"/>
        <item h="1" x="11769"/>
        <item h="1" x="11770"/>
        <item h="1" x="11771"/>
        <item h="1" x="11772"/>
        <item h="1" x="11773"/>
        <item h="1" x="11774"/>
        <item h="1" x="11775"/>
        <item h="1" x="11776"/>
        <item h="1" x="11777"/>
        <item h="1" x="11778"/>
        <item h="1" x="11779"/>
        <item h="1" x="11780"/>
        <item h="1" x="11781"/>
        <item h="1" x="11782"/>
        <item h="1" x="11783"/>
        <item h="1" x="11784"/>
        <item h="1" x="11785"/>
        <item h="1" x="11786"/>
        <item h="1" x="11787"/>
        <item h="1" x="11788"/>
        <item h="1" x="11789"/>
        <item h="1" x="11790"/>
        <item h="1" x="11791"/>
        <item h="1" x="11792"/>
        <item h="1" x="11793"/>
        <item h="1" x="11794"/>
        <item h="1" x="11795"/>
        <item h="1" x="11796"/>
        <item h="1" x="11797"/>
        <item h="1" x="11798"/>
        <item h="1" x="11799"/>
        <item h="1" x="11800"/>
        <item h="1" x="11801"/>
        <item h="1" x="11802"/>
        <item h="1" x="11803"/>
        <item h="1" x="11804"/>
        <item h="1" x="11805"/>
        <item h="1" x="11806"/>
        <item h="1" x="11807"/>
        <item h="1" x="11808"/>
        <item h="1" x="11809"/>
        <item h="1" x="11810"/>
        <item h="1" x="11811"/>
        <item h="1" x="11812"/>
        <item h="1" x="11813"/>
        <item h="1" x="11814"/>
        <item h="1" x="11815"/>
        <item h="1" x="11816"/>
        <item h="1" x="11817"/>
        <item h="1" x="11818"/>
        <item h="1" x="11819"/>
        <item h="1" x="11820"/>
        <item h="1" x="11821"/>
        <item h="1" x="11822"/>
        <item h="1" x="11823"/>
        <item h="1" x="11824"/>
        <item h="1" x="11825"/>
        <item h="1" x="11826"/>
        <item h="1" x="11827"/>
        <item h="1" x="11828"/>
        <item h="1" x="11829"/>
        <item h="1" x="11830"/>
        <item h="1" x="11831"/>
        <item h="1" x="11832"/>
        <item h="1" x="11833"/>
        <item h="1" x="11834"/>
        <item h="1" x="11835"/>
        <item h="1" x="11836"/>
        <item h="1" x="11837"/>
        <item h="1" x="11838"/>
        <item h="1" x="11839"/>
        <item h="1" x="11840"/>
        <item h="1" x="11841"/>
        <item h="1" x="11842"/>
        <item h="1" x="11843"/>
        <item h="1" x="11844"/>
        <item h="1" x="11845"/>
        <item h="1" x="11846"/>
        <item h="1" x="11847"/>
        <item h="1" x="11848"/>
        <item h="1" x="11849"/>
        <item h="1" x="11850"/>
        <item h="1" x="11851"/>
        <item h="1" x="11852"/>
        <item h="1" x="11853"/>
        <item h="1" x="11854"/>
        <item h="1" x="11855"/>
        <item h="1" x="11856"/>
        <item h="1" x="11857"/>
        <item h="1" x="11858"/>
        <item h="1" x="11859"/>
        <item h="1" x="11860"/>
        <item h="1" x="11861"/>
        <item h="1" x="11862"/>
        <item h="1" x="11863"/>
        <item h="1" x="11864"/>
        <item h="1" x="11865"/>
        <item h="1" x="11866"/>
        <item h="1" x="11867"/>
        <item h="1" x="11868"/>
        <item h="1" x="11869"/>
        <item h="1" x="11870"/>
        <item h="1" x="11871"/>
        <item h="1" x="11872"/>
        <item h="1" x="11873"/>
        <item h="1" x="11874"/>
        <item h="1" x="11875"/>
        <item h="1" x="11876"/>
        <item h="1" x="11877"/>
        <item h="1" x="11878"/>
        <item h="1" x="11879"/>
        <item h="1" x="11880"/>
        <item h="1" x="11881"/>
        <item h="1" x="11882"/>
        <item h="1" x="11883"/>
        <item h="1" x="11884"/>
        <item h="1" x="11885"/>
        <item h="1" x="11886"/>
        <item h="1" x="11887"/>
        <item h="1" x="11888"/>
        <item h="1" x="11889"/>
        <item h="1" x="11890"/>
        <item h="1" x="11891"/>
        <item h="1" x="11892"/>
        <item h="1" x="11893"/>
        <item h="1" x="11894"/>
        <item h="1" x="11895"/>
        <item h="1" x="11896"/>
        <item h="1" x="11897"/>
        <item h="1" x="11898"/>
        <item h="1" x="11899"/>
        <item h="1" x="11900"/>
        <item h="1" x="11901"/>
        <item h="1" x="11902"/>
        <item h="1" x="11903"/>
        <item h="1" x="11904"/>
        <item h="1" x="11905"/>
        <item h="1" x="11906"/>
        <item h="1" x="11907"/>
        <item h="1" x="11908"/>
        <item h="1" x="11909"/>
        <item h="1" x="11910"/>
        <item h="1" x="11911"/>
        <item h="1" x="11912"/>
        <item h="1" x="11913"/>
        <item h="1" x="11914"/>
        <item h="1" x="11915"/>
        <item h="1" x="11916"/>
        <item h="1" x="11917"/>
        <item h="1" x="11918"/>
        <item h="1" x="11919"/>
        <item h="1" x="11920"/>
        <item h="1" x="11921"/>
        <item h="1" x="11922"/>
        <item h="1" x="11923"/>
        <item h="1" x="11924"/>
        <item h="1" x="11925"/>
        <item h="1" x="11926"/>
        <item h="1" x="11927"/>
        <item h="1" x="11928"/>
        <item h="1" x="11929"/>
        <item h="1" x="11930"/>
        <item h="1" x="11931"/>
        <item h="1" x="11932"/>
        <item h="1" x="11933"/>
        <item h="1" x="11934"/>
        <item h="1" x="11935"/>
        <item h="1" x="11936"/>
        <item h="1" x="11937"/>
        <item h="1" x="11938"/>
        <item h="1" x="11939"/>
        <item h="1" x="11940"/>
        <item h="1" x="11941"/>
        <item h="1" x="11942"/>
        <item h="1" x="11943"/>
        <item h="1" x="11944"/>
        <item h="1" x="11945"/>
        <item h="1" x="11946"/>
        <item h="1" x="11947"/>
        <item h="1" x="11948"/>
        <item h="1" x="11949"/>
        <item h="1" x="11950"/>
        <item h="1" x="11951"/>
        <item h="1" x="11952"/>
        <item h="1" x="11953"/>
        <item h="1" x="11954"/>
        <item h="1" x="11955"/>
        <item h="1" x="11956"/>
        <item h="1" x="11957"/>
        <item h="1" x="11958"/>
        <item h="1" x="11959"/>
        <item h="1" x="11960"/>
        <item h="1" x="11961"/>
        <item h="1" x="11962"/>
        <item h="1" x="11963"/>
        <item h="1" x="11964"/>
        <item h="1" x="11965"/>
        <item h="1" x="11966"/>
        <item h="1" x="11967"/>
        <item h="1" x="11968"/>
        <item h="1" x="11969"/>
        <item h="1" x="11970"/>
        <item h="1" x="11971"/>
        <item h="1" x="11972"/>
        <item h="1" x="11973"/>
        <item h="1" x="11974"/>
        <item h="1" x="11975"/>
        <item h="1" x="11976"/>
        <item h="1" x="11977"/>
        <item h="1" x="11978"/>
        <item h="1" x="11979"/>
        <item h="1" x="11980"/>
        <item h="1" x="11981"/>
        <item h="1" x="11982"/>
        <item h="1" x="11983"/>
        <item h="1" x="11984"/>
        <item h="1" x="11985"/>
        <item h="1" x="11986"/>
        <item h="1" x="11987"/>
        <item h="1" x="11988"/>
        <item h="1" x="11989"/>
        <item h="1" x="11990"/>
        <item h="1" x="11991"/>
        <item h="1" x="11992"/>
        <item h="1" x="11993"/>
        <item h="1" x="11994"/>
        <item h="1" x="11995"/>
        <item h="1" x="11996"/>
        <item h="1" x="11997"/>
        <item h="1" x="11998"/>
        <item h="1" x="11999"/>
        <item h="1" x="12000"/>
        <item h="1" x="12001"/>
        <item h="1" x="12002"/>
        <item h="1" x="12003"/>
        <item h="1" x="12004"/>
        <item h="1" x="12005"/>
        <item h="1" x="12006"/>
        <item h="1" x="12007"/>
        <item h="1" x="12008"/>
        <item h="1" x="12009"/>
        <item h="1" x="12010"/>
        <item h="1" x="12011"/>
        <item h="1" x="12012"/>
        <item h="1" x="12013"/>
        <item h="1" x="12014"/>
        <item h="1" x="12015"/>
        <item h="1" x="12016"/>
        <item h="1" x="12017"/>
        <item h="1" x="12018"/>
        <item h="1" x="12019"/>
        <item h="1" x="12020"/>
        <item h="1" x="12021"/>
        <item h="1" x="12022"/>
        <item h="1" x="12023"/>
        <item h="1" x="12024"/>
        <item h="1" x="12025"/>
        <item h="1" x="12026"/>
        <item h="1" x="12027"/>
        <item h="1" x="12028"/>
        <item h="1" x="12029"/>
        <item h="1" x="12030"/>
        <item h="1" x="12031"/>
        <item h="1" x="12032"/>
        <item h="1" x="12033"/>
        <item h="1" x="12034"/>
        <item h="1" x="12035"/>
        <item h="1" x="12036"/>
        <item h="1" x="12037"/>
        <item h="1" x="12038"/>
        <item h="1" x="12039"/>
        <item h="1" x="12040"/>
        <item h="1" x="12041"/>
        <item h="1" x="12042"/>
        <item h="1" x="12043"/>
        <item h="1" x="12044"/>
        <item h="1" x="12045"/>
        <item h="1" x="12046"/>
        <item h="1" x="12047"/>
        <item h="1" x="12048"/>
        <item h="1" x="12049"/>
        <item h="1" x="12050"/>
        <item h="1" x="12051"/>
        <item h="1" x="12052"/>
        <item h="1" x="12053"/>
        <item h="1" x="12054"/>
        <item h="1" x="12055"/>
        <item h="1" x="12056"/>
        <item h="1" x="12057"/>
        <item h="1" x="12058"/>
        <item h="1" x="12059"/>
        <item h="1" x="12060"/>
        <item h="1" x="12061"/>
        <item h="1" x="12062"/>
        <item h="1" x="12063"/>
        <item h="1" x="12064"/>
        <item h="1" x="12065"/>
        <item h="1" x="12066"/>
        <item h="1" x="12067"/>
        <item h="1" x="12068"/>
        <item h="1" x="12069"/>
        <item h="1" x="12070"/>
        <item h="1" x="12071"/>
        <item h="1" x="12072"/>
        <item h="1" x="12073"/>
        <item h="1" x="12074"/>
        <item h="1" x="12075"/>
        <item h="1" x="12076"/>
        <item h="1" x="12077"/>
        <item h="1" x="12078"/>
        <item h="1" x="12079"/>
        <item h="1" x="12080"/>
        <item h="1" x="12081"/>
        <item h="1" x="12082"/>
        <item h="1" x="12083"/>
        <item h="1" x="12084"/>
        <item h="1" x="12085"/>
        <item h="1" x="12086"/>
        <item h="1" x="12087"/>
        <item h="1" x="12088"/>
        <item h="1" x="12089"/>
        <item h="1" x="12090"/>
        <item h="1" x="12091"/>
        <item h="1" x="12092"/>
        <item h="1" x="12093"/>
        <item h="1" x="12094"/>
        <item h="1" x="12095"/>
        <item h="1" x="12096"/>
        <item h="1" x="12097"/>
        <item h="1" x="12098"/>
        <item h="1" x="12099"/>
        <item h="1" x="12100"/>
        <item h="1" x="12101"/>
        <item h="1" x="12102"/>
        <item h="1" x="12103"/>
        <item h="1" x="12104"/>
        <item h="1" x="12105"/>
        <item h="1" x="12106"/>
        <item h="1" x="12107"/>
        <item h="1" x="12108"/>
        <item h="1" x="12109"/>
        <item h="1" x="12110"/>
        <item h="1" x="12111"/>
        <item h="1" x="12112"/>
        <item h="1" x="12113"/>
        <item h="1" x="12114"/>
        <item h="1" x="12115"/>
        <item h="1" x="12116"/>
        <item h="1" x="12117"/>
        <item h="1" x="12118"/>
        <item h="1" x="12119"/>
        <item h="1" x="12120"/>
        <item h="1" x="12121"/>
        <item h="1" x="12122"/>
        <item h="1" x="12123"/>
        <item h="1" x="12124"/>
        <item h="1" x="12125"/>
        <item h="1" x="12126"/>
        <item h="1" x="12127"/>
        <item h="1" x="12128"/>
        <item h="1" x="12129"/>
        <item h="1" x="12130"/>
        <item h="1" x="12131"/>
        <item h="1" x="12132"/>
        <item h="1" x="12133"/>
        <item h="1" x="12134"/>
        <item h="1" x="12135"/>
        <item h="1" x="12136"/>
        <item h="1" x="12137"/>
        <item h="1" x="12138"/>
        <item h="1" x="12139"/>
        <item h="1" x="12140"/>
        <item h="1" x="12141"/>
        <item h="1" x="12142"/>
        <item h="1" x="12143"/>
        <item h="1" x="12144"/>
        <item h="1" x="12145"/>
        <item h="1" x="12146"/>
        <item h="1" x="12147"/>
        <item h="1" x="12148"/>
        <item h="1" x="12149"/>
        <item h="1" x="12150"/>
        <item h="1" x="12151"/>
        <item h="1" x="12152"/>
        <item h="1" x="12153"/>
        <item h="1" x="12154"/>
        <item h="1" x="12155"/>
        <item h="1" x="12156"/>
        <item h="1" x="12157"/>
        <item h="1" x="12158"/>
        <item h="1" x="12159"/>
        <item h="1" x="12160"/>
        <item h="1" x="12161"/>
        <item h="1" x="12162"/>
        <item h="1" x="12163"/>
        <item h="1" x="12164"/>
        <item h="1" x="12165"/>
        <item h="1" x="12166"/>
        <item h="1" x="12167"/>
        <item h="1" x="12168"/>
        <item h="1" x="12169"/>
        <item h="1" x="12170"/>
        <item h="1" x="12171"/>
        <item h="1" x="12172"/>
        <item h="1" x="12173"/>
        <item h="1" x="12174"/>
        <item h="1" x="12175"/>
        <item h="1" x="12176"/>
        <item h="1" x="12177"/>
        <item h="1" x="12178"/>
        <item h="1" x="12179"/>
        <item h="1" x="12180"/>
        <item h="1" x="12181"/>
        <item h="1" x="12182"/>
        <item h="1" x="12183"/>
        <item h="1" x="12184"/>
        <item h="1" x="12185"/>
        <item h="1" x="12186"/>
        <item h="1" x="12187"/>
        <item h="1" x="12188"/>
        <item h="1" x="12189"/>
        <item h="1" x="12190"/>
        <item h="1" x="12191"/>
        <item h="1" x="12192"/>
        <item h="1" x="12193"/>
        <item h="1" x="12194"/>
        <item h="1" x="12195"/>
        <item h="1" x="12196"/>
        <item h="1" x="12197"/>
        <item h="1" x="12198"/>
        <item h="1" x="12199"/>
        <item h="1" x="12200"/>
        <item h="1" x="12201"/>
        <item h="1" x="12202"/>
        <item h="1" x="12203"/>
        <item h="1" x="12204"/>
        <item h="1" x="12205"/>
        <item h="1" x="12206"/>
        <item h="1" x="12207"/>
        <item h="1" x="12208"/>
        <item h="1" x="12209"/>
        <item h="1" x="12210"/>
        <item h="1" x="12211"/>
        <item h="1" x="12212"/>
        <item h="1" x="12213"/>
        <item h="1" x="12214"/>
        <item h="1" x="12215"/>
        <item h="1" x="12216"/>
        <item h="1" x="12217"/>
        <item h="1" x="12218"/>
        <item h="1" x="12219"/>
        <item h="1" x="12220"/>
        <item h="1" x="12221"/>
        <item h="1" x="12222"/>
        <item h="1" x="12223"/>
        <item h="1" x="12224"/>
        <item h="1" x="12225"/>
        <item h="1" x="12226"/>
        <item h="1" x="12227"/>
        <item h="1" x="12228"/>
        <item h="1" x="12229"/>
        <item h="1" x="12230"/>
        <item h="1" x="12231"/>
        <item h="1" x="12232"/>
        <item h="1" x="12233"/>
        <item h="1" x="12234"/>
        <item h="1" x="12235"/>
        <item h="1" x="12236"/>
        <item h="1" x="12237"/>
        <item h="1" x="12238"/>
        <item h="1" x="12239"/>
        <item h="1" x="12240"/>
        <item h="1" x="12241"/>
        <item h="1" x="12242"/>
        <item h="1" x="12243"/>
        <item h="1" x="12244"/>
        <item h="1" x="12245"/>
        <item h="1" x="12246"/>
        <item h="1" x="12247"/>
        <item h="1" x="12248"/>
        <item h="1" x="12249"/>
        <item h="1" x="12250"/>
        <item h="1" x="12251"/>
        <item h="1" x="12252"/>
        <item h="1" x="12253"/>
        <item h="1" x="12254"/>
        <item h="1" x="12255"/>
        <item h="1" x="12256"/>
        <item h="1" x="12257"/>
        <item h="1" x="12258"/>
        <item h="1" x="12259"/>
        <item h="1" x="12260"/>
        <item h="1" x="12261"/>
        <item h="1" x="12262"/>
        <item h="1" x="12263"/>
        <item h="1" x="12264"/>
        <item h="1" x="12265"/>
        <item h="1" x="12266"/>
        <item h="1" x="12267"/>
        <item h="1" x="12268"/>
        <item h="1" x="12269"/>
        <item h="1" x="12270"/>
        <item h="1" x="12271"/>
        <item h="1" x="12272"/>
        <item h="1" x="12273"/>
        <item h="1" x="12274"/>
        <item h="1" x="12275"/>
        <item h="1" x="12276"/>
        <item h="1" x="12277"/>
        <item h="1" x="12278"/>
        <item h="1" x="12279"/>
        <item h="1" x="12280"/>
        <item h="1" x="12281"/>
        <item h="1" x="12282"/>
        <item h="1" x="12283"/>
        <item h="1" x="12284"/>
        <item h="1" x="12285"/>
        <item h="1" x="12286"/>
        <item h="1" x="12287"/>
        <item h="1" x="12288"/>
        <item h="1" x="12289"/>
        <item h="1" x="12290"/>
        <item h="1" x="12291"/>
        <item h="1" x="12292"/>
        <item h="1" x="12293"/>
        <item h="1" x="12294"/>
        <item h="1" x="12295"/>
        <item h="1" x="12296"/>
        <item h="1" x="12297"/>
        <item h="1" x="12298"/>
        <item h="1" x="12299"/>
        <item h="1" x="12300"/>
        <item h="1" x="12301"/>
        <item h="1" x="12302"/>
        <item h="1" x="12303"/>
        <item h="1" x="12304"/>
        <item h="1" x="12305"/>
        <item h="1" x="12306"/>
        <item h="1" x="12307"/>
        <item h="1" x="12308"/>
        <item h="1" x="12309"/>
        <item h="1" x="12310"/>
        <item h="1" x="12311"/>
        <item h="1" x="12312"/>
        <item h="1" x="12313"/>
        <item h="1" x="12314"/>
        <item h="1" x="12315"/>
        <item h="1" x="12316"/>
        <item h="1" x="12317"/>
        <item h="1" x="12318"/>
        <item h="1" x="12319"/>
        <item h="1" x="12320"/>
        <item h="1" x="12321"/>
        <item h="1" x="12322"/>
        <item h="1" x="12323"/>
        <item h="1" x="12324"/>
        <item h="1" x="12325"/>
        <item h="1" x="12326"/>
        <item h="1" x="12327"/>
        <item h="1" x="12328"/>
        <item h="1" x="12329"/>
        <item h="1" x="12330"/>
        <item h="1" x="12331"/>
        <item h="1" x="12332"/>
        <item h="1" x="12333"/>
        <item h="1" x="12334"/>
        <item h="1" x="12335"/>
        <item h="1" x="12336"/>
        <item h="1" x="12337"/>
        <item h="1" x="12338"/>
        <item h="1" x="12339"/>
        <item h="1" x="12340"/>
        <item h="1" x="12341"/>
        <item h="1" x="12342"/>
        <item h="1" x="12343"/>
        <item h="1" x="12344"/>
        <item h="1" x="12345"/>
        <item h="1" x="12346"/>
        <item h="1" x="12347"/>
        <item h="1" x="12348"/>
        <item h="1" x="12349"/>
        <item h="1" x="12350"/>
        <item h="1" x="12351"/>
        <item h="1" x="12352"/>
        <item h="1" x="12353"/>
        <item h="1" x="12354"/>
        <item h="1" x="12355"/>
        <item h="1" x="12356"/>
        <item h="1" x="12357"/>
        <item h="1" x="12358"/>
        <item h="1" x="12359"/>
        <item h="1" x="12360"/>
        <item h="1" x="12361"/>
        <item h="1" x="12362"/>
        <item h="1" x="12363"/>
        <item h="1" x="12364"/>
        <item h="1" x="12365"/>
        <item h="1" x="12366"/>
        <item h="1" x="12367"/>
        <item h="1" x="12368"/>
        <item h="1" x="12369"/>
        <item h="1" x="12370"/>
        <item h="1" x="12371"/>
        <item h="1" x="12372"/>
        <item h="1" x="12373"/>
        <item h="1" x="12374"/>
        <item h="1" x="12375"/>
        <item h="1" x="12376"/>
        <item h="1" x="12377"/>
        <item h="1" x="12378"/>
        <item h="1" x="12379"/>
        <item h="1" x="12380"/>
        <item h="1" x="12381"/>
        <item h="1" x="12382"/>
        <item h="1" x="12383"/>
        <item h="1" x="12384"/>
        <item h="1" x="12385"/>
        <item h="1" x="12386"/>
        <item h="1" x="12387"/>
        <item h="1" x="12388"/>
        <item h="1" x="12389"/>
        <item h="1" x="12390"/>
        <item h="1" x="12391"/>
        <item h="1" x="12392"/>
        <item h="1" x="12393"/>
        <item h="1" x="12394"/>
        <item h="1" x="12395"/>
        <item h="1" x="12396"/>
        <item h="1" x="12397"/>
        <item h="1" x="12398"/>
        <item h="1" x="12399"/>
        <item h="1" x="12400"/>
        <item h="1" x="12401"/>
        <item h="1" x="12402"/>
        <item h="1" x="12403"/>
        <item h="1" x="12404"/>
        <item h="1" x="12405"/>
        <item h="1" x="12406"/>
        <item h="1" x="12407"/>
        <item h="1" x="12408"/>
        <item h="1" x="12409"/>
        <item h="1" x="12410"/>
        <item h="1" x="12411"/>
        <item h="1" x="12412"/>
        <item h="1" x="12413"/>
        <item h="1" x="12414"/>
        <item h="1" x="12415"/>
        <item h="1" x="12416"/>
        <item h="1" x="12417"/>
        <item h="1" x="12418"/>
        <item h="1" x="12419"/>
        <item h="1" x="12420"/>
        <item h="1" x="12421"/>
        <item h="1" x="12422"/>
        <item h="1" x="12423"/>
        <item h="1" x="12424"/>
        <item h="1" x="12425"/>
        <item h="1" x="12426"/>
        <item h="1" x="12427"/>
        <item h="1" x="12428"/>
        <item h="1" x="12429"/>
        <item h="1" x="12430"/>
        <item h="1" x="12431"/>
        <item h="1" x="12432"/>
        <item h="1" x="12433"/>
        <item h="1" x="12434"/>
        <item h="1" x="12435"/>
        <item h="1" x="12436"/>
        <item h="1" x="12437"/>
        <item h="1" x="12438"/>
        <item h="1" x="12439"/>
        <item h="1" x="12440"/>
        <item h="1" x="12441"/>
        <item h="1" x="12442"/>
        <item h="1" x="12443"/>
        <item h="1" x="12444"/>
        <item h="1" x="12445"/>
        <item h="1" x="12446"/>
        <item h="1" x="12447"/>
        <item h="1" x="12448"/>
        <item h="1" x="12449"/>
        <item h="1" x="12450"/>
        <item h="1" x="12451"/>
        <item h="1" x="12452"/>
        <item h="1" x="12453"/>
        <item h="1" x="12454"/>
        <item h="1" x="12455"/>
        <item h="1" x="12456"/>
        <item h="1" x="12457"/>
        <item h="1" x="12458"/>
        <item h="1" x="12459"/>
        <item h="1" x="12460"/>
        <item h="1" x="12461"/>
        <item h="1" x="12462"/>
        <item h="1" x="12463"/>
        <item h="1" x="12464"/>
        <item h="1" x="12465"/>
        <item h="1" x="12466"/>
        <item h="1" x="12467"/>
        <item h="1" x="12468"/>
        <item h="1" x="12469"/>
        <item h="1" x="12470"/>
        <item h="1" x="12471"/>
        <item h="1" x="12472"/>
        <item h="1" x="12473"/>
        <item h="1" x="12474"/>
        <item h="1" x="12475"/>
        <item h="1" x="12476"/>
        <item h="1" x="12477"/>
        <item h="1" x="12478"/>
        <item h="1" x="12479"/>
        <item h="1" x="12480"/>
        <item h="1" x="12481"/>
        <item h="1" x="12482"/>
        <item h="1" x="12483"/>
        <item h="1" x="12484"/>
        <item h="1" x="12485"/>
        <item h="1" x="12486"/>
        <item h="1" x="12487"/>
        <item h="1" x="12488"/>
        <item h="1" x="12489"/>
        <item h="1" x="12490"/>
        <item h="1" x="12491"/>
        <item h="1" x="12492"/>
        <item h="1" x="12493"/>
        <item h="1" x="12494"/>
        <item h="1" x="12495"/>
        <item h="1" x="12496"/>
        <item h="1" x="12497"/>
        <item h="1" x="12498"/>
        <item h="1" x="12499"/>
        <item h="1" x="12500"/>
        <item h="1" x="12501"/>
        <item h="1" x="12502"/>
        <item h="1" x="12503"/>
        <item h="1" x="12504"/>
        <item h="1" x="12505"/>
        <item h="1" x="12506"/>
        <item h="1" x="12507"/>
        <item h="1" x="12508"/>
        <item h="1" x="12509"/>
        <item h="1" x="12510"/>
        <item h="1" x="12511"/>
        <item h="1" x="12512"/>
        <item h="1" x="12513"/>
        <item h="1" x="12514"/>
        <item h="1" x="12515"/>
        <item h="1" x="12516"/>
        <item h="1" x="12517"/>
        <item h="1" x="12518"/>
        <item h="1" x="12519"/>
        <item h="1" x="12520"/>
        <item h="1" x="12521"/>
        <item h="1" x="12522"/>
        <item h="1" x="12523"/>
        <item h="1" x="12524"/>
        <item h="1" x="12525"/>
        <item h="1" x="12526"/>
        <item h="1" x="12527"/>
        <item h="1" x="12528"/>
        <item h="1" x="12529"/>
        <item h="1" x="12530"/>
        <item h="1" x="12531"/>
        <item h="1" x="12532"/>
        <item h="1" x="12533"/>
        <item h="1" x="12534"/>
        <item h="1" x="12535"/>
        <item h="1" x="12536"/>
        <item h="1" x="12537"/>
        <item h="1" x="12538"/>
        <item h="1" x="12539"/>
        <item h="1" x="12540"/>
        <item h="1" x="12541"/>
        <item h="1" x="12542"/>
        <item h="1" x="12543"/>
        <item h="1" x="12544"/>
        <item h="1" x="12545"/>
        <item h="1" x="12546"/>
        <item h="1" x="12547"/>
        <item h="1" x="12548"/>
        <item h="1" x="12549"/>
        <item h="1" x="12550"/>
        <item h="1" x="12551"/>
        <item h="1" x="12552"/>
        <item h="1" x="12553"/>
        <item h="1" x="12554"/>
        <item h="1" x="12555"/>
        <item h="1" x="12556"/>
        <item h="1" x="12557"/>
        <item h="1" x="12558"/>
        <item h="1" x="12559"/>
        <item h="1" x="12560"/>
        <item h="1" x="12561"/>
        <item h="1" x="12562"/>
        <item h="1" x="12563"/>
        <item h="1" x="12564"/>
        <item h="1" x="12565"/>
        <item h="1" x="12566"/>
        <item h="1" x="12567"/>
        <item h="1" x="12568"/>
        <item h="1" x="12569"/>
        <item h="1" x="12570"/>
        <item h="1" x="12571"/>
        <item h="1" x="12572"/>
        <item h="1" x="12573"/>
        <item h="1" x="12574"/>
        <item h="1" x="12575"/>
        <item h="1" x="12576"/>
        <item h="1" x="12577"/>
        <item h="1" x="12578"/>
        <item h="1" x="12579"/>
        <item h="1" x="12580"/>
        <item h="1" x="12581"/>
        <item h="1" x="12582"/>
        <item h="1" x="12583"/>
        <item h="1" x="12584"/>
        <item h="1" x="12585"/>
        <item h="1" x="12586"/>
        <item h="1" x="12587"/>
        <item h="1" x="12588"/>
        <item h="1" x="12589"/>
        <item h="1" x="12590"/>
        <item h="1" x="12591"/>
        <item h="1" x="12592"/>
        <item h="1" x="12593"/>
        <item h="1" x="12594"/>
        <item h="1" x="12595"/>
        <item h="1" x="12596"/>
        <item h="1" x="12597"/>
        <item h="1" x="12598"/>
        <item h="1" x="12599"/>
        <item h="1" x="12600"/>
        <item h="1" x="12601"/>
        <item h="1" x="12602"/>
        <item h="1" x="12603"/>
        <item h="1" x="12604"/>
        <item h="1" x="12605"/>
        <item h="1" x="12606"/>
        <item h="1" x="12607"/>
        <item h="1" x="12608"/>
        <item h="1" x="12609"/>
        <item h="1" x="12610"/>
        <item h="1" x="12611"/>
        <item h="1" x="12612"/>
        <item h="1" x="12613"/>
        <item h="1" x="12614"/>
        <item h="1" x="12615"/>
        <item h="1" x="12616"/>
        <item h="1" x="12617"/>
        <item h="1" x="12618"/>
        <item h="1" x="12619"/>
        <item h="1" x="12620"/>
        <item h="1" x="12621"/>
        <item h="1" x="12622"/>
        <item h="1" x="12623"/>
        <item h="1" x="12624"/>
        <item h="1" x="12625"/>
        <item h="1" x="12626"/>
        <item h="1" x="12627"/>
        <item h="1" x="12628"/>
        <item h="1" x="12629"/>
        <item h="1" x="12630"/>
        <item h="1" x="12631"/>
        <item h="1" x="12632"/>
        <item h="1" x="12633"/>
        <item h="1" x="12634"/>
        <item h="1" x="12635"/>
        <item h="1" x="12636"/>
        <item h="1" x="12637"/>
        <item h="1" x="12638"/>
        <item h="1" x="12639"/>
        <item h="1" x="12640"/>
        <item h="1" x="12641"/>
        <item h="1" x="12642"/>
        <item h="1" x="12643"/>
        <item h="1" x="12644"/>
        <item h="1" x="12645"/>
        <item h="1" x="12646"/>
        <item h="1" x="12647"/>
        <item h="1" x="12648"/>
        <item h="1" x="12649"/>
        <item h="1" x="12650"/>
        <item h="1" x="12651"/>
        <item h="1" x="12652"/>
        <item h="1" x="12653"/>
        <item h="1" x="12654"/>
        <item h="1" x="12655"/>
        <item h="1" x="12656"/>
        <item h="1" x="12657"/>
        <item h="1" x="12658"/>
        <item h="1" x="12659"/>
        <item h="1" x="12660"/>
        <item h="1" x="12661"/>
        <item h="1" x="12662"/>
        <item h="1" x="12663"/>
        <item h="1" x="12664"/>
        <item h="1" x="12665"/>
        <item h="1" x="12666"/>
        <item h="1" x="12667"/>
        <item h="1" x="12668"/>
        <item h="1" x="12669"/>
        <item h="1" x="12670"/>
        <item h="1" x="12671"/>
        <item h="1" x="12672"/>
        <item h="1" x="12673"/>
        <item h="1" x="12674"/>
        <item h="1" x="12675"/>
        <item h="1" x="12676"/>
        <item h="1" x="12677"/>
        <item h="1" x="12678"/>
        <item h="1" x="12679"/>
        <item h="1" x="12680"/>
        <item h="1" x="12681"/>
        <item h="1" x="12682"/>
        <item h="1" x="12683"/>
        <item h="1" x="12684"/>
        <item h="1" x="12685"/>
        <item h="1" x="12686"/>
        <item h="1" x="12687"/>
        <item h="1" x="12688"/>
        <item h="1" x="12689"/>
        <item h="1" x="12690"/>
        <item h="1" x="12691"/>
        <item h="1" x="12692"/>
        <item h="1" x="12693"/>
        <item h="1" x="12694"/>
        <item h="1" x="12695"/>
        <item h="1" x="12696"/>
        <item h="1" x="12697"/>
        <item h="1" x="12698"/>
        <item h="1" x="12699"/>
        <item h="1" x="12700"/>
        <item h="1" x="12701"/>
        <item h="1" x="12702"/>
        <item h="1" x="12703"/>
        <item h="1" x="12704"/>
        <item h="1" x="12705"/>
        <item h="1" x="12706"/>
        <item h="1" x="12707"/>
        <item h="1" x="12708"/>
        <item h="1" x="12709"/>
        <item h="1" x="12710"/>
        <item h="1" x="12711"/>
        <item h="1" x="12712"/>
        <item h="1" x="12713"/>
        <item h="1" x="12714"/>
        <item h="1" x="12715"/>
        <item h="1" x="12716"/>
        <item h="1" x="12717"/>
        <item h="1" x="12718"/>
        <item h="1" x="12719"/>
        <item h="1" x="12720"/>
        <item h="1" x="12721"/>
        <item h="1" x="12722"/>
        <item h="1" x="12723"/>
        <item h="1" x="12724"/>
        <item h="1" x="12725"/>
        <item h="1" x="12726"/>
        <item h="1" x="12727"/>
        <item h="1" x="12728"/>
        <item h="1" x="12729"/>
        <item h="1" x="12730"/>
        <item h="1" x="12731"/>
        <item h="1" x="12732"/>
        <item h="1" x="12733"/>
        <item h="1" x="12734"/>
        <item h="1" x="12735"/>
        <item h="1" x="12736"/>
        <item h="1" x="12737"/>
        <item h="1" x="12738"/>
        <item h="1" x="12739"/>
        <item h="1" x="12740"/>
        <item h="1" x="12741"/>
        <item h="1" x="12742"/>
        <item h="1" x="12743"/>
        <item h="1" x="12744"/>
        <item h="1" x="12745"/>
        <item h="1" x="12746"/>
        <item h="1" x="12747"/>
        <item h="1" x="12748"/>
        <item h="1" x="12749"/>
        <item h="1" x="12750"/>
        <item h="1" x="12751"/>
        <item h="1" x="12752"/>
        <item h="1" x="12753"/>
        <item h="1" x="12754"/>
        <item h="1" x="12755"/>
        <item h="1" x="12756"/>
        <item h="1" x="12757"/>
        <item h="1" x="12758"/>
        <item h="1" x="12759"/>
        <item h="1" x="12760"/>
        <item h="1" x="12761"/>
        <item h="1" x="12762"/>
        <item h="1" x="12763"/>
        <item h="1" x="12764"/>
        <item h="1" x="12765"/>
        <item h="1" x="12766"/>
        <item h="1" x="12767"/>
        <item h="1" x="12768"/>
        <item h="1" x="12769"/>
        <item h="1" x="12770"/>
        <item h="1" x="12771"/>
        <item h="1" x="12772"/>
        <item h="1" x="12773"/>
        <item h="1" x="12774"/>
        <item h="1" x="12775"/>
        <item h="1" x="12776"/>
        <item h="1" x="12777"/>
        <item h="1" x="12778"/>
        <item h="1" x="12779"/>
        <item h="1" x="12780"/>
        <item h="1" x="12781"/>
        <item h="1" x="12782"/>
        <item h="1" x="12783"/>
        <item h="1" x="12784"/>
        <item h="1" x="12785"/>
        <item h="1" x="12786"/>
        <item h="1" x="12787"/>
        <item h="1" x="12788"/>
        <item h="1" x="12789"/>
        <item h="1" x="12790"/>
        <item h="1" x="12791"/>
        <item h="1" x="12792"/>
        <item h="1" x="12793"/>
        <item h="1" x="12794"/>
        <item h="1" x="12795"/>
        <item h="1" x="12796"/>
        <item h="1" x="12797"/>
        <item h="1" x="12798"/>
        <item h="1" x="12799"/>
        <item h="1" x="12800"/>
        <item h="1" x="12801"/>
        <item h="1" x="12802"/>
        <item h="1" x="12803"/>
        <item h="1" x="12804"/>
        <item h="1" x="12805"/>
        <item h="1" x="12806"/>
        <item h="1" x="12807"/>
        <item h="1" x="12808"/>
        <item h="1" x="12809"/>
        <item h="1" x="12810"/>
        <item h="1" x="12811"/>
        <item h="1" x="12812"/>
        <item h="1" x="12813"/>
        <item h="1" x="12814"/>
        <item h="1" x="12815"/>
        <item h="1" x="12816"/>
        <item h="1" x="12817"/>
        <item h="1" x="12818"/>
        <item h="1" x="12819"/>
        <item h="1" x="12820"/>
        <item h="1" x="12821"/>
        <item h="1" x="12822"/>
        <item h="1" x="12823"/>
        <item h="1" x="12824"/>
        <item h="1" x="12825"/>
        <item h="1" x="12826"/>
        <item h="1" x="12827"/>
        <item h="1" x="12828"/>
        <item h="1" x="12829"/>
        <item h="1" x="12830"/>
        <item h="1" x="12831"/>
        <item h="1" x="12832"/>
        <item h="1" x="12833"/>
        <item h="1" x="12834"/>
        <item h="1" x="12835"/>
        <item h="1" x="12836"/>
        <item h="1" x="12837"/>
        <item h="1" x="12838"/>
        <item h="1" x="12839"/>
        <item h="1" x="12840"/>
        <item h="1" x="12841"/>
        <item h="1" x="12842"/>
        <item h="1" x="12843"/>
        <item h="1" x="12844"/>
        <item h="1" x="12845"/>
        <item h="1" x="12846"/>
        <item h="1" x="12847"/>
        <item h="1" x="12848"/>
        <item h="1" x="12849"/>
        <item h="1" x="12850"/>
        <item h="1" x="12851"/>
        <item h="1" x="12852"/>
        <item h="1" x="12853"/>
        <item h="1" x="12854"/>
        <item h="1" x="12855"/>
        <item h="1" x="12856"/>
        <item h="1" x="12857"/>
        <item h="1" x="12858"/>
        <item h="1" x="12859"/>
        <item h="1" x="12860"/>
        <item h="1" x="12861"/>
        <item h="1" x="12862"/>
        <item h="1" x="12863"/>
        <item h="1" x="12864"/>
        <item h="1" x="12865"/>
        <item h="1" x="12866"/>
        <item h="1" x="12867"/>
        <item h="1" x="12868"/>
        <item h="1" x="12869"/>
        <item h="1" x="12870"/>
        <item h="1" x="12871"/>
        <item h="1" x="12872"/>
        <item h="1" x="12873"/>
        <item h="1" x="12874"/>
        <item h="1" x="12875"/>
        <item h="1" x="12876"/>
        <item h="1" x="12877"/>
        <item h="1" x="12878"/>
        <item h="1" x="12879"/>
        <item h="1" x="12880"/>
        <item h="1" x="12881"/>
        <item h="1" x="12882"/>
        <item h="1" x="12883"/>
        <item h="1" x="12884"/>
        <item h="1" x="12885"/>
        <item h="1" x="12886"/>
        <item h="1" x="12887"/>
        <item h="1" x="12888"/>
        <item h="1" x="12889"/>
        <item h="1" x="12890"/>
        <item h="1" x="12891"/>
        <item h="1" x="12892"/>
        <item h="1" x="12893"/>
        <item h="1" x="12894"/>
        <item h="1" x="12895"/>
        <item h="1" x="12896"/>
        <item h="1" x="12897"/>
        <item h="1" x="12898"/>
        <item h="1" x="12899"/>
        <item h="1" x="12900"/>
        <item h="1" x="12901"/>
        <item h="1" x="12902"/>
        <item h="1" x="12903"/>
        <item h="1" x="12904"/>
        <item h="1" x="12905"/>
        <item h="1" x="12906"/>
        <item h="1" x="12907"/>
        <item h="1" x="12908"/>
        <item h="1" x="12909"/>
        <item h="1" x="12910"/>
        <item h="1" x="12911"/>
        <item h="1" x="12912"/>
        <item h="1" x="12913"/>
        <item h="1" x="12914"/>
        <item h="1" x="12915"/>
        <item h="1" x="12916"/>
        <item h="1" x="12917"/>
        <item h="1" x="12918"/>
        <item h="1" x="12919"/>
        <item h="1" x="12920"/>
        <item h="1" x="12921"/>
        <item h="1" x="12922"/>
        <item h="1" x="12923"/>
        <item h="1" x="12924"/>
        <item h="1" x="12925"/>
        <item h="1" x="12926"/>
        <item h="1" x="12927"/>
        <item h="1" x="12928"/>
        <item h="1" x="12929"/>
        <item h="1" x="12930"/>
        <item h="1" x="12931"/>
        <item h="1" x="12932"/>
        <item h="1" x="12933"/>
        <item h="1" x="12934"/>
        <item h="1" x="12935"/>
        <item h="1" x="12936"/>
        <item h="1" x="12937"/>
        <item h="1" x="12938"/>
        <item h="1" x="12939"/>
        <item h="1" x="12940"/>
        <item h="1" x="12941"/>
        <item h="1" x="12942"/>
        <item h="1" x="12943"/>
        <item h="1" x="12944"/>
        <item h="1" x="12945"/>
        <item h="1" x="12946"/>
        <item h="1" x="12947"/>
        <item h="1" x="12948"/>
        <item h="1" x="12949"/>
        <item h="1" x="12950"/>
        <item h="1" x="12951"/>
        <item h="1" x="12952"/>
        <item h="1" x="12953"/>
        <item h="1" x="12954"/>
        <item h="1" x="12955"/>
        <item h="1" x="12956"/>
        <item h="1" x="12957"/>
        <item h="1" x="12958"/>
        <item h="1" x="12959"/>
        <item h="1" x="12960"/>
        <item h="1" x="12961"/>
        <item h="1" x="12962"/>
        <item h="1" x="12963"/>
        <item h="1" x="12964"/>
        <item h="1" x="12965"/>
        <item h="1" x="12966"/>
        <item h="1" x="12967"/>
        <item h="1" x="12968"/>
        <item h="1" x="12969"/>
        <item h="1" x="12970"/>
        <item h="1" x="12971"/>
        <item h="1" x="12972"/>
        <item h="1" x="12973"/>
        <item h="1" x="12974"/>
        <item h="1" x="12975"/>
        <item h="1" x="12976"/>
        <item h="1" x="12977"/>
        <item h="1" x="12978"/>
        <item h="1" x="12979"/>
        <item h="1" x="12980"/>
        <item h="1" x="12981"/>
        <item h="1" x="12982"/>
        <item h="1" x="12983"/>
        <item h="1" x="12984"/>
        <item h="1" x="12985"/>
        <item h="1" x="12986"/>
        <item h="1" x="12987"/>
        <item h="1" x="12988"/>
        <item h="1" x="12989"/>
        <item h="1" x="12990"/>
        <item h="1" x="12991"/>
        <item h="1" x="12992"/>
        <item h="1" x="12993"/>
        <item h="1" x="12994"/>
        <item h="1" x="12995"/>
        <item h="1" x="12996"/>
        <item h="1" x="12997"/>
        <item h="1" x="12998"/>
        <item h="1" x="12999"/>
        <item h="1" x="13000"/>
        <item h="1" x="13001"/>
        <item h="1" x="13002"/>
        <item h="1" x="13003"/>
        <item h="1" x="13004"/>
        <item h="1" x="13005"/>
        <item h="1" x="13006"/>
        <item h="1" x="13007"/>
        <item h="1" x="13008"/>
        <item h="1" x="13009"/>
        <item h="1" x="13010"/>
        <item h="1" x="13011"/>
        <item h="1" x="13012"/>
        <item h="1" x="13013"/>
        <item h="1" x="13014"/>
        <item h="1" x="13015"/>
        <item h="1" x="13016"/>
        <item h="1" x="13017"/>
        <item h="1" x="13018"/>
        <item h="1" x="13019"/>
        <item h="1" x="13020"/>
        <item h="1" x="13021"/>
        <item h="1" x="13022"/>
        <item h="1" x="13023"/>
        <item h="1" x="13024"/>
        <item h="1" x="13025"/>
        <item h="1" x="13026"/>
        <item h="1" x="13027"/>
        <item h="1" x="13028"/>
        <item h="1" x="13029"/>
        <item h="1" x="13030"/>
        <item h="1" x="13031"/>
        <item h="1" x="13032"/>
        <item h="1" x="13033"/>
        <item h="1" x="13034"/>
        <item h="1" x="13035"/>
        <item h="1" x="13036"/>
        <item h="1" x="13037"/>
        <item h="1" x="13038"/>
        <item h="1" x="13039"/>
        <item h="1" x="13040"/>
        <item h="1" x="13041"/>
        <item h="1" x="13042"/>
        <item h="1" x="13043"/>
        <item h="1" x="13044"/>
        <item h="1" x="13045"/>
        <item h="1" x="13046"/>
        <item h="1" x="13047"/>
        <item h="1" x="13048"/>
        <item h="1" x="13049"/>
        <item h="1" x="13050"/>
        <item h="1" x="13051"/>
        <item h="1" x="13052"/>
        <item h="1" x="13053"/>
        <item h="1" x="13054"/>
        <item h="1" x="13055"/>
        <item h="1" x="13056"/>
        <item h="1" x="13057"/>
        <item h="1" x="13058"/>
        <item h="1" x="13059"/>
        <item h="1" x="13060"/>
        <item h="1" x="13061"/>
        <item h="1" x="13062"/>
        <item h="1" x="13063"/>
        <item h="1" x="13064"/>
        <item h="1" x="13065"/>
        <item h="1" x="13066"/>
        <item h="1" x="13067"/>
        <item h="1" x="13068"/>
        <item h="1" x="13069"/>
        <item h="1" x="13070"/>
        <item h="1" x="13071"/>
        <item h="1" x="13072"/>
        <item h="1" x="13073"/>
        <item h="1" x="13074"/>
        <item h="1" x="13075"/>
        <item h="1" x="13076"/>
        <item h="1" x="13077"/>
        <item h="1" x="13078"/>
        <item h="1" x="13079"/>
        <item h="1" x="13080"/>
        <item h="1" x="13081"/>
        <item h="1" x="13082"/>
        <item h="1" x="13083"/>
        <item h="1" x="13084"/>
        <item h="1" x="13085"/>
        <item h="1" x="13086"/>
        <item h="1" x="13087"/>
        <item h="1" x="13088"/>
        <item h="1" x="13089"/>
        <item h="1" x="13090"/>
        <item h="1" x="13091"/>
        <item h="1" x="13092"/>
        <item h="1" x="13093"/>
        <item h="1" x="13094"/>
        <item h="1" x="13095"/>
        <item h="1" x="13096"/>
        <item h="1" x="13097"/>
        <item h="1" x="13098"/>
        <item h="1" x="13099"/>
        <item h="1" x="13100"/>
        <item h="1" x="13101"/>
        <item h="1" x="13102"/>
        <item h="1" x="13103"/>
        <item h="1" x="13104"/>
        <item h="1" x="13105"/>
        <item h="1" x="13106"/>
        <item h="1" x="13107"/>
        <item h="1" x="13108"/>
        <item h="1" x="13109"/>
        <item h="1" x="13110"/>
        <item h="1" x="13111"/>
        <item h="1" x="13112"/>
        <item h="1" x="13113"/>
        <item h="1" x="13114"/>
        <item h="1" x="13115"/>
        <item h="1" x="13116"/>
        <item h="1" x="13117"/>
        <item h="1" x="13118"/>
        <item h="1" x="13119"/>
        <item h="1" x="13120"/>
        <item h="1" x="13121"/>
        <item h="1" x="13122"/>
        <item h="1" x="13123"/>
        <item h="1" x="13124"/>
        <item h="1" x="13125"/>
        <item h="1" x="13126"/>
        <item h="1" x="13127"/>
        <item h="1" x="13128"/>
        <item h="1" x="13129"/>
        <item h="1" x="13130"/>
        <item h="1" x="13131"/>
        <item h="1" x="13132"/>
        <item h="1" x="13133"/>
        <item h="1" x="13134"/>
        <item h="1" x="13135"/>
        <item h="1" x="13136"/>
        <item h="1" x="13137"/>
        <item h="1" x="13138"/>
        <item h="1" x="13139"/>
        <item h="1" x="13140"/>
        <item h="1" x="13141"/>
        <item h="1" x="13142"/>
        <item h="1" x="13143"/>
        <item h="1" x="13144"/>
        <item h="1" x="13145"/>
        <item h="1" x="13146"/>
        <item h="1" x="13147"/>
        <item h="1" x="13148"/>
        <item h="1" x="13149"/>
        <item h="1" x="13150"/>
        <item h="1" x="13151"/>
        <item h="1" x="13152"/>
        <item h="1" x="13153"/>
        <item h="1" x="13154"/>
        <item h="1" x="13155"/>
        <item h="1" x="13156"/>
        <item h="1" x="13157"/>
        <item h="1" x="13158"/>
        <item h="1" x="13159"/>
        <item h="1" x="13160"/>
        <item h="1" x="13161"/>
        <item h="1" x="13162"/>
        <item h="1" x="13163"/>
        <item h="1" x="13164"/>
        <item h="1" x="13165"/>
        <item h="1" x="13166"/>
        <item h="1" x="13167"/>
        <item h="1" x="13168"/>
        <item h="1" x="13169"/>
        <item h="1" x="13170"/>
        <item h="1" x="13171"/>
        <item h="1" x="13172"/>
        <item h="1" x="13173"/>
        <item h="1" x="13174"/>
        <item h="1" x="13175"/>
        <item h="1" x="13176"/>
        <item h="1" x="13177"/>
        <item h="1" x="13178"/>
        <item h="1" x="13179"/>
        <item h="1" x="13180"/>
        <item h="1" x="13181"/>
        <item h="1" x="13182"/>
        <item h="1" x="13183"/>
        <item h="1" x="13184"/>
        <item h="1" x="13185"/>
        <item h="1" x="13186"/>
        <item h="1" x="13187"/>
        <item h="1" x="13188"/>
        <item h="1" x="13189"/>
        <item h="1" x="13190"/>
        <item h="1" x="13191"/>
        <item h="1" x="13192"/>
        <item h="1" x="13193"/>
        <item h="1" x="13194"/>
        <item h="1" x="13195"/>
        <item h="1" x="13196"/>
        <item h="1" x="13197"/>
        <item h="1" x="13198"/>
        <item h="1" x="13199"/>
        <item h="1" x="13200"/>
        <item h="1" x="13201"/>
        <item h="1" x="13202"/>
        <item h="1" x="13203"/>
        <item h="1" x="13204"/>
        <item h="1" x="13205"/>
        <item h="1" x="13206"/>
        <item h="1" x="13207"/>
        <item h="1" x="13208"/>
        <item h="1" x="13209"/>
        <item h="1" x="13210"/>
        <item h="1" x="13211"/>
        <item h="1" x="13212"/>
        <item h="1" x="13213"/>
        <item h="1" x="13214"/>
        <item h="1" x="13215"/>
        <item h="1" x="13216"/>
        <item h="1" x="13217"/>
        <item h="1" x="13218"/>
        <item h="1" x="13219"/>
        <item h="1" x="13220"/>
        <item h="1" x="13221"/>
        <item h="1" x="13222"/>
        <item h="1" x="13223"/>
        <item h="1" x="13224"/>
        <item h="1" x="13225"/>
        <item h="1" x="13226"/>
        <item h="1" x="13227"/>
        <item h="1" x="13228"/>
        <item h="1" x="13229"/>
        <item h="1" x="13230"/>
        <item h="1" x="13231"/>
        <item h="1" x="13232"/>
        <item h="1" x="13233"/>
        <item h="1" x="13234"/>
        <item h="1" x="13235"/>
        <item h="1" x="13236"/>
        <item h="1" x="13237"/>
        <item h="1" x="13238"/>
        <item h="1" x="13239"/>
        <item h="1" x="13240"/>
        <item h="1" x="13241"/>
        <item h="1" x="13242"/>
        <item h="1" x="13243"/>
        <item h="1" x="13244"/>
        <item h="1" x="13245"/>
        <item h="1" x="13246"/>
        <item h="1" x="13247"/>
        <item h="1" x="13248"/>
        <item h="1" x="13249"/>
        <item h="1" x="13250"/>
        <item h="1" x="13251"/>
        <item h="1" x="13252"/>
        <item h="1" x="13253"/>
        <item h="1" x="13254"/>
        <item h="1" x="13255"/>
        <item h="1" x="13256"/>
        <item h="1" x="13257"/>
        <item h="1" x="13258"/>
        <item h="1" x="13259"/>
        <item h="1" x="13260"/>
        <item h="1" x="13261"/>
        <item h="1" x="13262"/>
        <item h="1" x="13263"/>
        <item h="1" x="13264"/>
        <item h="1" x="13265"/>
        <item h="1" x="13266"/>
        <item h="1" x="13267"/>
        <item h="1" x="13268"/>
        <item h="1" x="13269"/>
        <item h="1" x="13270"/>
        <item h="1" x="13271"/>
        <item h="1" x="13272"/>
        <item h="1" x="13273"/>
        <item h="1" x="13274"/>
        <item h="1" x="13275"/>
        <item h="1" x="13276"/>
        <item h="1" x="13277"/>
        <item h="1" x="13278"/>
        <item h="1" x="13279"/>
        <item h="1" x="13280"/>
        <item h="1" x="13281"/>
        <item h="1" x="13282"/>
        <item h="1" x="13283"/>
        <item h="1" x="13284"/>
        <item h="1" x="13285"/>
        <item h="1" x="13286"/>
        <item h="1" x="13287"/>
        <item h="1" x="13288"/>
        <item h="1" x="13289"/>
        <item h="1" x="13290"/>
        <item h="1" x="13291"/>
        <item h="1" x="13292"/>
        <item h="1" x="13293"/>
        <item h="1" x="13294"/>
        <item h="1" x="13295"/>
        <item h="1" x="13296"/>
        <item h="1" x="13297"/>
        <item h="1" x="13298"/>
        <item h="1" x="13299"/>
        <item h="1" x="13300"/>
        <item h="1" x="13301"/>
        <item h="1" x="13302"/>
        <item h="1" x="13303"/>
        <item h="1" x="13304"/>
        <item h="1" x="13305"/>
        <item h="1" x="13306"/>
        <item h="1" x="13307"/>
        <item h="1" x="13308"/>
        <item h="1" x="13309"/>
        <item h="1" x="13310"/>
        <item h="1" x="13311"/>
        <item h="1" x="13312"/>
        <item h="1" x="13313"/>
        <item h="1" x="13314"/>
        <item h="1" x="13315"/>
        <item h="1" x="13316"/>
        <item h="1" x="13317"/>
        <item h="1" x="13318"/>
        <item h="1" x="13319"/>
        <item h="1" x="13320"/>
        <item h="1" x="13321"/>
        <item h="1" x="13322"/>
        <item h="1" x="13323"/>
        <item h="1" x="13324"/>
        <item h="1" x="13325"/>
        <item h="1" x="13326"/>
        <item h="1" x="13327"/>
        <item h="1" x="13328"/>
        <item h="1" x="13329"/>
        <item h="1" x="13330"/>
        <item h="1" x="13331"/>
        <item h="1" x="13332"/>
        <item h="1" x="13333"/>
        <item h="1" x="13334"/>
        <item h="1" x="13335"/>
        <item h="1" x="13336"/>
        <item h="1" x="13337"/>
        <item h="1" x="13338"/>
        <item h="1" x="13339"/>
        <item h="1" x="13340"/>
        <item h="1" x="13341"/>
        <item h="1" x="13342"/>
        <item h="1" x="13343"/>
        <item h="1" x="13344"/>
        <item h="1" x="13345"/>
        <item h="1" x="13346"/>
        <item h="1" x="13347"/>
        <item h="1" x="13348"/>
        <item h="1" x="13349"/>
        <item h="1" x="13350"/>
        <item h="1" x="13351"/>
        <item h="1" x="13352"/>
        <item h="1" x="13353"/>
        <item h="1" x="13354"/>
        <item h="1" x="13355"/>
        <item h="1" x="13356"/>
        <item h="1" x="13357"/>
        <item h="1" x="13358"/>
        <item h="1" x="13359"/>
        <item h="1" x="13360"/>
        <item h="1" x="13361"/>
        <item h="1" x="13362"/>
        <item h="1" x="13363"/>
        <item h="1" x="13364"/>
        <item h="1" x="13365"/>
        <item h="1" x="13366"/>
        <item h="1" x="13367"/>
        <item h="1" x="13368"/>
        <item h="1" x="13369"/>
        <item h="1" x="13370"/>
        <item h="1" x="13371"/>
        <item h="1" x="13372"/>
        <item h="1" x="13373"/>
        <item h="1" x="13374"/>
        <item h="1" x="13375"/>
        <item h="1" x="13376"/>
        <item h="1" x="13377"/>
        <item h="1" x="13378"/>
        <item h="1" x="13379"/>
        <item h="1" x="13380"/>
        <item h="1" x="13381"/>
        <item h="1" x="13382"/>
        <item h="1" x="13383"/>
        <item h="1" x="13384"/>
        <item h="1" x="13385"/>
        <item h="1" x="13386"/>
        <item h="1" x="13387"/>
        <item h="1" x="13388"/>
        <item h="1" x="13389"/>
        <item h="1" x="13390"/>
        <item h="1" x="13391"/>
        <item h="1" x="13392"/>
        <item h="1" x="13393"/>
        <item h="1" x="13394"/>
        <item h="1" x="13395"/>
        <item h="1" x="13396"/>
        <item h="1" x="13397"/>
        <item h="1" x="13398"/>
        <item h="1" x="13399"/>
        <item h="1" x="13400"/>
        <item h="1" x="13401"/>
        <item h="1" x="13402"/>
        <item h="1" x="13403"/>
        <item h="1" x="13404"/>
        <item h="1" x="13405"/>
        <item h="1" x="13406"/>
        <item h="1" x="13407"/>
        <item h="1" x="13408"/>
        <item h="1" x="13409"/>
        <item h="1" x="13410"/>
        <item h="1" x="13411"/>
        <item h="1" x="13412"/>
        <item h="1" x="13413"/>
        <item h="1" x="13414"/>
        <item h="1" x="13415"/>
        <item h="1" x="13416"/>
        <item h="1" x="13417"/>
        <item h="1" x="13418"/>
        <item h="1" x="13419"/>
        <item h="1" x="13420"/>
        <item h="1" x="13421"/>
        <item h="1" x="13422"/>
        <item h="1" x="13423"/>
        <item h="1" x="13424"/>
        <item h="1" x="13425"/>
        <item h="1" x="13426"/>
        <item h="1" x="13427"/>
        <item h="1" x="13428"/>
        <item h="1" x="13429"/>
        <item h="1" x="13430"/>
        <item h="1" x="13431"/>
        <item h="1" x="13432"/>
        <item h="1" x="13433"/>
        <item h="1" x="13434"/>
        <item h="1" x="13435"/>
        <item h="1" x="13436"/>
        <item h="1" x="13437"/>
        <item h="1" x="13438"/>
        <item h="1" x="13439"/>
        <item h="1" x="13440"/>
        <item h="1" x="13441"/>
        <item h="1" x="13442"/>
        <item h="1" x="13443"/>
        <item h="1" x="13444"/>
        <item h="1" x="13445"/>
        <item h="1" x="13446"/>
        <item h="1" x="13447"/>
        <item h="1" x="13448"/>
        <item h="1" x="13449"/>
        <item h="1" x="13450"/>
        <item h="1" x="13451"/>
        <item h="1" x="13452"/>
        <item h="1" x="13453"/>
        <item h="1" x="13454"/>
        <item h="1" x="13455"/>
        <item h="1" x="13456"/>
        <item h="1" x="13457"/>
        <item h="1" x="13458"/>
        <item h="1" x="13459"/>
        <item h="1" x="13460"/>
        <item h="1" x="13461"/>
        <item h="1" x="13462"/>
        <item h="1" x="13463"/>
        <item h="1" x="13464"/>
        <item h="1" x="13465"/>
        <item h="1" x="13466"/>
        <item h="1" x="13467"/>
        <item h="1" x="13468"/>
        <item h="1" x="13469"/>
        <item h="1" x="13470"/>
        <item h="1" x="13471"/>
        <item h="1" x="13472"/>
        <item h="1" x="13473"/>
        <item h="1" x="13474"/>
        <item h="1" x="13475"/>
        <item h="1" x="13476"/>
        <item h="1" x="13477"/>
        <item h="1" x="13478"/>
        <item h="1" x="13479"/>
        <item h="1" x="13480"/>
        <item h="1" x="13481"/>
        <item h="1" x="13482"/>
        <item h="1" x="13483"/>
        <item h="1" x="13484"/>
        <item h="1" x="13485"/>
        <item h="1" x="13486"/>
        <item h="1" x="13487"/>
        <item h="1" x="13488"/>
        <item h="1" x="13489"/>
        <item h="1" x="13490"/>
        <item h="1" x="13491"/>
        <item h="1" x="13492"/>
        <item h="1" x="13493"/>
        <item h="1" x="13494"/>
        <item h="1" x="13495"/>
        <item h="1" x="13496"/>
        <item h="1" x="13497"/>
        <item h="1" x="13498"/>
        <item h="1" x="13499"/>
        <item h="1" x="13500"/>
        <item h="1" x="13501"/>
        <item h="1" x="13502"/>
        <item h="1" x="13503"/>
        <item h="1" x="13504"/>
        <item h="1" x="13505"/>
        <item h="1" x="13506"/>
        <item h="1" x="13507"/>
        <item h="1" x="13508"/>
        <item h="1" x="13509"/>
        <item h="1" x="13510"/>
        <item h="1" x="13511"/>
        <item h="1" x="13512"/>
        <item h="1" x="13513"/>
        <item h="1" x="13514"/>
        <item h="1" x="13515"/>
        <item h="1" x="13516"/>
        <item h="1" x="13517"/>
        <item h="1" x="13518"/>
        <item h="1" x="13519"/>
        <item h="1" x="13520"/>
        <item h="1" x="13521"/>
        <item h="1" x="13522"/>
        <item h="1" x="13523"/>
        <item h="1" x="13524"/>
        <item h="1" x="13525"/>
        <item h="1" x="13526"/>
        <item h="1" x="13527"/>
        <item h="1" x="13528"/>
        <item h="1" x="13529"/>
        <item h="1" x="13530"/>
        <item h="1" x="13531"/>
        <item h="1" x="13532"/>
        <item h="1" x="13533"/>
        <item h="1" x="13534"/>
        <item h="1" x="13535"/>
        <item h="1" x="13536"/>
        <item h="1" x="13537"/>
        <item h="1" x="13538"/>
        <item h="1" x="13539"/>
        <item h="1" x="13540"/>
        <item h="1" x="13541"/>
        <item h="1" x="13542"/>
        <item h="1" x="13543"/>
        <item h="1" x="13544"/>
        <item h="1" x="13545"/>
        <item h="1" x="13546"/>
        <item h="1" x="13547"/>
        <item h="1" x="13548"/>
        <item h="1" x="13549"/>
        <item h="1" x="13550"/>
        <item h="1" x="13551"/>
        <item h="1" x="13552"/>
        <item h="1" x="13553"/>
        <item h="1" x="13554"/>
        <item h="1" x="13555"/>
        <item h="1" x="13556"/>
        <item h="1" x="13557"/>
        <item h="1" x="13558"/>
        <item h="1" x="13559"/>
        <item h="1" x="13560"/>
        <item h="1" x="13561"/>
        <item h="1" x="13562"/>
        <item h="1" x="13563"/>
        <item h="1" x="13564"/>
        <item h="1" x="13565"/>
        <item h="1" x="13566"/>
        <item h="1" x="13567"/>
        <item h="1" x="13568"/>
        <item h="1" x="13569"/>
        <item h="1" x="13570"/>
        <item h="1" x="13571"/>
        <item h="1" x="13572"/>
        <item h="1" x="13573"/>
        <item h="1" x="13574"/>
        <item h="1" x="13575"/>
        <item h="1" x="13576"/>
        <item h="1" x="13577"/>
        <item h="1" x="13578"/>
        <item h="1" x="13579"/>
        <item h="1" x="13580"/>
        <item h="1" x="13581"/>
        <item h="1" x="13582"/>
        <item h="1" x="13583"/>
        <item h="1" x="13584"/>
        <item h="1" x="13585"/>
        <item h="1" x="13586"/>
        <item h="1" x="13587"/>
        <item h="1" x="13588"/>
        <item h="1" x="13589"/>
        <item h="1" x="13590"/>
        <item h="1" x="13591"/>
        <item h="1" x="13592"/>
        <item h="1" x="13593"/>
        <item h="1" x="13594"/>
        <item h="1" x="13595"/>
        <item h="1" x="13596"/>
        <item h="1" x="13597"/>
        <item h="1" x="13598"/>
        <item h="1" x="13599"/>
        <item h="1" x="13600"/>
        <item h="1" x="13601"/>
        <item h="1" x="13602"/>
        <item h="1" x="13603"/>
        <item h="1" x="13604"/>
        <item h="1" x="13605"/>
        <item h="1" x="13606"/>
        <item h="1" x="13607"/>
        <item h="1" x="13608"/>
        <item h="1" x="13609"/>
        <item h="1" x="13610"/>
        <item h="1" x="13611"/>
        <item h="1" x="13612"/>
        <item h="1" x="13613"/>
        <item h="1" x="13614"/>
        <item h="1" x="13615"/>
        <item h="1" x="13616"/>
        <item h="1" x="13617"/>
        <item h="1" x="13618"/>
        <item h="1" x="13619"/>
        <item h="1" x="13620"/>
        <item h="1" x="13621"/>
        <item h="1" x="13622"/>
        <item h="1" x="13623"/>
        <item h="1" x="13624"/>
        <item h="1" x="13625"/>
        <item h="1" x="13626"/>
        <item h="1" x="13627"/>
        <item h="1" x="13628"/>
        <item h="1" x="13629"/>
        <item h="1" x="13630"/>
        <item h="1" x="13631"/>
        <item h="1" x="13632"/>
        <item h="1" x="13633"/>
        <item h="1" x="13634"/>
        <item h="1" x="13635"/>
        <item h="1" x="13636"/>
        <item h="1" x="13637"/>
        <item h="1" x="13638"/>
        <item h="1" x="13639"/>
        <item h="1" x="13640"/>
        <item h="1" x="13641"/>
        <item h="1" x="13642"/>
        <item h="1" x="13643"/>
        <item h="1" x="13644"/>
        <item h="1" x="13645"/>
        <item h="1" x="13646"/>
        <item h="1" x="13647"/>
        <item h="1" x="13648"/>
        <item h="1" x="13649"/>
        <item h="1" x="13650"/>
        <item h="1" x="13651"/>
        <item h="1" x="13652"/>
        <item h="1" x="13653"/>
        <item h="1" x="13654"/>
        <item h="1" x="13655"/>
        <item h="1" x="13656"/>
        <item h="1" x="13657"/>
        <item h="1" x="13658"/>
        <item h="1" x="13659"/>
        <item h="1" x="13660"/>
        <item h="1" x="13661"/>
        <item h="1" x="13662"/>
        <item h="1" x="13663"/>
        <item h="1" x="13664"/>
        <item h="1" x="13665"/>
        <item h="1" x="13666"/>
        <item h="1" x="13667"/>
        <item h="1" x="13668"/>
        <item h="1" x="13669"/>
        <item h="1" x="13670"/>
        <item h="1" x="13671"/>
        <item h="1" x="13672"/>
        <item h="1" x="13673"/>
        <item h="1" x="13674"/>
        <item h="1" x="13675"/>
        <item h="1" x="13676"/>
        <item h="1" x="13677"/>
        <item h="1" x="13678"/>
        <item h="1" x="13679"/>
        <item h="1" x="13680"/>
        <item h="1" x="13681"/>
        <item h="1" x="13682"/>
        <item h="1" x="13683"/>
        <item h="1" x="13684"/>
        <item h="1" x="13685"/>
        <item h="1" x="13686"/>
        <item h="1" x="13687"/>
        <item h="1" x="13688"/>
        <item h="1" x="13689"/>
        <item h="1" x="13690"/>
        <item h="1" x="13691"/>
        <item h="1" x="13692"/>
        <item h="1" x="13693"/>
        <item h="1" x="13694"/>
        <item h="1" x="13695"/>
        <item h="1" x="13696"/>
        <item h="1" x="13697"/>
        <item h="1" x="13698"/>
        <item h="1" x="13699"/>
        <item h="1" x="13700"/>
        <item h="1" x="13701"/>
        <item h="1" x="13702"/>
        <item h="1" x="13703"/>
        <item h="1" x="13704"/>
        <item h="1" x="13705"/>
        <item h="1" x="13706"/>
        <item h="1" x="13707"/>
        <item h="1" x="13708"/>
        <item h="1" x="13709"/>
        <item h="1" x="13710"/>
        <item h="1" x="13711"/>
        <item h="1" x="13712"/>
        <item h="1" x="13713"/>
        <item h="1" x="13714"/>
        <item h="1" x="13715"/>
        <item h="1" x="13716"/>
        <item h="1" x="13717"/>
        <item h="1" x="13718"/>
        <item h="1" x="13719"/>
        <item h="1" x="13720"/>
        <item h="1" x="13721"/>
        <item h="1" x="13722"/>
        <item h="1" x="13723"/>
        <item h="1" x="13724"/>
        <item h="1" x="13725"/>
        <item h="1" x="13726"/>
        <item h="1" x="13727"/>
        <item h="1" x="13728"/>
        <item h="1" x="13729"/>
        <item h="1" x="13730"/>
        <item h="1" x="13731"/>
        <item h="1" x="13732"/>
        <item h="1" x="13733"/>
        <item h="1" x="13734"/>
        <item h="1" x="13735"/>
        <item h="1" x="13736"/>
        <item h="1" x="13737"/>
        <item h="1" x="13738"/>
        <item h="1" x="13739"/>
        <item h="1" x="13740"/>
        <item h="1" x="13741"/>
        <item h="1" x="13742"/>
        <item h="1" x="13743"/>
        <item h="1" x="13744"/>
        <item h="1" x="13745"/>
        <item h="1" x="13746"/>
        <item h="1" x="13747"/>
        <item h="1" x="13748"/>
        <item h="1" x="13749"/>
        <item h="1" x="13750"/>
        <item h="1" x="13751"/>
        <item h="1" x="13752"/>
        <item h="1" x="13753"/>
        <item h="1" x="13754"/>
        <item h="1" x="13755"/>
        <item h="1" x="13756"/>
        <item h="1" x="13757"/>
        <item h="1" x="13758"/>
        <item h="1" x="13759"/>
        <item h="1" x="13760"/>
        <item h="1" x="13761"/>
        <item h="1" x="13762"/>
        <item h="1" x="13763"/>
        <item h="1" x="13764"/>
        <item h="1" x="13765"/>
        <item h="1" x="13766"/>
        <item h="1" x="13767"/>
        <item h="1" x="13768"/>
        <item h="1" x="13769"/>
        <item h="1" x="13770"/>
        <item h="1" x="13771"/>
        <item h="1" x="13772"/>
        <item h="1" x="13773"/>
        <item h="1" x="13774"/>
        <item h="1" x="13775"/>
        <item h="1" x="13776"/>
        <item h="1" x="13777"/>
        <item h="1" x="13778"/>
        <item h="1" x="13779"/>
        <item h="1" x="13780"/>
        <item h="1" x="13781"/>
        <item h="1" x="13782"/>
        <item h="1" x="13783"/>
        <item h="1" x="13784"/>
        <item h="1" x="13785"/>
        <item h="1" x="13786"/>
        <item h="1" x="13787"/>
        <item h="1" x="13788"/>
        <item h="1" x="13789"/>
        <item h="1" x="13790"/>
        <item h="1" x="13791"/>
        <item h="1" x="13792"/>
        <item h="1" x="13793"/>
        <item h="1" x="13794"/>
        <item h="1" x="13795"/>
        <item h="1" x="13796"/>
        <item h="1" x="13797"/>
        <item h="1" x="13798"/>
        <item h="1" x="13799"/>
        <item h="1" x="13800"/>
        <item h="1" x="13801"/>
        <item h="1" x="13802"/>
        <item h="1" x="13803"/>
        <item h="1" x="13804"/>
        <item h="1" x="13805"/>
        <item h="1" x="13806"/>
        <item h="1" x="13807"/>
        <item h="1" x="13808"/>
        <item h="1" x="13809"/>
        <item h="1" x="13810"/>
        <item h="1" x="13811"/>
        <item h="1" x="13812"/>
        <item h="1" x="13813"/>
        <item h="1" x="13814"/>
        <item h="1" x="13815"/>
        <item h="1" x="13816"/>
        <item h="1" x="13817"/>
        <item h="1" x="13818"/>
        <item h="1" x="13819"/>
        <item h="1" x="13820"/>
        <item h="1" x="13821"/>
        <item h="1" x="13822"/>
        <item h="1" x="13823"/>
        <item h="1" x="13824"/>
        <item h="1" x="13825"/>
        <item h="1" x="13826"/>
        <item h="1" x="13827"/>
        <item h="1" x="13828"/>
        <item h="1" x="13829"/>
        <item h="1" x="13830"/>
        <item h="1" x="13831"/>
        <item h="1" x="13832"/>
        <item h="1" x="13833"/>
        <item h="1" x="13834"/>
        <item h="1" x="13835"/>
        <item h="1" x="13836"/>
        <item h="1" x="13837"/>
        <item h="1" x="13838"/>
        <item h="1" x="13839"/>
        <item h="1" x="13840"/>
        <item h="1" x="13841"/>
        <item h="1" x="13842"/>
        <item h="1" x="13843"/>
        <item h="1" x="13844"/>
        <item h="1" x="13845"/>
        <item h="1" x="13846"/>
        <item h="1" x="13847"/>
        <item h="1" x="13848"/>
        <item h="1" x="13849"/>
        <item h="1" x="13850"/>
        <item h="1" x="13851"/>
        <item h="1" x="13852"/>
        <item h="1" x="13853"/>
        <item h="1" x="13854"/>
        <item h="1" x="13855"/>
        <item h="1" x="13856"/>
        <item h="1" x="13857"/>
        <item h="1" x="13858"/>
        <item h="1" x="13859"/>
        <item h="1" x="13860"/>
        <item h="1" x="13861"/>
        <item h="1" x="13862"/>
        <item h="1" x="13863"/>
        <item h="1" x="13864"/>
        <item h="1" x="13865"/>
        <item h="1" x="13866"/>
        <item h="1" x="13867"/>
        <item h="1" x="13868"/>
        <item h="1" x="13869"/>
        <item h="1" x="13870"/>
        <item h="1" x="13871"/>
        <item h="1" x="13872"/>
        <item h="1" x="13873"/>
        <item h="1" x="13874"/>
        <item h="1" x="13875"/>
        <item h="1" x="13876"/>
        <item h="1" x="13877"/>
        <item h="1" x="13878"/>
        <item h="1" x="13879"/>
        <item h="1" x="13880"/>
        <item h="1" x="13881"/>
        <item h="1" x="13882"/>
        <item h="1" x="13883"/>
        <item h="1" x="13884"/>
        <item h="1" x="13885"/>
        <item h="1" x="13886"/>
        <item h="1" x="13887"/>
        <item h="1" x="13888"/>
        <item h="1" x="13889"/>
        <item h="1" x="13890"/>
        <item h="1" x="13891"/>
        <item h="1" x="13892"/>
        <item h="1" x="13893"/>
        <item h="1" x="13894"/>
        <item h="1" x="13895"/>
        <item h="1" x="13896"/>
        <item h="1" x="13897"/>
        <item h="1" x="13898"/>
        <item h="1" x="13899"/>
        <item h="1" x="13900"/>
        <item h="1" x="13901"/>
        <item h="1" x="13902"/>
        <item h="1" x="13903"/>
        <item h="1" x="13904"/>
        <item h="1" x="13905"/>
        <item h="1" x="13906"/>
        <item h="1" x="13907"/>
        <item h="1" x="13908"/>
        <item h="1" x="13909"/>
        <item h="1" x="13910"/>
        <item h="1" x="13911"/>
        <item h="1" x="13912"/>
        <item h="1" x="13913"/>
        <item h="1" x="13914"/>
        <item h="1" x="13915"/>
        <item h="1" x="13916"/>
        <item h="1" x="13917"/>
        <item h="1" x="13918"/>
        <item h="1" x="13919"/>
        <item h="1" x="13920"/>
        <item h="1" x="13921"/>
        <item h="1" x="13922"/>
        <item h="1" x="13923"/>
        <item h="1" x="13924"/>
        <item h="1" x="13925"/>
        <item h="1" x="13926"/>
        <item h="1" x="13927"/>
        <item h="1" x="13928"/>
        <item h="1" x="13929"/>
        <item h="1" x="13930"/>
        <item h="1" x="13931"/>
        <item h="1" x="13932"/>
        <item h="1" x="13933"/>
        <item h="1" x="13934"/>
        <item h="1" x="13935"/>
        <item h="1" x="13936"/>
        <item h="1" x="13937"/>
        <item h="1" x="13938"/>
        <item h="1" x="13939"/>
        <item h="1" x="13940"/>
        <item h="1" x="13941"/>
        <item h="1" x="13942"/>
        <item h="1" x="13943"/>
        <item h="1" x="13944"/>
        <item h="1" x="13945"/>
        <item h="1" x="13946"/>
        <item h="1" x="13947"/>
        <item h="1" x="13948"/>
        <item h="1" x="13949"/>
        <item h="1" x="13950"/>
        <item h="1" x="13951"/>
        <item h="1" x="13952"/>
        <item h="1" x="13953"/>
        <item h="1" x="13954"/>
        <item h="1" x="13955"/>
        <item h="1" x="13956"/>
        <item h="1" x="13957"/>
        <item h="1" x="13958"/>
        <item h="1" x="13959"/>
        <item h="1" x="13960"/>
        <item h="1" x="13961"/>
        <item h="1" x="13962"/>
        <item h="1" x="13963"/>
        <item h="1" x="13964"/>
        <item h="1" x="13965"/>
        <item h="1" x="13966"/>
        <item h="1" x="13967"/>
        <item h="1" x="13968"/>
        <item h="1" x="13969"/>
        <item h="1" x="13970"/>
        <item h="1" x="13971"/>
        <item h="1" x="13972"/>
        <item h="1" x="13973"/>
        <item h="1" x="13974"/>
        <item h="1" x="13975"/>
        <item h="1" x="13976"/>
        <item h="1" x="13977"/>
        <item h="1" x="13978"/>
        <item h="1" x="13979"/>
        <item h="1" x="13980"/>
        <item h="1" x="13981"/>
        <item h="1" x="13982"/>
        <item h="1" x="13983"/>
        <item h="1" x="13984"/>
        <item h="1" x="13985"/>
        <item h="1" x="13986"/>
        <item h="1" x="13987"/>
        <item h="1" x="13988"/>
        <item h="1" x="13989"/>
        <item h="1" x="13990"/>
        <item h="1" x="13991"/>
        <item h="1" x="13992"/>
        <item h="1" x="13993"/>
        <item h="1" x="13994"/>
        <item h="1" x="13995"/>
        <item h="1" x="13996"/>
        <item h="1" x="13997"/>
        <item h="1" x="13998"/>
        <item h="1" x="13999"/>
        <item h="1" x="14000"/>
        <item h="1" x="14001"/>
        <item h="1" x="14002"/>
        <item h="1" x="14003"/>
        <item h="1" x="14004"/>
        <item h="1" x="14005"/>
        <item h="1" x="14006"/>
        <item h="1" x="14007"/>
        <item h="1" x="14008"/>
        <item h="1" x="14009"/>
        <item h="1" x="14010"/>
        <item h="1" x="14011"/>
        <item h="1" x="14012"/>
        <item h="1" x="14013"/>
        <item h="1" x="14014"/>
        <item h="1" x="14015"/>
        <item h="1" x="14016"/>
        <item h="1" x="14017"/>
        <item h="1" x="14018"/>
        <item h="1" x="14019"/>
        <item h="1" x="14020"/>
        <item h="1" x="14021"/>
        <item h="1" x="14022"/>
        <item h="1" x="14023"/>
        <item h="1" x="14024"/>
        <item h="1" x="14025"/>
        <item h="1" x="14026"/>
        <item h="1" x="14027"/>
        <item h="1" x="14028"/>
        <item h="1" x="14029"/>
        <item h="1" x="14030"/>
        <item h="1" x="14031"/>
        <item h="1" x="14032"/>
        <item h="1" x="14033"/>
        <item h="1" x="14034"/>
        <item h="1" x="14035"/>
        <item h="1" x="14036"/>
        <item h="1" x="14037"/>
        <item h="1" x="14038"/>
        <item h="1" x="14039"/>
        <item h="1" x="14040"/>
        <item h="1" x="14041"/>
        <item h="1" x="14042"/>
        <item h="1" x="14043"/>
        <item h="1" x="14044"/>
        <item h="1" x="14045"/>
        <item h="1" x="14046"/>
        <item h="1" x="14047"/>
        <item h="1" x="14048"/>
        <item h="1" x="14049"/>
        <item h="1" x="14050"/>
        <item h="1" x="14051"/>
        <item h="1" x="14052"/>
        <item h="1" x="14053"/>
        <item h="1" x="14054"/>
        <item h="1" x="14055"/>
        <item h="1" x="14056"/>
        <item h="1" x="14057"/>
        <item h="1" x="14058"/>
        <item h="1" x="14059"/>
        <item h="1" x="14060"/>
        <item h="1" x="14061"/>
        <item h="1" x="14062"/>
        <item h="1" x="14063"/>
        <item h="1" x="14064"/>
        <item h="1" x="14065"/>
        <item h="1" x="14066"/>
        <item h="1" x="14067"/>
        <item h="1" x="14068"/>
        <item h="1" x="14069"/>
        <item h="1" x="14070"/>
        <item h="1" x="14071"/>
        <item h="1" x="14072"/>
        <item h="1" x="14073"/>
        <item h="1" x="14074"/>
        <item h="1" x="14075"/>
        <item h="1" x="14076"/>
        <item h="1" x="14077"/>
        <item h="1" x="14078"/>
        <item h="1" x="14079"/>
        <item h="1" x="14080"/>
        <item h="1" x="14081"/>
        <item h="1" x="14082"/>
        <item h="1" x="14083"/>
        <item h="1" x="14084"/>
        <item h="1" x="14085"/>
        <item h="1" x="14086"/>
        <item h="1" x="14087"/>
        <item h="1" x="14088"/>
        <item h="1" x="14089"/>
        <item h="1" x="14090"/>
        <item h="1" x="14091"/>
        <item h="1" x="14092"/>
        <item h="1" x="14093"/>
        <item h="1" x="14094"/>
        <item h="1" x="14095"/>
        <item h="1" x="14096"/>
        <item h="1" x="14097"/>
        <item h="1" x="14098"/>
        <item h="1" x="14099"/>
        <item h="1" x="14100"/>
        <item h="1" x="14101"/>
        <item h="1" x="14102"/>
        <item h="1" x="14103"/>
        <item h="1" x="14104"/>
        <item h="1" x="14105"/>
        <item h="1" x="14106"/>
        <item h="1" x="14107"/>
        <item h="1" x="14108"/>
        <item h="1" x="14109"/>
        <item h="1" x="14110"/>
        <item h="1" x="14111"/>
        <item h="1" x="14112"/>
        <item h="1" x="14113"/>
        <item h="1" x="14114"/>
        <item h="1" x="14115"/>
        <item h="1" x="14116"/>
        <item h="1" x="14117"/>
        <item h="1" x="14118"/>
        <item h="1" x="14119"/>
        <item h="1" x="14120"/>
        <item h="1" x="14121"/>
        <item h="1" x="14122"/>
        <item h="1" x="14123"/>
        <item h="1" x="14124"/>
        <item h="1" x="14125"/>
        <item h="1" x="14126"/>
        <item h="1" x="14127"/>
        <item h="1" x="14128"/>
        <item h="1" x="14129"/>
        <item h="1" x="14130"/>
        <item h="1" x="14131"/>
        <item h="1" x="14132"/>
        <item h="1" x="14133"/>
        <item h="1" x="14134"/>
        <item h="1" x="14135"/>
        <item h="1" x="14136"/>
        <item h="1" x="14137"/>
        <item h="1" x="14138"/>
        <item h="1" x="14139"/>
        <item h="1" x="14140"/>
        <item h="1" x="14141"/>
        <item h="1" x="14142"/>
        <item h="1" x="14143"/>
        <item h="1" x="14144"/>
        <item h="1" x="14145"/>
        <item h="1" x="14146"/>
        <item h="1" x="14147"/>
        <item h="1" x="14148"/>
        <item h="1" x="14149"/>
        <item h="1" x="14150"/>
        <item h="1" x="14151"/>
        <item h="1" x="14152"/>
        <item h="1" x="14153"/>
        <item h="1" x="14154"/>
        <item h="1" x="14155"/>
        <item h="1" x="14156"/>
        <item h="1" x="14157"/>
        <item h="1" x="14158"/>
        <item h="1" x="14159"/>
        <item h="1" x="14160"/>
        <item h="1" x="14161"/>
        <item h="1" x="14162"/>
        <item h="1" x="14163"/>
        <item h="1" x="14164"/>
        <item h="1" x="14165"/>
        <item h="1" x="14166"/>
        <item h="1" x="14167"/>
        <item h="1" x="14168"/>
        <item h="1" x="14169"/>
        <item h="1" x="14170"/>
        <item h="1" x="14171"/>
        <item h="1" x="14172"/>
        <item h="1" x="14173"/>
        <item h="1" x="14174"/>
        <item h="1" x="14175"/>
        <item h="1" x="14176"/>
        <item h="1" x="14177"/>
        <item h="1" x="14178"/>
        <item h="1" x="14179"/>
        <item h="1" x="14180"/>
        <item h="1" x="14181"/>
        <item h="1" x="14182"/>
        <item h="1" x="14183"/>
        <item h="1" x="14184"/>
        <item h="1" x="14185"/>
        <item h="1" x="14186"/>
        <item h="1" x="14187"/>
        <item h="1" x="14188"/>
        <item h="1" x="14189"/>
        <item h="1" x="14190"/>
        <item h="1" x="14191"/>
        <item h="1" x="14192"/>
        <item h="1" x="14193"/>
        <item h="1" x="14194"/>
        <item h="1" x="14195"/>
        <item h="1" x="14196"/>
        <item h="1" x="14197"/>
        <item h="1" x="14198"/>
        <item h="1" x="14199"/>
        <item h="1" x="14200"/>
        <item h="1" x="14201"/>
        <item h="1" x="14202"/>
        <item h="1" x="14203"/>
        <item h="1" x="14204"/>
        <item h="1" x="14205"/>
        <item h="1" x="14206"/>
        <item h="1" x="14207"/>
        <item h="1" x="14208"/>
        <item h="1" x="14209"/>
        <item h="1" x="14210"/>
        <item h="1" x="14211"/>
        <item h="1" x="14212"/>
        <item h="1" x="14213"/>
        <item h="1" x="14214"/>
        <item h="1" x="14215"/>
        <item h="1" x="14216"/>
        <item h="1" x="14217"/>
        <item h="1" x="14218"/>
        <item h="1" x="14219"/>
        <item h="1" x="14220"/>
        <item h="1" x="14221"/>
        <item h="1" x="14222"/>
        <item h="1" x="14223"/>
        <item h="1" x="14224"/>
        <item h="1" x="14225"/>
        <item h="1" x="14226"/>
        <item h="1" x="14227"/>
        <item h="1" x="14228"/>
        <item h="1" x="14229"/>
        <item h="1" x="14230"/>
        <item h="1" x="14231"/>
        <item h="1" x="14232"/>
        <item h="1" x="14233"/>
        <item h="1" x="14234"/>
        <item h="1" x="14235"/>
        <item h="1" x="14236"/>
        <item h="1" x="14237"/>
        <item h="1" x="14238"/>
        <item h="1" x="14239"/>
        <item h="1" x="14240"/>
        <item h="1" x="14241"/>
        <item h="1" x="14242"/>
        <item h="1" x="14243"/>
        <item h="1" x="14244"/>
        <item h="1" x="14245"/>
        <item h="1" x="14246"/>
        <item h="1" x="14247"/>
        <item h="1" x="14248"/>
        <item h="1" x="14249"/>
        <item h="1" x="14250"/>
        <item h="1" x="14251"/>
        <item h="1" x="14252"/>
        <item h="1" x="14253"/>
        <item h="1" x="14254"/>
        <item h="1" x="14255"/>
        <item h="1" x="14256"/>
        <item h="1" x="14257"/>
        <item h="1" x="14258"/>
        <item h="1" x="14259"/>
        <item h="1" x="14260"/>
        <item h="1" x="14261"/>
        <item h="1" x="14262"/>
        <item h="1" x="14263"/>
        <item h="1" x="14264"/>
        <item h="1" x="14265"/>
        <item h="1" x="14266"/>
        <item h="1" x="14267"/>
        <item h="1" x="14268"/>
        <item h="1" x="14269"/>
        <item h="1" x="14270"/>
        <item h="1" x="14271"/>
        <item h="1" x="14272"/>
        <item h="1" x="14273"/>
        <item h="1" x="14274"/>
        <item h="1" x="14275"/>
        <item h="1" x="14276"/>
        <item h="1" x="14277"/>
        <item h="1" x="14278"/>
        <item h="1" x="14279"/>
        <item h="1" x="14280"/>
        <item h="1" x="14281"/>
        <item h="1" x="14282"/>
        <item h="1" x="14283"/>
        <item h="1" x="14284"/>
        <item h="1" x="14285"/>
        <item h="1" x="14286"/>
        <item h="1" x="14287"/>
        <item h="1" x="14288"/>
        <item h="1" x="14289"/>
        <item h="1" x="14290"/>
        <item h="1" x="14291"/>
        <item h="1" x="14292"/>
        <item h="1" x="14293"/>
        <item h="1" x="14294"/>
        <item h="1" x="14295"/>
        <item h="1" x="14296"/>
        <item h="1" x="14297"/>
        <item h="1" x="14298"/>
        <item h="1" x="14299"/>
        <item h="1" x="14300"/>
        <item h="1" x="14301"/>
        <item h="1" x="14302"/>
        <item h="1" x="14303"/>
        <item h="1" x="14304"/>
        <item h="1" x="14305"/>
        <item h="1" x="14306"/>
        <item h="1" x="14307"/>
        <item h="1" x="14308"/>
        <item h="1" x="14309"/>
        <item h="1" x="14310"/>
        <item h="1" x="14311"/>
        <item h="1" x="14312"/>
        <item h="1" x="14313"/>
        <item h="1" x="14314"/>
        <item h="1" x="14315"/>
        <item h="1" x="14316"/>
        <item h="1" x="14317"/>
        <item h="1" x="14318"/>
        <item h="1" x="14319"/>
        <item h="1" x="14320"/>
        <item h="1" x="14321"/>
        <item h="1" x="14322"/>
        <item h="1" x="14323"/>
        <item h="1" x="14324"/>
        <item h="1" x="14325"/>
        <item h="1" x="14326"/>
        <item h="1" x="14327"/>
        <item h="1" x="14328"/>
        <item h="1" x="14329"/>
        <item h="1" x="14330"/>
        <item h="1" x="14331"/>
        <item h="1" x="14332"/>
        <item h="1" x="14333"/>
        <item h="1" x="14334"/>
        <item h="1" x="14335"/>
        <item h="1" x="14336"/>
        <item h="1" x="14337"/>
        <item h="1" x="14338"/>
        <item h="1" x="14339"/>
        <item h="1" x="14340"/>
        <item h="1" x="14341"/>
        <item h="1" x="14342"/>
        <item h="1" x="14343"/>
        <item h="1" x="14344"/>
        <item h="1" x="14345"/>
        <item h="1" x="14346"/>
        <item h="1" x="14347"/>
        <item h="1" x="14348"/>
        <item h="1" x="14349"/>
        <item h="1" x="14350"/>
        <item h="1" x="14351"/>
        <item h="1" x="14352"/>
        <item h="1" x="14353"/>
        <item h="1" x="14354"/>
        <item h="1" x="14355"/>
        <item h="1" x="14356"/>
        <item h="1" x="14357"/>
        <item h="1" x="14358"/>
        <item h="1" x="14359"/>
        <item h="1" x="14360"/>
        <item h="1" x="14361"/>
        <item h="1" x="14362"/>
        <item h="1" x="14363"/>
        <item h="1" x="14364"/>
        <item h="1" x="14365"/>
        <item h="1" x="14366"/>
        <item h="1" x="14367"/>
        <item h="1" x="14368"/>
        <item h="1" x="14369"/>
        <item h="1" x="14370"/>
        <item h="1" x="14371"/>
        <item h="1" x="14372"/>
        <item h="1" x="14373"/>
        <item h="1" x="14374"/>
        <item h="1" x="14375"/>
        <item h="1" x="14376"/>
        <item h="1" x="14377"/>
        <item h="1" x="14378"/>
        <item h="1" x="14379"/>
        <item h="1" x="14380"/>
        <item h="1" x="14381"/>
        <item h="1" x="14382"/>
        <item h="1" x="14383"/>
        <item h="1" x="14384"/>
        <item h="1" x="14385"/>
        <item h="1" x="14386"/>
        <item h="1" x="14387"/>
        <item h="1" x="14388"/>
        <item h="1" x="14389"/>
        <item h="1" x="14390"/>
        <item h="1" x="14391"/>
        <item h="1" x="14392"/>
        <item h="1" x="14393"/>
        <item h="1" x="14394"/>
        <item h="1" x="14395"/>
        <item h="1" x="14396"/>
        <item h="1" x="14397"/>
        <item h="1" x="14398"/>
        <item h="1" x="14399"/>
        <item h="1" x="14400"/>
        <item h="1" x="14401"/>
        <item h="1" x="14402"/>
        <item h="1" x="14403"/>
        <item h="1" x="14404"/>
        <item h="1" x="14405"/>
        <item h="1" x="14406"/>
        <item h="1" x="14407"/>
        <item h="1" x="14408"/>
        <item h="1" x="14409"/>
        <item h="1" x="14410"/>
        <item h="1" x="14411"/>
        <item h="1" x="14412"/>
        <item h="1" x="14413"/>
        <item h="1" x="14414"/>
        <item h="1" x="14415"/>
        <item h="1" x="14416"/>
        <item h="1" x="14417"/>
        <item h="1" x="14418"/>
        <item h="1" x="14419"/>
        <item h="1" x="14420"/>
        <item h="1" x="14421"/>
        <item h="1" x="14422"/>
        <item h="1" x="14423"/>
        <item h="1" x="14424"/>
        <item h="1" x="14425"/>
        <item h="1" x="14426"/>
        <item h="1" x="14427"/>
        <item h="1" x="14428"/>
        <item h="1" x="14429"/>
        <item h="1" x="14430"/>
        <item h="1" x="14431"/>
        <item h="1" x="14432"/>
        <item h="1" x="14433"/>
        <item h="1" x="14434"/>
        <item h="1" x="14435"/>
        <item h="1" x="14436"/>
        <item h="1" x="14437"/>
        <item h="1" x="14438"/>
        <item h="1" x="14439"/>
        <item h="1" x="14440"/>
        <item h="1" x="14441"/>
        <item h="1" x="14442"/>
        <item h="1" x="14443"/>
        <item h="1" x="14444"/>
        <item h="1" x="14445"/>
        <item h="1" x="14446"/>
        <item h="1" x="14447"/>
        <item h="1" x="14448"/>
        <item h="1" x="14449"/>
        <item h="1" x="14450"/>
        <item h="1" x="14451"/>
        <item h="1" x="14452"/>
        <item h="1" x="14453"/>
        <item h="1" x="14454"/>
        <item h="1" x="14455"/>
        <item h="1" x="14456"/>
        <item h="1" x="14457"/>
        <item h="1" x="14458"/>
        <item h="1" x="14459"/>
        <item h="1" x="14460"/>
        <item h="1" x="14461"/>
        <item h="1" x="14462"/>
        <item h="1" x="14463"/>
        <item h="1" x="14464"/>
        <item h="1" x="14465"/>
        <item h="1" x="14466"/>
        <item h="1" x="14467"/>
        <item h="1" x="14468"/>
        <item h="1" x="14469"/>
        <item h="1" x="14470"/>
        <item h="1" x="14471"/>
        <item h="1" x="14472"/>
        <item h="1" x="14473"/>
        <item h="1" x="14474"/>
        <item h="1" x="14475"/>
        <item h="1" x="14476"/>
        <item h="1" x="14477"/>
        <item h="1" x="14478"/>
        <item h="1" x="14479"/>
        <item h="1" x="14480"/>
        <item h="1" x="14481"/>
        <item h="1" x="14482"/>
        <item h="1" x="14483"/>
        <item h="1" x="14484"/>
        <item h="1" x="14485"/>
        <item h="1" x="14486"/>
        <item h="1" x="14487"/>
        <item h="1" x="14488"/>
        <item h="1" x="14489"/>
        <item h="1" x="14490"/>
        <item h="1" x="14491"/>
        <item h="1" x="14492"/>
        <item h="1" x="14493"/>
        <item h="1" x="14494"/>
        <item h="1" x="14495"/>
        <item h="1" x="14496"/>
        <item h="1" x="14497"/>
        <item h="1" x="14498"/>
        <item h="1" x="14499"/>
        <item h="1" x="14500"/>
        <item h="1" x="14501"/>
        <item h="1" x="14502"/>
        <item h="1" x="14503"/>
        <item h="1" x="14504"/>
        <item h="1" x="14505"/>
        <item h="1" x="14506"/>
        <item h="1" x="14507"/>
        <item h="1" x="14508"/>
        <item h="1" x="14509"/>
        <item h="1" x="14510"/>
        <item h="1" x="14511"/>
        <item h="1" x="14512"/>
        <item h="1" x="14513"/>
        <item h="1" x="14514"/>
        <item h="1" x="14515"/>
        <item h="1" x="14516"/>
        <item h="1" x="14517"/>
        <item h="1" x="14518"/>
        <item h="1" x="14519"/>
        <item h="1" x="14520"/>
        <item h="1" x="14521"/>
        <item h="1" x="14522"/>
        <item h="1" x="14523"/>
        <item h="1" x="14524"/>
        <item h="1" x="14525"/>
        <item h="1" x="14526"/>
        <item h="1" x="14527"/>
        <item h="1" x="14528"/>
        <item h="1" x="14529"/>
        <item h="1" x="14530"/>
        <item h="1" x="14531"/>
        <item h="1" x="14532"/>
        <item h="1" x="14533"/>
        <item h="1" x="14534"/>
        <item h="1" x="14535"/>
        <item h="1" x="14536"/>
        <item h="1" x="14537"/>
        <item h="1" x="14538"/>
        <item h="1" x="14539"/>
        <item h="1" x="14540"/>
        <item h="1" x="14541"/>
        <item h="1" x="14542"/>
        <item h="1" x="14543"/>
        <item h="1" x="14544"/>
        <item h="1" x="14545"/>
        <item h="1" x="14546"/>
        <item h="1" x="14547"/>
        <item h="1" x="14548"/>
        <item h="1" x="14549"/>
        <item h="1" x="14550"/>
        <item h="1" x="14551"/>
        <item h="1" x="14552"/>
        <item h="1" x="14553"/>
        <item h="1" x="14554"/>
        <item h="1" x="14555"/>
        <item h="1" x="14556"/>
        <item h="1" x="14557"/>
        <item h="1" x="14558"/>
        <item h="1" x="14559"/>
        <item h="1" x="14560"/>
        <item h="1" x="14561"/>
        <item h="1" x="14562"/>
        <item h="1" x="14563"/>
        <item h="1" x="14564"/>
        <item h="1" x="14565"/>
        <item h="1" x="14566"/>
        <item h="1" x="14567"/>
        <item h="1" x="14568"/>
        <item h="1" x="14569"/>
        <item h="1" x="14570"/>
        <item h="1" x="14571"/>
        <item h="1" x="14572"/>
        <item h="1" x="14573"/>
        <item h="1" x="14574"/>
        <item h="1" x="14575"/>
        <item h="1" x="14576"/>
        <item h="1" x="14577"/>
        <item h="1" x="14578"/>
        <item h="1" x="14579"/>
        <item h="1" x="14580"/>
        <item h="1" x="14581"/>
        <item h="1" x="14582"/>
        <item h="1" x="14583"/>
        <item h="1" x="14584"/>
        <item h="1" x="14585"/>
        <item h="1" x="14586"/>
        <item h="1" x="14587"/>
        <item h="1" x="14588"/>
        <item h="1" x="14589"/>
        <item h="1" x="14590"/>
        <item h="1" x="14591"/>
        <item h="1" x="14592"/>
        <item h="1" x="14593"/>
        <item h="1" x="14594"/>
        <item h="1" x="14595"/>
        <item h="1" x="14596"/>
        <item h="1" x="14597"/>
        <item h="1" x="14598"/>
        <item h="1" x="14599"/>
        <item h="1" x="14600"/>
        <item h="1" x="14601"/>
        <item h="1" x="14602"/>
        <item h="1" x="14603"/>
        <item h="1" x="14604"/>
        <item h="1" x="14605"/>
        <item h="1" x="14606"/>
        <item h="1" x="14607"/>
        <item h="1" x="14608"/>
        <item h="1" x="14609"/>
        <item h="1" x="14610"/>
        <item h="1" x="14611"/>
        <item h="1" x="14612"/>
        <item h="1" x="14613"/>
        <item h="1" x="14614"/>
        <item h="1" x="14615"/>
        <item h="1" x="14616"/>
        <item h="1" x="14617"/>
        <item h="1" x="14618"/>
        <item h="1" x="14619"/>
        <item h="1" x="14620"/>
        <item h="1" x="14621"/>
        <item h="1" x="14622"/>
        <item h="1" x="14623"/>
        <item h="1" x="14624"/>
        <item h="1" x="14625"/>
        <item h="1" x="14626"/>
        <item h="1" x="14627"/>
        <item h="1" x="14628"/>
        <item h="1" x="14629"/>
        <item h="1" x="14630"/>
        <item h="1" x="14631"/>
        <item h="1" x="14632"/>
        <item h="1" x="14633"/>
        <item h="1" x="14634"/>
        <item h="1" x="14635"/>
        <item h="1" x="14636"/>
        <item h="1" x="14637"/>
        <item h="1" x="14638"/>
        <item h="1" x="14639"/>
        <item h="1" x="14640"/>
        <item h="1" x="14641"/>
        <item h="1" x="14642"/>
        <item h="1" x="14643"/>
        <item h="1" x="14644"/>
        <item h="1" x="14645"/>
        <item h="1" x="14646"/>
        <item h="1" x="14647"/>
        <item h="1" x="14648"/>
        <item h="1" x="14649"/>
        <item h="1" x="14650"/>
        <item h="1" x="14651"/>
        <item h="1" x="14652"/>
        <item h="1" x="14653"/>
        <item h="1" x="14654"/>
        <item h="1" x="14655"/>
        <item h="1" x="14656"/>
        <item h="1" x="14657"/>
        <item h="1" x="14658"/>
        <item h="1" x="14659"/>
        <item h="1" x="14660"/>
        <item h="1" x="14661"/>
        <item h="1" x="14662"/>
        <item h="1" x="14663"/>
        <item h="1" x="14664"/>
        <item h="1" x="14665"/>
        <item h="1" x="14666"/>
        <item h="1" x="14667"/>
        <item h="1" x="14668"/>
        <item h="1" x="14669"/>
        <item h="1" x="14670"/>
        <item h="1" x="14671"/>
        <item h="1" x="14672"/>
        <item h="1" x="14673"/>
        <item h="1" x="14674"/>
        <item h="1" x="14675"/>
        <item h="1" x="14676"/>
        <item h="1" x="14677"/>
        <item h="1" x="14678"/>
        <item h="1" x="14679"/>
        <item h="1" x="14680"/>
        <item h="1" x="14681"/>
        <item h="1" x="14682"/>
        <item h="1" x="14683"/>
        <item h="1" x="14684"/>
        <item h="1" x="14685"/>
        <item h="1" x="14686"/>
        <item h="1" x="14687"/>
        <item h="1" x="14688"/>
        <item h="1" x="14689"/>
        <item h="1" x="14690"/>
        <item h="1" x="14691"/>
        <item h="1" x="14692"/>
        <item h="1" x="14693"/>
        <item h="1" x="14694"/>
        <item h="1" x="14695"/>
        <item h="1" x="14696"/>
        <item h="1" x="14697"/>
        <item h="1" x="14698"/>
        <item h="1" x="14699"/>
        <item h="1" x="14700"/>
        <item h="1" x="14701"/>
        <item h="1" x="14702"/>
        <item h="1" x="14703"/>
        <item h="1" x="14704"/>
        <item h="1" x="14705"/>
        <item h="1" x="14706"/>
        <item h="1" x="14707"/>
        <item h="1" x="14708"/>
        <item h="1" x="14709"/>
        <item h="1" x="14710"/>
        <item h="1" x="14711"/>
        <item h="1" x="14712"/>
        <item h="1" x="14713"/>
        <item h="1" x="14714"/>
        <item h="1" x="14715"/>
        <item h="1" x="14716"/>
        <item h="1" x="14717"/>
        <item h="1" x="14718"/>
        <item h="1" x="14719"/>
        <item h="1" x="14720"/>
        <item h="1" x="14721"/>
        <item h="1" x="14722"/>
        <item h="1" x="14723"/>
        <item h="1" x="14724"/>
        <item h="1" x="14725"/>
        <item h="1" x="14726"/>
        <item h="1" x="14727"/>
        <item h="1" x="14728"/>
        <item h="1" x="14729"/>
        <item h="1" x="14730"/>
        <item h="1" x="14731"/>
        <item h="1" x="14732"/>
        <item h="1" x="14733"/>
        <item h="1" x="14734"/>
        <item h="1" x="14735"/>
        <item h="1" x="14736"/>
        <item h="1" x="14737"/>
        <item h="1" x="14738"/>
        <item h="1" x="14739"/>
        <item h="1" x="14740"/>
        <item h="1" x="14741"/>
        <item h="1" x="14742"/>
        <item h="1" x="14743"/>
        <item h="1" x="14744"/>
        <item h="1" x="14745"/>
        <item h="1" x="14746"/>
        <item h="1" x="14747"/>
        <item h="1" x="14748"/>
        <item h="1" x="14749"/>
        <item h="1" x="14750"/>
        <item h="1" x="14751"/>
        <item h="1" x="14752"/>
        <item h="1" x="14753"/>
        <item h="1" x="14754"/>
        <item h="1" x="14755"/>
        <item h="1" x="14756"/>
        <item h="1" x="14757"/>
        <item h="1" x="14758"/>
        <item h="1" x="14759"/>
        <item h="1" x="14760"/>
        <item h="1" x="14761"/>
        <item h="1" x="14762"/>
        <item h="1" x="14763"/>
        <item h="1" x="14764"/>
        <item h="1" x="14765"/>
        <item h="1" x="14766"/>
        <item h="1" x="14767"/>
        <item h="1" x="14768"/>
        <item h="1" x="14769"/>
        <item h="1" x="14770"/>
        <item h="1" x="14771"/>
        <item h="1" x="14772"/>
        <item h="1" x="14773"/>
        <item h="1" x="14774"/>
        <item h="1" x="14775"/>
        <item h="1" x="14776"/>
        <item h="1" x="14777"/>
        <item h="1" x="14778"/>
        <item h="1" x="14779"/>
        <item h="1" x="14780"/>
        <item h="1" x="14781"/>
        <item h="1" x="14782"/>
        <item h="1" x="14783"/>
        <item h="1" x="14784"/>
        <item h="1" x="14785"/>
        <item h="1" x="14786"/>
        <item h="1" x="14787"/>
        <item h="1" x="14788"/>
        <item h="1" x="14789"/>
        <item h="1" x="14790"/>
        <item h="1" x="14791"/>
        <item h="1" x="14792"/>
        <item h="1" x="14793"/>
        <item h="1" x="14794"/>
        <item h="1" x="14795"/>
        <item h="1" x="14796"/>
        <item h="1" x="14797"/>
        <item h="1" x="14798"/>
        <item h="1" x="14799"/>
        <item h="1" x="14800"/>
        <item h="1" x="14801"/>
        <item h="1" x="14802"/>
        <item h="1" x="14803"/>
        <item h="1" x="14804"/>
        <item h="1" x="14805"/>
        <item h="1" x="14806"/>
        <item h="1" x="14807"/>
        <item h="1" x="14808"/>
        <item h="1" x="14809"/>
        <item h="1" x="14810"/>
        <item h="1" x="14811"/>
        <item h="1" x="14812"/>
        <item h="1" x="14813"/>
        <item h="1" x="14814"/>
        <item h="1" x="14815"/>
        <item h="1" x="14816"/>
        <item h="1" x="14817"/>
        <item h="1" x="14818"/>
        <item h="1" x="14819"/>
        <item h="1" x="14820"/>
        <item h="1" x="14821"/>
        <item h="1" x="14822"/>
        <item h="1" x="14823"/>
        <item h="1" x="14824"/>
        <item h="1" x="14825"/>
        <item h="1" x="14826"/>
        <item h="1" x="14827"/>
        <item h="1" x="14828"/>
        <item h="1" x="14829"/>
        <item h="1" x="14830"/>
        <item h="1" x="14831"/>
        <item h="1" x="14832"/>
        <item h="1" x="14833"/>
        <item h="1" x="14834"/>
        <item h="1" x="14835"/>
        <item h="1" x="14836"/>
        <item h="1" x="14837"/>
        <item h="1" x="14838"/>
        <item h="1" x="14839"/>
        <item h="1" x="14840"/>
        <item h="1" x="14841"/>
        <item h="1" x="14842"/>
        <item h="1" x="14843"/>
        <item h="1" x="14844"/>
        <item h="1" x="14845"/>
        <item h="1" x="14846"/>
        <item h="1" x="14847"/>
        <item h="1" x="14848"/>
        <item h="1" x="14849"/>
        <item h="1" x="14850"/>
        <item h="1" x="14851"/>
        <item h="1" x="14852"/>
        <item h="1" x="14853"/>
        <item h="1" x="14854"/>
        <item h="1" x="14855"/>
        <item h="1" x="14856"/>
        <item h="1" x="14857"/>
        <item h="1" x="14858"/>
        <item h="1" x="14859"/>
        <item h="1" x="14860"/>
        <item h="1" x="14861"/>
        <item h="1" x="14862"/>
        <item h="1" x="14863"/>
        <item h="1" x="14864"/>
        <item h="1" x="14865"/>
        <item h="1" x="14866"/>
        <item h="1" x="14867"/>
        <item h="1" x="14868"/>
        <item h="1" x="14869"/>
        <item h="1" x="14870"/>
        <item h="1" x="14871"/>
        <item h="1" x="14872"/>
        <item h="1" x="14873"/>
        <item h="1" x="14874"/>
        <item h="1" x="14875"/>
        <item h="1" x="14876"/>
        <item h="1" x="14877"/>
        <item h="1" x="14878"/>
        <item h="1" x="14879"/>
        <item h="1" x="14880"/>
        <item h="1" x="14881"/>
        <item h="1" x="14882"/>
        <item h="1" x="14883"/>
        <item h="1" x="14884"/>
        <item h="1" x="14885"/>
        <item h="1" x="14886"/>
        <item h="1" x="14887"/>
        <item h="1" x="14888"/>
        <item h="1" x="14889"/>
        <item h="1" x="14890"/>
        <item h="1" x="14891"/>
        <item h="1" x="14892"/>
        <item h="1" x="14893"/>
        <item h="1" x="14894"/>
        <item h="1" x="14895"/>
        <item h="1" x="14896"/>
        <item h="1" x="14897"/>
        <item h="1" x="14898"/>
        <item h="1" x="14899"/>
        <item h="1" x="14900"/>
        <item h="1" x="14901"/>
        <item h="1" x="14902"/>
        <item h="1" x="14903"/>
        <item h="1" x="14904"/>
        <item h="1" x="14905"/>
        <item h="1" x="14906"/>
        <item h="1" x="14907"/>
        <item h="1" x="14908"/>
        <item h="1" x="14909"/>
        <item h="1" x="14910"/>
        <item h="1" x="14911"/>
        <item h="1" x="14912"/>
        <item h="1" x="14913"/>
        <item h="1" x="14914"/>
        <item h="1" x="14915"/>
        <item h="1" x="14916"/>
        <item h="1" x="14917"/>
        <item h="1" x="14918"/>
        <item h="1" x="14919"/>
        <item h="1" x="14920"/>
        <item h="1" x="14921"/>
        <item h="1" x="14922"/>
        <item h="1" x="14923"/>
        <item h="1" x="14924"/>
        <item h="1" x="14925"/>
        <item h="1" x="14926"/>
        <item h="1" x="14927"/>
        <item h="1" x="14928"/>
        <item h="1" x="14929"/>
        <item h="1" x="14930"/>
        <item h="1" x="14931"/>
        <item h="1" x="14932"/>
        <item h="1" x="14933"/>
        <item h="1" x="14934"/>
        <item h="1" x="14935"/>
        <item h="1" x="14936"/>
        <item h="1" x="14937"/>
        <item h="1" x="14938"/>
        <item h="1" x="14939"/>
        <item h="1" x="14940"/>
        <item h="1" x="14941"/>
        <item h="1" x="14942"/>
        <item h="1" x="14943"/>
        <item h="1" x="14944"/>
        <item h="1" x="14945"/>
        <item h="1" x="14946"/>
        <item h="1" x="14947"/>
        <item h="1" x="14948"/>
        <item h="1" x="14949"/>
        <item h="1" x="14950"/>
        <item h="1" x="14951"/>
        <item h="1" x="14952"/>
        <item h="1" x="14953"/>
        <item h="1" x="14954"/>
        <item h="1" x="14955"/>
        <item h="1" x="14956"/>
        <item h="1" x="14957"/>
        <item h="1" x="14958"/>
        <item h="1" x="14959"/>
        <item h="1" x="14960"/>
        <item h="1" x="14961"/>
        <item h="1" x="14962"/>
        <item h="1" x="14963"/>
        <item h="1" x="14964"/>
        <item h="1" x="14965"/>
        <item h="1" x="14966"/>
        <item h="1" x="14967"/>
        <item h="1" x="14968"/>
        <item h="1" x="14969"/>
        <item h="1" x="14970"/>
        <item h="1" x="14971"/>
        <item h="1" x="14972"/>
        <item h="1" x="14973"/>
        <item h="1" x="14974"/>
        <item h="1" x="14975"/>
        <item h="1" x="14976"/>
        <item h="1" x="14977"/>
        <item h="1" x="14978"/>
        <item h="1" x="14979"/>
        <item h="1" x="14980"/>
        <item h="1" x="14981"/>
        <item h="1" x="14982"/>
        <item h="1" x="14983"/>
        <item h="1" x="14984"/>
        <item h="1" x="14985"/>
        <item h="1" x="14986"/>
        <item h="1" x="14987"/>
        <item h="1" x="14988"/>
        <item h="1" x="14989"/>
        <item h="1" x="14990"/>
        <item h="1" x="14991"/>
        <item h="1" x="14992"/>
        <item h="1" x="14993"/>
        <item h="1" x="14994"/>
        <item h="1" x="14995"/>
        <item h="1" x="14996"/>
        <item h="1" x="14997"/>
        <item h="1" x="14998"/>
        <item h="1" x="14999"/>
        <item h="1" x="15000"/>
        <item h="1" x="15001"/>
        <item h="1" x="15002"/>
        <item h="1" x="15003"/>
        <item h="1" x="15004"/>
        <item h="1" x="15005"/>
        <item h="1" x="15006"/>
        <item h="1" x="15007"/>
        <item h="1" x="15008"/>
        <item h="1" x="15009"/>
        <item h="1" x="15010"/>
        <item h="1" x="15011"/>
        <item h="1" x="15012"/>
        <item h="1" x="15013"/>
        <item h="1" x="15014"/>
        <item h="1" x="15015"/>
        <item h="1" x="15016"/>
        <item h="1" x="15017"/>
        <item h="1" x="15018"/>
        <item h="1" x="15019"/>
        <item h="1" x="15020"/>
        <item h="1" x="15021"/>
        <item h="1" x="15022"/>
        <item h="1" x="15023"/>
        <item h="1" x="15024"/>
        <item h="1" x="15025"/>
        <item h="1" x="15026"/>
        <item h="1" x="15027"/>
        <item h="1" x="15028"/>
        <item h="1" x="15029"/>
        <item h="1" x="15030"/>
        <item h="1" x="15031"/>
        <item h="1" x="15032"/>
        <item h="1" x="15033"/>
        <item h="1" x="15034"/>
        <item h="1" x="15035"/>
        <item h="1" x="15036"/>
        <item h="1" x="15037"/>
        <item h="1" x="15038"/>
        <item h="1" x="15039"/>
        <item h="1" x="15040"/>
        <item h="1" x="15041"/>
        <item h="1" x="15042"/>
        <item h="1" x="15043"/>
        <item h="1" x="15044"/>
        <item h="1" x="15045"/>
        <item h="1" x="15046"/>
        <item h="1" x="15047"/>
        <item h="1" x="15048"/>
        <item h="1" x="15049"/>
        <item h="1" x="15050"/>
        <item h="1" x="15051"/>
        <item h="1" x="15052"/>
        <item h="1" x="15053"/>
        <item h="1" x="15054"/>
        <item h="1" x="15055"/>
        <item h="1" x="15056"/>
        <item h="1" x="15057"/>
        <item h="1" x="15058"/>
        <item h="1" x="15059"/>
        <item h="1" x="15060"/>
        <item h="1" x="15061"/>
        <item h="1" x="15062"/>
        <item h="1" x="15063"/>
        <item h="1" x="15064"/>
        <item h="1" x="15065"/>
        <item h="1" x="15066"/>
        <item h="1" x="15067"/>
        <item h="1" x="15068"/>
        <item h="1" x="15069"/>
        <item h="1" x="15070"/>
        <item h="1" x="15071"/>
        <item h="1" x="15072"/>
        <item h="1" x="15073"/>
        <item h="1" x="15074"/>
        <item h="1" x="15075"/>
        <item h="1" x="15076"/>
        <item h="1" x="15077"/>
        <item h="1" x="15078"/>
        <item h="1" x="15079"/>
        <item h="1" x="15080"/>
        <item h="1" x="15081"/>
        <item h="1" x="15082"/>
        <item h="1" x="15083"/>
        <item h="1" x="15084"/>
        <item h="1" x="15085"/>
        <item h="1" x="15086"/>
        <item h="1" x="15087"/>
        <item h="1" x="15088"/>
        <item h="1" x="15089"/>
        <item h="1" x="15090"/>
        <item h="1" x="15091"/>
        <item h="1" x="15092"/>
        <item h="1" x="15093"/>
        <item h="1" x="15094"/>
        <item h="1" x="15095"/>
        <item h="1" x="15096"/>
        <item h="1" x="15097"/>
        <item h="1" x="15098"/>
        <item h="1" x="15099"/>
        <item h="1" x="15100"/>
        <item h="1" x="15101"/>
        <item h="1" x="15102"/>
        <item h="1" x="15103"/>
        <item h="1" x="15104"/>
        <item h="1" x="15105"/>
        <item h="1" x="15106"/>
        <item h="1" x="15107"/>
        <item h="1" x="15108"/>
        <item h="1" x="15109"/>
        <item h="1" x="15110"/>
        <item h="1" x="15111"/>
        <item h="1" x="15112"/>
        <item h="1" x="15113"/>
        <item h="1" x="15114"/>
        <item h="1" x="15115"/>
        <item h="1" x="15116"/>
        <item h="1" x="15117"/>
        <item h="1" x="15118"/>
        <item h="1" x="15119"/>
        <item h="1" x="15120"/>
        <item h="1" x="15121"/>
        <item h="1" x="15122"/>
        <item h="1" x="15123"/>
        <item h="1" x="15124"/>
        <item h="1" x="15125"/>
        <item h="1" x="15126"/>
        <item h="1" x="15127"/>
        <item h="1" x="15128"/>
        <item h="1" x="15129"/>
        <item h="1" x="15130"/>
        <item h="1" x="15131"/>
        <item h="1" x="15132"/>
        <item h="1" x="15133"/>
        <item h="1" x="15134"/>
        <item h="1" x="15135"/>
        <item h="1" x="15136"/>
        <item h="1" x="15137"/>
        <item h="1" x="15138"/>
        <item h="1" x="15139"/>
        <item h="1" x="15140"/>
        <item h="1" x="15141"/>
        <item h="1" x="15142"/>
        <item h="1" x="15143"/>
        <item h="1" x="15144"/>
        <item h="1" x="15145"/>
        <item h="1" x="15146"/>
        <item h="1" x="15147"/>
        <item h="1" x="15148"/>
        <item h="1" x="15149"/>
        <item h="1" x="15150"/>
        <item h="1" x="15151"/>
        <item h="1" x="15152"/>
        <item h="1" x="15153"/>
        <item h="1" x="15154"/>
        <item h="1" x="15155"/>
        <item h="1" x="15156"/>
        <item h="1" x="15157"/>
        <item h="1" x="15158"/>
        <item h="1" x="15159"/>
        <item h="1" x="15160"/>
        <item h="1" x="15161"/>
        <item h="1" x="15162"/>
        <item h="1" x="15163"/>
        <item h="1" x="15164"/>
        <item h="1" x="15165"/>
        <item h="1" x="15166"/>
        <item h="1" x="15167"/>
        <item h="1" x="15168"/>
        <item h="1" x="15169"/>
        <item h="1" x="15170"/>
        <item h="1" x="15171"/>
        <item h="1" x="15172"/>
        <item h="1" x="15173"/>
        <item h="1" x="15174"/>
        <item h="1" x="15175"/>
        <item h="1" x="15176"/>
        <item h="1" x="15177"/>
        <item h="1" x="15178"/>
        <item h="1" x="15179"/>
        <item h="1" x="15180"/>
        <item h="1" x="15181"/>
        <item h="1" x="15182"/>
        <item h="1" x="15183"/>
        <item h="1" x="15184"/>
        <item h="1" x="15185"/>
        <item h="1" x="15186"/>
        <item h="1" x="15187"/>
        <item h="1" x="15188"/>
        <item h="1" x="15189"/>
        <item h="1" x="15190"/>
        <item h="1" x="15191"/>
        <item h="1" x="15192"/>
        <item h="1" x="15193"/>
        <item h="1" x="15194"/>
        <item h="1" x="15195"/>
        <item h="1" x="15196"/>
        <item h="1" x="15197"/>
        <item h="1" x="15198"/>
        <item h="1" x="15199"/>
        <item h="1" x="15200"/>
        <item h="1" x="15201"/>
        <item h="1" x="15202"/>
        <item h="1" x="15203"/>
        <item h="1" x="15204"/>
        <item h="1" x="15205"/>
        <item h="1" x="15206"/>
        <item h="1" x="15207"/>
        <item h="1" x="15208"/>
        <item h="1" x="15209"/>
        <item h="1" x="15210"/>
        <item h="1" x="15211"/>
        <item h="1" x="15212"/>
        <item h="1" x="15213"/>
        <item h="1" x="15214"/>
        <item h="1" x="15215"/>
        <item h="1" x="15216"/>
        <item h="1" x="15217"/>
        <item h="1" x="15218"/>
        <item h="1" x="15219"/>
        <item h="1" x="15220"/>
        <item h="1" x="15221"/>
        <item h="1" x="15222"/>
        <item h="1" x="15223"/>
        <item h="1" x="15224"/>
        <item h="1" x="15225"/>
        <item h="1" x="15226"/>
        <item h="1" x="15227"/>
        <item h="1" x="15228"/>
        <item h="1" x="15229"/>
        <item h="1" x="15230"/>
        <item h="1" x="15231"/>
        <item h="1" x="15232"/>
        <item h="1" x="15233"/>
        <item h="1" x="15234"/>
        <item h="1" x="15235"/>
        <item h="1" x="15236"/>
        <item h="1" x="15237"/>
        <item h="1" x="15238"/>
        <item h="1" x="15239"/>
        <item h="1" x="15240"/>
        <item h="1" x="15241"/>
        <item h="1" x="15242"/>
        <item h="1" x="15243"/>
        <item h="1" x="15244"/>
        <item h="1" x="15245"/>
        <item h="1" x="15246"/>
        <item h="1" x="15247"/>
        <item h="1" x="15248"/>
        <item h="1" x="15249"/>
        <item h="1" x="15250"/>
        <item h="1" x="15251"/>
        <item h="1" x="15252"/>
        <item h="1" x="15253"/>
        <item h="1" x="15254"/>
        <item h="1" x="15255"/>
        <item h="1" x="15256"/>
        <item h="1" x="15257"/>
        <item h="1" x="15258"/>
        <item h="1" x="15259"/>
        <item h="1" x="15260"/>
        <item h="1" x="15261"/>
        <item h="1" x="15262"/>
        <item h="1" x="15263"/>
        <item h="1" x="15264"/>
        <item h="1" x="15265"/>
        <item h="1" x="15266"/>
        <item h="1" x="15267"/>
        <item h="1" x="15268"/>
        <item h="1" x="15269"/>
        <item h="1" x="15270"/>
        <item h="1" x="15271"/>
        <item h="1" x="15272"/>
        <item h="1" x="15273"/>
        <item h="1" x="15274"/>
        <item h="1" x="15275"/>
        <item h="1" x="15276"/>
        <item h="1" x="15277"/>
        <item h="1" x="15278"/>
        <item h="1" x="15279"/>
        <item h="1" x="15280"/>
        <item h="1" x="15281"/>
        <item h="1" x="15282"/>
        <item h="1" x="15283"/>
        <item h="1" x="15284"/>
        <item h="1" x="15285"/>
        <item h="1" x="15286"/>
        <item h="1" x="15287"/>
        <item h="1" x="15288"/>
        <item h="1" x="15289"/>
        <item h="1" x="15290"/>
        <item h="1" x="15291"/>
        <item h="1" x="15292"/>
        <item h="1" x="15293"/>
        <item h="1" x="15294"/>
        <item h="1" x="15295"/>
        <item h="1" x="15296"/>
        <item h="1" x="15297"/>
        <item h="1" x="15298"/>
        <item h="1" x="15299"/>
        <item h="1" x="15300"/>
        <item h="1" x="15301"/>
        <item h="1" x="15302"/>
        <item h="1" x="15303"/>
        <item h="1" x="15304"/>
        <item h="1" x="15305"/>
        <item h="1" x="15306"/>
        <item h="1" x="15307"/>
        <item h="1" x="15308"/>
        <item h="1" x="15309"/>
        <item h="1" x="15310"/>
        <item h="1" x="15311"/>
        <item h="1" x="15312"/>
        <item h="1" x="15313"/>
        <item h="1" x="15314"/>
        <item h="1" x="15315"/>
        <item h="1" x="15316"/>
        <item h="1" x="15317"/>
        <item h="1" x="15318"/>
        <item h="1" x="15319"/>
        <item h="1" x="15320"/>
        <item h="1" x="15321"/>
        <item h="1" x="15322"/>
        <item h="1" x="15323"/>
        <item h="1" x="15324"/>
        <item h="1" x="15325"/>
        <item h="1" x="15326"/>
        <item h="1" x="15327"/>
        <item h="1" x="15328"/>
        <item h="1" x="15329"/>
        <item h="1" x="15330"/>
        <item h="1" x="15331"/>
        <item h="1" x="15332"/>
        <item h="1" x="15333"/>
        <item h="1" x="15334"/>
        <item h="1" x="15335"/>
        <item h="1" x="15336"/>
        <item h="1" x="15337"/>
        <item h="1" x="15338"/>
        <item h="1" x="15339"/>
        <item h="1" x="15340"/>
        <item h="1" x="15341"/>
        <item h="1" x="15342"/>
        <item h="1" x="15343"/>
        <item h="1" x="15344"/>
        <item h="1" x="15345"/>
        <item h="1" x="15346"/>
        <item h="1" x="15347"/>
        <item h="1" x="15348"/>
        <item h="1" x="15349"/>
        <item h="1" x="15350"/>
        <item h="1" x="15351"/>
        <item h="1" x="15352"/>
        <item h="1" x="15353"/>
        <item h="1" x="15354"/>
        <item h="1" x="15355"/>
        <item h="1" x="15356"/>
        <item h="1" x="15357"/>
        <item h="1" x="15358"/>
        <item h="1" x="15359"/>
        <item h="1" x="15360"/>
        <item h="1" x="15361"/>
        <item h="1" x="15362"/>
        <item h="1" x="15363"/>
        <item h="1" x="15364"/>
        <item h="1" x="15365"/>
        <item h="1" x="15366"/>
        <item h="1" x="15367"/>
        <item h="1" x="15368"/>
        <item h="1" x="15369"/>
        <item h="1" x="15370"/>
        <item h="1" x="15371"/>
        <item h="1" x="15372"/>
        <item h="1" x="15373"/>
        <item h="1" x="15374"/>
        <item h="1" x="15375"/>
        <item h="1" x="15376"/>
        <item h="1" x="15377"/>
        <item h="1" x="15378"/>
        <item h="1" x="15379"/>
        <item h="1" x="15380"/>
        <item h="1" x="15381"/>
        <item h="1" x="15382"/>
        <item h="1" x="15383"/>
        <item h="1" x="15384"/>
        <item h="1" x="15385"/>
        <item h="1" x="15386"/>
        <item h="1" x="15387"/>
        <item h="1" x="15388"/>
        <item h="1" x="15389"/>
        <item h="1" x="15390"/>
        <item h="1" x="15391"/>
        <item h="1" x="15392"/>
        <item h="1" x="15393"/>
        <item h="1" x="15394"/>
        <item h="1" x="15395"/>
        <item h="1" x="15396"/>
        <item h="1" x="15397"/>
        <item h="1" x="15398"/>
        <item h="1" x="15399"/>
        <item h="1" x="15400"/>
        <item h="1" x="15401"/>
        <item h="1" x="15402"/>
        <item h="1" x="15403"/>
        <item h="1" x="15404"/>
        <item h="1" x="15405"/>
        <item h="1" x="15406"/>
        <item h="1" x="15407"/>
        <item h="1" x="15408"/>
        <item h="1" x="15409"/>
        <item h="1" x="15410"/>
        <item h="1" x="15411"/>
        <item h="1" x="15412"/>
        <item h="1" x="15413"/>
        <item h="1" x="15414"/>
        <item h="1" x="15415"/>
        <item h="1" x="15416"/>
        <item h="1" x="15417"/>
        <item h="1" x="15418"/>
        <item h="1" x="15419"/>
        <item h="1" x="15420"/>
        <item h="1" x="15421"/>
        <item h="1" x="15422"/>
        <item h="1" x="15423"/>
        <item h="1" x="15424"/>
        <item h="1" x="15425"/>
        <item h="1" x="15426"/>
        <item h="1" x="15427"/>
        <item h="1" x="15428"/>
        <item h="1" x="15429"/>
        <item h="1" x="15430"/>
        <item h="1" x="15431"/>
        <item h="1" x="15432"/>
        <item h="1" x="15433"/>
        <item h="1" x="15434"/>
        <item h="1" x="15435"/>
        <item h="1" x="15436"/>
        <item h="1" x="15437"/>
        <item h="1" x="15438"/>
        <item h="1" x="15439"/>
        <item h="1" x="15440"/>
        <item h="1" x="15441"/>
        <item h="1" x="15442"/>
        <item h="1" x="15443"/>
        <item h="1" x="15444"/>
        <item h="1" x="15445"/>
        <item h="1" x="15446"/>
        <item h="1" x="15447"/>
        <item h="1" x="15448"/>
        <item h="1" x="15449"/>
        <item h="1" x="15450"/>
        <item h="1" x="15451"/>
        <item h="1" x="15452"/>
        <item h="1" x="15453"/>
        <item h="1" x="15454"/>
        <item h="1" x="15455"/>
        <item h="1" x="15456"/>
        <item h="1" x="15457"/>
        <item h="1" x="15458"/>
        <item h="1" x="15459"/>
        <item h="1" x="15460"/>
        <item h="1" x="15461"/>
        <item h="1" x="15462"/>
        <item h="1" x="15463"/>
        <item h="1" x="15464"/>
        <item h="1" x="15465"/>
        <item h="1" x="15466"/>
        <item h="1" x="15467"/>
        <item h="1" x="15468"/>
        <item h="1" x="15469"/>
        <item h="1" x="15470"/>
        <item h="1" x="15471"/>
        <item h="1" x="15472"/>
        <item h="1" x="15473"/>
        <item h="1" x="15474"/>
        <item h="1" x="15475"/>
        <item h="1" x="15476"/>
        <item h="1" x="15477"/>
        <item h="1" x="15478"/>
        <item h="1" x="15479"/>
        <item h="1" x="15480"/>
        <item h="1" x="15481"/>
        <item h="1" x="15482"/>
        <item h="1" x="15483"/>
        <item h="1" x="15484"/>
        <item h="1" x="15485"/>
        <item h="1" x="15486"/>
        <item h="1" x="15487"/>
        <item h="1" x="15488"/>
        <item h="1" x="15489"/>
        <item h="1" x="15490"/>
        <item h="1" x="15491"/>
        <item h="1" x="15492"/>
        <item h="1" x="15493"/>
        <item h="1" x="15494"/>
        <item h="1" x="15495"/>
        <item h="1" x="15496"/>
        <item h="1" x="15497"/>
        <item h="1" x="15498"/>
        <item h="1" x="15499"/>
        <item h="1" x="15500"/>
        <item h="1" x="15501"/>
        <item h="1" x="15502"/>
        <item h="1" x="15503"/>
        <item h="1" x="15504"/>
        <item h="1" x="15505"/>
        <item h="1" x="15506"/>
        <item h="1" x="15507"/>
        <item h="1" x="15508"/>
        <item h="1" x="15509"/>
        <item h="1" x="15510"/>
        <item h="1" x="15511"/>
        <item h="1" x="15512"/>
        <item h="1" x="15513"/>
        <item h="1" x="15514"/>
        <item h="1" x="15515"/>
        <item h="1" x="15516"/>
        <item h="1" x="15517"/>
        <item h="1" x="15518"/>
        <item h="1" x="15519"/>
        <item h="1" x="15520"/>
        <item h="1" x="15521"/>
        <item h="1" x="15522"/>
        <item h="1" x="15523"/>
        <item h="1" x="15524"/>
        <item h="1" x="15525"/>
        <item h="1" x="15526"/>
        <item h="1" x="15527"/>
        <item h="1" x="15528"/>
        <item h="1" x="15529"/>
        <item h="1" x="15530"/>
        <item h="1" x="15531"/>
        <item h="1" x="15532"/>
        <item h="1" x="15533"/>
        <item h="1" x="15534"/>
        <item h="1" x="15535"/>
        <item h="1" x="15536"/>
        <item h="1" x="15537"/>
        <item h="1" x="15538"/>
        <item h="1" x="15539"/>
        <item h="1" x="15540"/>
        <item h="1" x="15541"/>
        <item h="1" x="15542"/>
        <item h="1" x="15543"/>
        <item h="1" x="15544"/>
        <item h="1" x="15545"/>
        <item h="1" x="15546"/>
        <item h="1" x="15547"/>
        <item h="1" x="15548"/>
        <item h="1" x="15549"/>
        <item h="1" x="15550"/>
        <item h="1" x="15551"/>
        <item h="1" x="15552"/>
        <item h="1" x="15553"/>
        <item h="1" x="15554"/>
        <item h="1" x="15555"/>
        <item h="1" x="15556"/>
        <item h="1" x="15557"/>
        <item h="1" x="15558"/>
        <item h="1" x="15559"/>
        <item h="1" x="15560"/>
        <item h="1" x="15561"/>
        <item h="1" x="15562"/>
        <item h="1" x="15563"/>
        <item h="1" x="15564"/>
        <item h="1" x="15565"/>
        <item h="1" x="15566"/>
        <item h="1" x="15567"/>
        <item h="1" x="15568"/>
        <item h="1" x="15569"/>
        <item h="1" x="15570"/>
        <item h="1" x="15571"/>
        <item h="1" x="15572"/>
        <item h="1" x="15573"/>
        <item h="1" x="15574"/>
        <item h="1" x="15575"/>
        <item h="1" x="15576"/>
        <item h="1" x="15577"/>
        <item h="1" x="15578"/>
        <item h="1" x="15579"/>
        <item h="1" x="15580"/>
        <item h="1" x="15581"/>
        <item h="1" x="15582"/>
        <item h="1" x="15583"/>
        <item h="1" x="15584"/>
        <item h="1" x="15585"/>
        <item h="1" x="15586"/>
        <item h="1" x="15587"/>
        <item h="1" x="15588"/>
        <item h="1" x="15589"/>
        <item h="1" x="15590"/>
        <item h="1" x="15591"/>
        <item h="1" x="15592"/>
        <item h="1" x="15593"/>
        <item h="1" x="15594"/>
        <item h="1" x="15595"/>
        <item h="1" x="15596"/>
        <item h="1" x="15597"/>
        <item h="1" x="15598"/>
        <item h="1" x="15599"/>
        <item h="1" x="15600"/>
        <item h="1" x="15601"/>
        <item h="1" x="15602"/>
        <item h="1" x="15603"/>
        <item h="1" x="15604"/>
        <item h="1" x="15605"/>
        <item h="1" x="15606"/>
        <item h="1" x="15607"/>
        <item h="1" x="15608"/>
        <item h="1" x="15609"/>
        <item h="1" x="15610"/>
        <item h="1" x="15611"/>
        <item h="1" x="15612"/>
        <item h="1" x="15613"/>
        <item h="1" x="15614"/>
        <item h="1" x="15615"/>
        <item h="1" x="15616"/>
        <item h="1" x="15617"/>
        <item h="1" x="15618"/>
        <item h="1" x="15619"/>
        <item h="1" x="15620"/>
        <item h="1" x="15621"/>
        <item h="1" x="15622"/>
        <item h="1" x="15623"/>
        <item h="1" x="15624"/>
        <item h="1" x="15625"/>
        <item h="1" x="15626"/>
        <item h="1" x="15627"/>
        <item h="1" x="15628"/>
        <item h="1" x="15629"/>
        <item h="1" x="15630"/>
        <item h="1" x="15631"/>
        <item h="1" x="15632"/>
        <item h="1" x="15633"/>
        <item h="1" x="15634"/>
        <item h="1" x="15635"/>
        <item h="1" x="15636"/>
        <item h="1" x="15637"/>
        <item h="1" x="15638"/>
        <item h="1" x="15639"/>
        <item h="1" x="15640"/>
        <item h="1" x="15641"/>
        <item h="1" x="15642"/>
        <item h="1" x="15643"/>
        <item h="1" x="15644"/>
        <item h="1" x="15645"/>
        <item h="1" x="15646"/>
        <item h="1" x="15647"/>
        <item h="1" x="15648"/>
        <item h="1" x="15649"/>
        <item h="1" x="15650"/>
        <item h="1" x="15651"/>
        <item h="1" x="15652"/>
        <item h="1" x="15653"/>
        <item h="1" x="15654"/>
        <item h="1" x="15655"/>
        <item h="1" x="15656"/>
        <item h="1" x="15657"/>
        <item h="1" x="15658"/>
        <item h="1" x="15659"/>
        <item h="1" x="15660"/>
        <item h="1" x="15661"/>
        <item h="1" x="15662"/>
        <item h="1" x="15663"/>
        <item h="1" x="15664"/>
        <item h="1" x="15665"/>
        <item h="1" x="15666"/>
        <item h="1" x="15667"/>
        <item h="1" x="15668"/>
        <item h="1" x="15669"/>
        <item h="1" x="15670"/>
        <item h="1" x="15671"/>
        <item h="1" x="15672"/>
        <item h="1" x="15673"/>
        <item h="1" x="15674"/>
        <item h="1" x="15675"/>
        <item h="1" x="15676"/>
        <item h="1" x="15677"/>
        <item h="1" x="15678"/>
        <item h="1" x="15679"/>
        <item h="1" x="15680"/>
        <item h="1" x="15681"/>
        <item h="1" x="15682"/>
        <item h="1" x="15683"/>
        <item h="1" x="15684"/>
        <item h="1" x="15685"/>
        <item h="1" x="15686"/>
        <item h="1" x="15687"/>
        <item h="1" x="15688"/>
        <item h="1" x="15689"/>
        <item h="1" x="15690"/>
        <item h="1" x="15691"/>
        <item h="1" x="15692"/>
        <item h="1" x="15693"/>
        <item h="1" x="15694"/>
        <item h="1" x="15695"/>
        <item h="1" x="15696"/>
        <item h="1" x="15697"/>
        <item h="1" x="15698"/>
        <item h="1" x="15699"/>
        <item h="1" x="15700"/>
        <item h="1" x="15701"/>
        <item h="1" x="15702"/>
        <item h="1" x="15703"/>
        <item h="1" x="15704"/>
        <item h="1" x="15705"/>
        <item h="1" x="15706"/>
        <item h="1" x="15707"/>
        <item h="1" x="15708"/>
        <item h="1" x="15709"/>
        <item h="1" x="15710"/>
        <item h="1" x="15711"/>
        <item h="1" x="15712"/>
        <item h="1" x="15713"/>
        <item h="1" x="15714"/>
        <item h="1" x="15715"/>
        <item h="1" x="15716"/>
        <item h="1" x="15717"/>
        <item h="1" x="15718"/>
        <item h="1" x="15719"/>
        <item h="1" x="15720"/>
        <item h="1" x="15721"/>
        <item h="1" x="15722"/>
        <item h="1" x="15723"/>
        <item h="1" x="15724"/>
        <item h="1" x="15725"/>
        <item h="1" x="15726"/>
        <item h="1" x="15727"/>
        <item h="1" x="15728"/>
        <item h="1" x="15729"/>
        <item h="1" x="15730"/>
        <item h="1" x="15731"/>
        <item h="1" x="15732"/>
        <item h="1" x="15733"/>
        <item h="1" x="15734"/>
        <item h="1" x="15735"/>
        <item h="1" x="15736"/>
        <item h="1" x="15737"/>
        <item h="1" x="15738"/>
        <item h="1" x="15739"/>
        <item h="1" x="15740"/>
        <item h="1" x="15741"/>
        <item h="1" x="15742"/>
        <item h="1" x="15743"/>
        <item h="1" x="15744"/>
        <item h="1" x="15745"/>
        <item h="1" x="15746"/>
        <item h="1" x="15747"/>
        <item h="1" x="15748"/>
        <item h="1" x="15749"/>
        <item h="1" x="15750"/>
        <item h="1" x="15751"/>
        <item h="1" x="15752"/>
        <item h="1" x="15753"/>
        <item h="1" x="15754"/>
        <item h="1" x="15755"/>
        <item h="1" x="15756"/>
        <item h="1" x="15757"/>
        <item h="1" x="15758"/>
        <item h="1" x="15759"/>
        <item h="1" x="15760"/>
        <item h="1" x="15761"/>
        <item h="1" x="15762"/>
        <item h="1" x="15763"/>
        <item h="1" x="15764"/>
        <item h="1" x="15765"/>
        <item h="1" x="15766"/>
        <item h="1" x="15767"/>
        <item h="1" x="15768"/>
        <item h="1" x="15769"/>
        <item h="1" x="15770"/>
        <item h="1" x="15771"/>
        <item h="1" x="15772"/>
        <item h="1" x="15773"/>
        <item h="1" x="15774"/>
        <item h="1" x="15775"/>
        <item h="1" x="15776"/>
        <item h="1" x="15777"/>
        <item h="1" x="15778"/>
        <item h="1" x="15779"/>
        <item h="1" x="15780"/>
        <item h="1" x="15781"/>
        <item h="1" x="15782"/>
        <item h="1" x="15783"/>
        <item h="1" x="15784"/>
        <item h="1" x="15785"/>
        <item h="1" x="15786"/>
        <item h="1" x="15787"/>
        <item h="1" x="15788"/>
        <item h="1" x="15789"/>
        <item h="1" x="15790"/>
        <item h="1" x="15791"/>
        <item h="1" x="15792"/>
        <item h="1" x="15793"/>
        <item h="1" x="15794"/>
        <item h="1" x="15795"/>
        <item h="1" x="15796"/>
        <item h="1" x="15797"/>
        <item h="1" x="15798"/>
        <item h="1" x="15799"/>
        <item h="1" x="15800"/>
        <item h="1" x="15801"/>
        <item h="1" x="15802"/>
        <item h="1" x="15803"/>
        <item h="1" x="15804"/>
        <item h="1" x="15805"/>
        <item h="1" x="15806"/>
        <item h="1" x="15807"/>
        <item h="1" x="15808"/>
        <item h="1" x="15809"/>
        <item h="1" x="15810"/>
        <item h="1" x="15811"/>
        <item h="1" x="15812"/>
        <item h="1" x="15813"/>
        <item h="1" x="15814"/>
        <item h="1" x="15815"/>
        <item h="1" x="15816"/>
        <item h="1" x="15817"/>
        <item h="1" x="15818"/>
        <item h="1" x="15819"/>
        <item h="1" x="15820"/>
        <item h="1" x="15821"/>
        <item h="1" x="15822"/>
        <item h="1" x="15823"/>
        <item h="1" x="15824"/>
        <item h="1" x="15825"/>
        <item h="1" x="15826"/>
        <item h="1" x="15827"/>
        <item h="1" x="15828"/>
        <item h="1" x="15829"/>
        <item h="1" x="15830"/>
        <item h="1" x="15831"/>
        <item h="1" x="15832"/>
        <item h="1" x="15833"/>
        <item h="1" x="15834"/>
        <item h="1" x="15835"/>
        <item h="1" x="15836"/>
        <item h="1" x="15837"/>
        <item h="1" x="15838"/>
        <item h="1" x="15839"/>
        <item h="1" x="15840"/>
        <item h="1" x="15841"/>
        <item h="1" x="15842"/>
        <item h="1" x="15843"/>
        <item h="1" x="15844"/>
        <item h="1" x="15845"/>
        <item h="1" x="15846"/>
        <item h="1" x="15847"/>
        <item h="1" x="15848"/>
        <item h="1" x="15849"/>
        <item h="1" x="15850"/>
        <item h="1" x="15851"/>
        <item h="1" x="15852"/>
        <item h="1" x="15853"/>
        <item h="1" x="15854"/>
        <item h="1" x="15855"/>
        <item h="1" x="15856"/>
        <item h="1" x="15857"/>
        <item h="1" x="15858"/>
        <item h="1" x="15859"/>
        <item h="1" x="15860"/>
        <item h="1" x="15861"/>
        <item h="1" x="15862"/>
        <item h="1" x="15863"/>
        <item h="1" x="15864"/>
        <item h="1" x="15865"/>
        <item h="1" x="15866"/>
        <item h="1" x="15867"/>
        <item h="1" x="15868"/>
        <item h="1" x="15869"/>
        <item h="1" x="15870"/>
        <item h="1" x="15871"/>
        <item h="1" x="15872"/>
        <item h="1" x="15873"/>
        <item h="1" x="15874"/>
        <item h="1" x="15875"/>
        <item h="1" x="15876"/>
        <item h="1" x="15877"/>
        <item h="1" x="15878"/>
        <item h="1" x="15879"/>
        <item h="1" x="15880"/>
        <item h="1" x="15881"/>
        <item h="1" x="15882"/>
        <item h="1" x="15883"/>
        <item h="1" x="15884"/>
        <item h="1" x="15885"/>
        <item h="1" x="15886"/>
        <item h="1" x="15887"/>
        <item h="1" x="15888"/>
        <item h="1" x="15889"/>
        <item h="1" x="15890"/>
        <item h="1" x="15891"/>
        <item h="1" x="15892"/>
        <item h="1" x="15893"/>
        <item h="1" x="15894"/>
        <item h="1" x="15895"/>
        <item h="1" x="15896"/>
        <item h="1" x="15897"/>
        <item h="1" x="15898"/>
        <item h="1" x="15899"/>
        <item h="1" x="15900"/>
        <item h="1" x="15901"/>
        <item h="1" x="15902"/>
        <item h="1" x="15903"/>
        <item h="1" x="15904"/>
        <item h="1" x="15905"/>
        <item h="1" x="15906"/>
        <item h="1" x="15907"/>
        <item h="1" x="15908"/>
        <item h="1" x="15909"/>
        <item h="1" x="15910"/>
        <item h="1" x="15911"/>
        <item h="1" x="15912"/>
        <item h="1" x="15913"/>
        <item h="1" x="15914"/>
        <item h="1" x="15915"/>
        <item h="1" x="15916"/>
        <item h="1" x="15917"/>
        <item h="1" x="15918"/>
        <item h="1" x="15919"/>
        <item h="1" x="15920"/>
        <item h="1" x="15921"/>
        <item h="1" x="15922"/>
        <item h="1" x="15923"/>
        <item h="1" x="15924"/>
        <item h="1" x="15925"/>
        <item h="1" x="15926"/>
        <item h="1" x="15927"/>
        <item h="1" x="15928"/>
        <item h="1" x="15929"/>
        <item h="1" x="15930"/>
        <item h="1" x="15931"/>
        <item h="1" x="15932"/>
        <item h="1" x="15933"/>
        <item h="1" x="15934"/>
        <item h="1" x="15935"/>
        <item h="1" x="15936"/>
        <item h="1" x="15937"/>
        <item h="1" x="15938"/>
        <item h="1" x="15939"/>
        <item h="1" x="15940"/>
        <item h="1" x="15941"/>
        <item h="1" x="15942"/>
        <item h="1" x="15943"/>
        <item h="1" x="15944"/>
        <item h="1" x="15945"/>
        <item h="1" x="15946"/>
        <item h="1" x="15947"/>
        <item h="1" x="15948"/>
        <item h="1" x="15949"/>
        <item h="1" x="15950"/>
        <item h="1" x="15951"/>
        <item h="1" x="15952"/>
        <item h="1" x="15953"/>
        <item h="1" x="15954"/>
        <item h="1" x="15955"/>
        <item h="1" x="15956"/>
        <item h="1" x="15957"/>
        <item h="1" x="15958"/>
        <item h="1" x="15959"/>
        <item h="1" x="15960"/>
        <item h="1" x="15961"/>
        <item h="1" x="15962"/>
        <item h="1" x="15963"/>
        <item h="1" x="15964"/>
        <item h="1" x="15965"/>
        <item h="1" x="15966"/>
        <item h="1" x="15967"/>
        <item h="1" x="15968"/>
        <item h="1" x="15969"/>
        <item h="1" x="15970"/>
        <item h="1" x="15971"/>
        <item h="1" x="15972"/>
        <item h="1" x="15973"/>
        <item h="1" x="15974"/>
        <item h="1" x="15975"/>
        <item h="1" x="15976"/>
        <item h="1" x="15977"/>
        <item h="1" x="15978"/>
        <item h="1" x="15979"/>
        <item h="1" x="15980"/>
        <item h="1" x="15981"/>
        <item h="1" x="15982"/>
        <item h="1" x="15983"/>
        <item h="1" x="15984"/>
        <item h="1" x="15985"/>
        <item h="1" x="15986"/>
        <item h="1" x="15987"/>
        <item h="1" x="15988"/>
        <item h="1" x="15989"/>
        <item h="1" x="15990"/>
        <item h="1" x="15991"/>
        <item h="1" x="15992"/>
        <item h="1" x="15993"/>
        <item h="1" x="15994"/>
        <item h="1" x="15995"/>
        <item h="1" x="15996"/>
        <item h="1" x="15997"/>
        <item h="1" x="15998"/>
        <item h="1" x="15999"/>
        <item h="1" x="16000"/>
        <item h="1" x="16001"/>
        <item h="1" x="16002"/>
        <item h="1" x="16003"/>
        <item h="1" x="16004"/>
        <item h="1" x="16005"/>
        <item h="1" x="16006"/>
        <item h="1" x="16007"/>
        <item h="1" x="16008"/>
        <item h="1" x="16009"/>
        <item h="1" x="16010"/>
        <item h="1" x="16011"/>
        <item h="1" x="16012"/>
        <item h="1" x="16013"/>
        <item h="1" x="16014"/>
        <item h="1" x="16015"/>
        <item h="1" x="16016"/>
        <item h="1" x="16017"/>
        <item h="1" x="16018"/>
        <item h="1" x="16019"/>
        <item h="1" x="16020"/>
        <item h="1" x="16021"/>
        <item h="1" x="16022"/>
        <item h="1" x="16023"/>
        <item h="1" x="16024"/>
        <item h="1" x="16025"/>
        <item h="1" x="16026"/>
        <item h="1" x="16027"/>
        <item h="1" x="16028"/>
        <item h="1" x="16029"/>
        <item h="1" x="16030"/>
        <item h="1" x="16031"/>
        <item h="1" x="16032"/>
        <item h="1" x="16033"/>
        <item h="1" x="16034"/>
        <item h="1" x="16035"/>
        <item h="1" x="16036"/>
        <item h="1" x="16037"/>
        <item h="1" x="16038"/>
        <item h="1" x="16039"/>
        <item h="1" x="16040"/>
        <item h="1" x="16041"/>
        <item h="1" x="16042"/>
        <item h="1" x="16043"/>
        <item h="1" x="16044"/>
        <item h="1" x="16045"/>
        <item h="1" x="16046"/>
        <item h="1" x="16047"/>
        <item h="1" x="16048"/>
        <item h="1" x="16049"/>
        <item h="1" x="16050"/>
        <item h="1" x="16051"/>
        <item h="1" x="16052"/>
        <item h="1" x="16053"/>
        <item h="1" x="16054"/>
        <item h="1" x="16055"/>
        <item h="1" x="16056"/>
        <item h="1" x="16057"/>
        <item h="1" x="16058"/>
        <item h="1" x="16059"/>
        <item h="1" x="16060"/>
        <item h="1" x="16061"/>
        <item h="1" x="16062"/>
        <item h="1" x="16063"/>
        <item h="1" x="16064"/>
        <item h="1" x="16065"/>
        <item h="1" x="16066"/>
        <item h="1" x="16067"/>
        <item h="1" x="16068"/>
        <item h="1" x="16069"/>
        <item h="1" x="16070"/>
        <item h="1" x="16071"/>
        <item h="1" x="16072"/>
        <item h="1" x="16073"/>
        <item h="1" x="16074"/>
        <item h="1" x="16075"/>
        <item h="1" x="16076"/>
        <item h="1" x="16077"/>
        <item h="1" x="16078"/>
        <item h="1" x="16079"/>
        <item h="1" x="16080"/>
        <item h="1" x="16081"/>
        <item h="1" x="16082"/>
        <item h="1" x="16083"/>
        <item h="1" x="16084"/>
        <item h="1" x="16085"/>
        <item h="1" x="16086"/>
        <item h="1" x="16087"/>
        <item h="1" x="16088"/>
        <item h="1" x="16089"/>
        <item h="1" x="16090"/>
        <item h="1" x="16091"/>
        <item h="1" x="16092"/>
        <item h="1" x="16093"/>
        <item h="1" x="16094"/>
        <item h="1" x="16095"/>
        <item h="1" x="16096"/>
        <item h="1" x="16097"/>
        <item h="1" x="16098"/>
        <item h="1" x="16099"/>
        <item h="1" x="16100"/>
        <item h="1" x="16101"/>
        <item h="1" x="16102"/>
        <item h="1" x="16103"/>
        <item h="1" x="16104"/>
        <item h="1" x="16105"/>
        <item h="1" x="16106"/>
        <item h="1" x="16107"/>
        <item h="1" x="16108"/>
        <item h="1" x="16109"/>
        <item h="1" x="16110"/>
        <item h="1" x="16111"/>
        <item h="1" x="16112"/>
        <item h="1" x="16113"/>
        <item h="1" x="16114"/>
        <item h="1" x="16115"/>
        <item h="1" x="16116"/>
        <item h="1" x="16117"/>
        <item h="1" x="16118"/>
        <item h="1" x="16119"/>
        <item h="1" x="16120"/>
        <item h="1" x="16121"/>
        <item h="1" x="16122"/>
        <item h="1" x="16123"/>
        <item h="1" x="16124"/>
        <item h="1" x="16125"/>
        <item h="1" x="16126"/>
        <item h="1" x="16127"/>
        <item h="1" x="16128"/>
        <item h="1" x="16129"/>
        <item h="1" x="16130"/>
        <item h="1" x="16131"/>
        <item h="1" x="16132"/>
        <item h="1" x="16133"/>
        <item h="1" x="16134"/>
        <item h="1" x="16135"/>
        <item h="1" x="16136"/>
        <item h="1" x="16137"/>
        <item h="1" x="16138"/>
        <item h="1" x="16139"/>
        <item h="1" x="16140"/>
        <item h="1" x="16141"/>
        <item h="1" x="16142"/>
        <item h="1" x="16143"/>
        <item h="1" x="16144"/>
        <item h="1" x="16145"/>
        <item h="1" x="16146"/>
        <item h="1" x="16147"/>
        <item h="1" x="16148"/>
        <item h="1" x="16149"/>
        <item h="1" x="16150"/>
        <item h="1" x="16151"/>
        <item h="1" x="16152"/>
        <item h="1" x="16153"/>
        <item h="1" x="16154"/>
        <item h="1" x="16155"/>
        <item h="1" x="16156"/>
        <item h="1" x="16157"/>
        <item h="1" x="16158"/>
        <item h="1" x="16159"/>
        <item h="1" x="16160"/>
        <item h="1" x="16161"/>
        <item h="1" x="16162"/>
        <item h="1" x="16163"/>
        <item h="1" x="16164"/>
        <item h="1" x="16165"/>
        <item h="1" x="16166"/>
        <item h="1" x="16167"/>
        <item h="1" x="16168"/>
        <item h="1" x="16169"/>
        <item h="1" x="16170"/>
        <item h="1" x="16171"/>
        <item h="1" x="16172"/>
        <item h="1" x="16173"/>
        <item h="1" x="16174"/>
        <item h="1" x="16175"/>
        <item h="1" x="16176"/>
        <item h="1" x="16177"/>
        <item h="1" x="16178"/>
        <item h="1" x="16179"/>
        <item h="1" x="16180"/>
        <item h="1" x="16181"/>
        <item h="1" x="16182"/>
        <item h="1" x="16183"/>
        <item h="1" x="16184"/>
        <item h="1" x="16185"/>
        <item h="1" x="16186"/>
        <item h="1" x="16187"/>
        <item h="1" x="16188"/>
        <item h="1" x="16189"/>
        <item h="1" x="16190"/>
        <item h="1" x="16191"/>
        <item h="1" x="16192"/>
        <item h="1" x="16193"/>
        <item h="1" x="16194"/>
        <item h="1" x="16195"/>
        <item h="1" x="16196"/>
        <item h="1" x="16197"/>
        <item h="1" x="16198"/>
        <item h="1" x="16199"/>
        <item h="1" x="16200"/>
        <item h="1" x="16201"/>
        <item h="1" x="16202"/>
        <item h="1" x="16203"/>
        <item h="1" x="16204"/>
        <item h="1" x="16205"/>
        <item h="1" x="16206"/>
        <item h="1" x="16207"/>
        <item h="1" x="16208"/>
        <item h="1" x="16209"/>
        <item h="1" x="16210"/>
        <item h="1" x="16211"/>
        <item h="1" x="16212"/>
        <item h="1" x="16213"/>
        <item h="1" x="16214"/>
        <item h="1" x="16215"/>
        <item h="1" x="16216"/>
        <item h="1" x="16217"/>
        <item h="1" x="16218"/>
        <item h="1" x="16219"/>
        <item h="1" x="16220"/>
        <item h="1" x="16221"/>
        <item h="1" x="16222"/>
        <item h="1" x="16223"/>
        <item h="1" x="16224"/>
        <item h="1" x="16225"/>
        <item h="1" x="16226"/>
        <item h="1" x="16227"/>
        <item h="1" x="16228"/>
        <item h="1" x="16229"/>
        <item h="1" x="16230"/>
        <item h="1" x="16231"/>
        <item h="1" x="16232"/>
        <item h="1" x="16233"/>
        <item h="1" x="16234"/>
        <item h="1" x="16235"/>
        <item h="1" x="16236"/>
        <item h="1" x="16237"/>
        <item h="1" x="16238"/>
        <item h="1" x="16239"/>
        <item h="1" x="16240"/>
        <item h="1" x="16241"/>
        <item h="1" x="16242"/>
        <item h="1" x="16243"/>
        <item h="1" x="16244"/>
        <item h="1" x="16245"/>
        <item h="1" x="16246"/>
        <item h="1" x="16247"/>
        <item h="1" x="16248"/>
        <item h="1" x="16249"/>
        <item h="1" x="16250"/>
        <item h="1" x="16251"/>
        <item h="1" x="16252"/>
        <item h="1" x="16253"/>
        <item h="1" x="16254"/>
        <item h="1" x="16255"/>
        <item h="1" x="16256"/>
        <item h="1" x="16257"/>
        <item h="1" x="16258"/>
        <item h="1" x="16259"/>
        <item h="1" x="16260"/>
        <item h="1" x="16261"/>
        <item h="1" x="16262"/>
        <item h="1" x="16263"/>
        <item h="1" x="16264"/>
        <item h="1" x="16265"/>
        <item h="1" x="16266"/>
        <item h="1" x="16267"/>
        <item h="1" x="16268"/>
        <item h="1" x="16269"/>
        <item h="1" x="16270"/>
        <item h="1" x="16271"/>
        <item h="1" x="16272"/>
        <item h="1" x="16273"/>
        <item h="1" x="16274"/>
        <item h="1" x="16275"/>
        <item h="1" x="16276"/>
        <item h="1" x="16277"/>
        <item h="1" x="16278"/>
        <item h="1" x="16279"/>
        <item h="1" x="16280"/>
        <item h="1" x="16281"/>
        <item h="1" x="16282"/>
        <item h="1" x="16283"/>
        <item h="1" x="16284"/>
        <item h="1" x="16285"/>
        <item h="1" x="16286"/>
        <item h="1" x="16287"/>
        <item h="1" x="16288"/>
        <item h="1" x="16289"/>
        <item h="1" x="16290"/>
        <item h="1" x="16291"/>
        <item h="1" x="16292"/>
        <item h="1" x="16293"/>
        <item h="1" x="16294"/>
        <item h="1" x="16295"/>
        <item h="1" x="16296"/>
        <item h="1" x="16297"/>
        <item h="1" x="16298"/>
        <item h="1" x="16299"/>
        <item h="1" x="16300"/>
        <item h="1" x="16301"/>
        <item h="1" x="16302"/>
        <item h="1" x="16303"/>
        <item h="1" x="16304"/>
        <item h="1" x="16305"/>
        <item h="1" x="16306"/>
        <item h="1" x="16307"/>
        <item h="1" x="16308"/>
        <item h="1" x="16309"/>
        <item h="1" x="16310"/>
        <item h="1" x="16311"/>
        <item h="1" x="16312"/>
        <item h="1" x="16313"/>
        <item h="1" x="16314"/>
        <item h="1" x="16315"/>
        <item h="1" x="16316"/>
        <item h="1" x="16317"/>
        <item h="1" x="16318"/>
        <item h="1" x="16319"/>
        <item h="1" x="16320"/>
        <item h="1" x="16321"/>
        <item h="1" x="16322"/>
        <item h="1" x="16323"/>
        <item h="1" x="16324"/>
        <item h="1" x="16325"/>
        <item h="1" x="16326"/>
        <item h="1" x="16327"/>
        <item h="1" x="16328"/>
        <item h="1" x="16329"/>
        <item h="1" x="16330"/>
        <item h="1" x="16331"/>
        <item h="1" x="16332"/>
        <item h="1" x="16333"/>
        <item h="1" x="16334"/>
        <item h="1" x="16335"/>
        <item h="1" x="16336"/>
        <item h="1" x="16337"/>
        <item h="1" x="16338"/>
        <item h="1" x="16339"/>
        <item h="1" x="16340"/>
        <item h="1" x="16341"/>
        <item h="1" x="16342"/>
        <item h="1" x="16343"/>
        <item h="1" x="16344"/>
        <item h="1" x="16345"/>
        <item h="1" x="16346"/>
        <item h="1" x="16347"/>
        <item h="1" x="16348"/>
        <item h="1" x="16349"/>
        <item h="1" x="16350"/>
        <item h="1" x="16351"/>
        <item h="1" x="16352"/>
        <item h="1" x="16353"/>
        <item h="1" x="16354"/>
        <item h="1" x="16355"/>
        <item h="1" x="16356"/>
        <item h="1" x="16357"/>
        <item h="1" x="16358"/>
        <item h="1" x="16359"/>
        <item h="1" x="16360"/>
        <item h="1" x="16361"/>
        <item h="1" x="16362"/>
        <item h="1" x="16363"/>
        <item h="1" x="16364"/>
        <item h="1" x="16365"/>
        <item h="1" x="16366"/>
        <item h="1" x="16367"/>
        <item h="1" x="16368"/>
        <item h="1" x="16369"/>
        <item h="1" x="16370"/>
        <item h="1" x="16371"/>
        <item h="1" x="16372"/>
        <item h="1" x="16373"/>
        <item h="1" x="16374"/>
        <item h="1" x="16375"/>
        <item h="1" x="16376"/>
        <item h="1" x="16377"/>
        <item h="1" x="16378"/>
        <item h="1" x="16379"/>
        <item h="1" x="16380"/>
        <item h="1" x="16381"/>
        <item h="1" x="16382"/>
        <item h="1" x="16383"/>
        <item h="1" x="16384"/>
        <item h="1" x="16385"/>
        <item h="1" x="16386"/>
        <item h="1" x="16387"/>
        <item h="1" x="16388"/>
        <item h="1" x="16389"/>
        <item h="1" x="16390"/>
        <item h="1" x="16391"/>
        <item h="1" x="16392"/>
        <item h="1" x="16393"/>
        <item h="1" x="16394"/>
        <item h="1" x="16395"/>
        <item h="1" x="16396"/>
        <item h="1" x="16397"/>
        <item h="1" x="16398"/>
        <item h="1" x="16399"/>
        <item h="1" x="16400"/>
        <item h="1" x="16401"/>
        <item h="1" x="16402"/>
        <item h="1" x="16403"/>
        <item h="1" x="16404"/>
        <item h="1" x="16405"/>
        <item h="1" x="16406"/>
        <item h="1" x="16407"/>
        <item h="1" x="16408"/>
        <item h="1" x="16409"/>
        <item h="1" x="16410"/>
        <item h="1" x="16411"/>
        <item h="1" x="16412"/>
        <item h="1" x="16413"/>
        <item h="1" x="16414"/>
        <item h="1" x="16415"/>
        <item h="1" x="16416"/>
        <item h="1" x="16417"/>
        <item h="1" x="16418"/>
        <item h="1" x="16419"/>
        <item h="1" x="16420"/>
        <item h="1" x="16421"/>
        <item h="1" x="16422"/>
        <item h="1" x="16423"/>
        <item h="1" x="16424"/>
        <item h="1" x="16425"/>
        <item h="1" x="16426"/>
        <item h="1" x="16427"/>
        <item h="1" x="16428"/>
        <item h="1" x="16429"/>
        <item h="1" x="16430"/>
        <item h="1" x="16431"/>
        <item h="1" x="16432"/>
        <item h="1" x="16433"/>
        <item h="1" x="16434"/>
        <item h="1" x="16435"/>
        <item h="1" x="16436"/>
        <item h="1" x="16437"/>
        <item h="1" x="16438"/>
        <item h="1" x="16439"/>
        <item h="1" x="16440"/>
        <item h="1" x="16441"/>
        <item h="1" x="16442"/>
        <item h="1" x="16443"/>
        <item h="1" x="16444"/>
        <item h="1" x="16445"/>
        <item h="1" x="16446"/>
        <item h="1" x="16447"/>
        <item h="1" x="16448"/>
        <item h="1" x="16449"/>
        <item h="1" x="16450"/>
        <item h="1" x="16451"/>
        <item h="1" x="16452"/>
        <item h="1" x="16453"/>
        <item h="1" x="16454"/>
        <item h="1" x="16455"/>
        <item h="1" x="16456"/>
        <item h="1" x="16457"/>
        <item h="1" x="16458"/>
        <item h="1" x="16459"/>
        <item h="1" x="16460"/>
        <item h="1" x="16461"/>
        <item h="1" x="16462"/>
        <item h="1" x="16463"/>
        <item h="1" x="16464"/>
        <item h="1" x="16465"/>
        <item h="1" x="16466"/>
        <item h="1" x="16467"/>
        <item h="1" x="16468"/>
        <item h="1" x="16469"/>
        <item h="1" x="16470"/>
        <item h="1" x="16471"/>
        <item h="1" x="16472"/>
        <item h="1" x="16473"/>
        <item h="1" x="16474"/>
        <item h="1" x="16475"/>
        <item h="1" x="16476"/>
        <item h="1" x="16477"/>
        <item h="1" x="16478"/>
        <item h="1" x="16479"/>
        <item h="1" x="16480"/>
        <item h="1" x="16481"/>
        <item h="1" x="16482"/>
        <item h="1" x="16483"/>
        <item h="1" x="16484"/>
        <item h="1" x="16485"/>
        <item h="1" x="16486"/>
        <item h="1" x="16487"/>
        <item h="1" x="16488"/>
        <item h="1" x="16489"/>
        <item h="1" x="16490"/>
        <item h="1" x="16491"/>
        <item h="1" x="16492"/>
        <item h="1" x="16493"/>
        <item h="1" x="16494"/>
        <item h="1" x="16495"/>
        <item h="1" x="16496"/>
        <item h="1" x="16497"/>
        <item h="1" x="16498"/>
        <item h="1" x="16499"/>
        <item h="1" x="16500"/>
        <item h="1" x="16501"/>
        <item h="1" x="16502"/>
        <item h="1" x="16503"/>
        <item h="1" x="16504"/>
        <item h="1" x="16505"/>
        <item h="1" x="16506"/>
        <item h="1" x="16507"/>
        <item h="1" x="16508"/>
        <item h="1" x="16509"/>
        <item h="1" x="16510"/>
        <item h="1" x="16511"/>
        <item h="1" x="16512"/>
        <item h="1" x="16513"/>
        <item h="1" x="16514"/>
        <item h="1" x="16515"/>
        <item h="1" x="16516"/>
        <item h="1" x="16517"/>
        <item h="1" x="16518"/>
        <item h="1" x="16519"/>
        <item h="1" x="16520"/>
        <item h="1" x="16521"/>
        <item h="1" x="16522"/>
        <item h="1" x="16523"/>
        <item h="1" x="16524"/>
        <item h="1" x="16525"/>
        <item h="1" x="16526"/>
        <item h="1" x="16527"/>
        <item h="1" x="16528"/>
        <item h="1" x="16529"/>
        <item h="1" x="16530"/>
        <item h="1" x="16531"/>
        <item h="1" x="16532"/>
        <item h="1" x="16533"/>
        <item h="1" x="16534"/>
        <item h="1" x="16535"/>
        <item h="1" x="16536"/>
        <item h="1" x="16537"/>
        <item h="1" x="16538"/>
        <item h="1" x="16539"/>
        <item h="1" x="16540"/>
        <item h="1" x="16541"/>
        <item h="1" x="16542"/>
        <item h="1" x="16543"/>
        <item h="1" x="16544"/>
        <item h="1" x="16545"/>
        <item h="1" x="16546"/>
        <item h="1" x="16547"/>
        <item h="1" x="16548"/>
        <item h="1" x="16549"/>
        <item h="1" x="16550"/>
        <item h="1" x="16551"/>
        <item h="1" x="16552"/>
        <item h="1" x="16553"/>
        <item h="1" x="16554"/>
        <item h="1" x="16555"/>
        <item h="1" x="16556"/>
        <item h="1" x="16557"/>
        <item h="1" x="16558"/>
        <item h="1" x="16559"/>
        <item h="1" x="16560"/>
        <item h="1" x="16561"/>
        <item h="1" x="16562"/>
        <item h="1" x="16563"/>
        <item h="1" x="16564"/>
        <item h="1" x="16565"/>
        <item h="1" x="16566"/>
        <item h="1" x="16567"/>
        <item h="1" x="16568"/>
        <item h="1" x="16569"/>
        <item h="1" x="16570"/>
        <item h="1" x="16571"/>
        <item h="1" x="16572"/>
        <item h="1" x="16573"/>
        <item h="1" x="16574"/>
        <item h="1" x="16575"/>
        <item h="1" x="16576"/>
        <item h="1" x="16577"/>
        <item h="1" x="16578"/>
        <item h="1" x="16579"/>
        <item h="1" x="16580"/>
        <item h="1" x="16581"/>
        <item h="1" x="16582"/>
        <item h="1" x="16583"/>
        <item h="1" x="16584"/>
        <item h="1" x="16585"/>
        <item h="1" x="16586"/>
        <item h="1" x="16587"/>
        <item h="1" x="16588"/>
        <item h="1" x="16589"/>
        <item h="1" x="16590"/>
        <item h="1" x="16591"/>
        <item h="1" x="16592"/>
        <item h="1" x="16593"/>
        <item h="1" x="16594"/>
        <item h="1" x="16595"/>
        <item h="1" x="16596"/>
        <item h="1" x="16597"/>
        <item h="1" x="16598"/>
        <item h="1" x="16599"/>
        <item h="1" x="16600"/>
        <item h="1" x="16601"/>
        <item h="1" x="16602"/>
        <item h="1" x="16603"/>
        <item h="1" x="16604"/>
        <item h="1" x="16605"/>
        <item h="1" x="16606"/>
        <item h="1" x="16607"/>
        <item h="1" x="16608"/>
        <item h="1" x="16609"/>
        <item h="1" x="16610"/>
        <item h="1" x="16611"/>
        <item h="1" x="16612"/>
        <item h="1" x="16613"/>
        <item h="1" x="16614"/>
        <item h="1" x="16615"/>
        <item h="1" x="16616"/>
        <item h="1" x="16617"/>
        <item h="1" x="16618"/>
        <item h="1" x="16619"/>
        <item h="1" x="16620"/>
        <item h="1" x="16621"/>
        <item h="1" x="16622"/>
        <item h="1" x="16623"/>
        <item h="1" x="16624"/>
        <item h="1" x="16625"/>
        <item h="1" x="16626"/>
        <item h="1" x="16627"/>
        <item h="1" x="16628"/>
        <item h="1" x="16629"/>
        <item h="1" x="16630"/>
        <item h="1" x="16631"/>
        <item h="1" x="16632"/>
        <item h="1" x="16633"/>
        <item h="1" x="16634"/>
        <item h="1" x="16635"/>
        <item h="1" x="16636"/>
        <item h="1" x="16637"/>
        <item h="1" x="16638"/>
        <item h="1" x="16639"/>
        <item h="1" x="16640"/>
        <item h="1" x="16641"/>
        <item h="1" x="16642"/>
        <item h="1" x="16643"/>
        <item h="1" x="16644"/>
        <item h="1" x="16645"/>
        <item h="1" x="16646"/>
        <item h="1" x="16647"/>
        <item h="1" x="16648"/>
        <item h="1" x="16649"/>
        <item h="1" x="16650"/>
        <item h="1" x="16651"/>
        <item h="1" x="16652"/>
        <item h="1" x="16653"/>
        <item h="1" x="16654"/>
        <item h="1" x="16655"/>
        <item h="1" x="16656"/>
        <item h="1" x="16657"/>
        <item h="1" x="16658"/>
        <item h="1" x="16659"/>
        <item h="1" x="16660"/>
        <item h="1" x="16661"/>
        <item h="1" x="16662"/>
        <item h="1" x="16663"/>
        <item h="1" x="16664"/>
        <item h="1" x="16665"/>
        <item h="1" x="16666"/>
        <item h="1" x="16667"/>
        <item h="1" x="16668"/>
        <item h="1" x="16669"/>
        <item h="1" x="16670"/>
        <item h="1" x="16671"/>
        <item h="1" x="16672"/>
        <item h="1" x="16673"/>
        <item h="1" x="16674"/>
        <item h="1" x="16675"/>
        <item h="1" x="16676"/>
        <item h="1" x="16677"/>
        <item h="1" x="16678"/>
        <item h="1" x="16679"/>
        <item h="1" x="16680"/>
        <item h="1" x="16681"/>
        <item h="1" x="16682"/>
        <item h="1" x="16683"/>
        <item h="1" x="16684"/>
        <item h="1" x="16685"/>
        <item h="1" x="16686"/>
        <item h="1" x="16687"/>
        <item h="1" x="16688"/>
        <item h="1" x="16689"/>
        <item h="1" x="16690"/>
        <item h="1" x="16691"/>
        <item h="1" x="16692"/>
        <item h="1" x="16693"/>
        <item h="1" x="16694"/>
        <item h="1" x="16695"/>
        <item h="1" x="16696"/>
        <item h="1" x="16697"/>
        <item h="1" x="16698"/>
        <item h="1" x="16699"/>
        <item h="1" x="16700"/>
        <item h="1" x="16701"/>
        <item h="1" x="16702"/>
        <item h="1" x="16703"/>
        <item h="1" x="16704"/>
        <item h="1" x="16705"/>
        <item h="1" x="16706"/>
        <item h="1" x="16707"/>
        <item h="1" x="16708"/>
        <item h="1" x="16709"/>
        <item h="1" x="16710"/>
        <item h="1" x="16711"/>
        <item h="1" x="16712"/>
        <item h="1" x="16713"/>
        <item h="1" x="16714"/>
        <item h="1" x="16715"/>
        <item h="1" x="16716"/>
        <item h="1" x="16717"/>
        <item h="1" x="16718"/>
        <item h="1" x="16719"/>
        <item h="1" x="16720"/>
        <item h="1" x="16721"/>
        <item h="1" x="16722"/>
        <item h="1" x="16723"/>
        <item h="1" x="16724"/>
        <item h="1" x="16725"/>
        <item h="1" x="16726"/>
        <item h="1" x="16727"/>
        <item h="1" x="16728"/>
        <item h="1" x="16729"/>
        <item h="1" x="16730"/>
        <item h="1" x="16731"/>
        <item h="1" x="16732"/>
        <item h="1" x="16733"/>
        <item h="1" x="16734"/>
        <item h="1" x="16735"/>
        <item h="1" x="16736"/>
        <item h="1" x="16737"/>
        <item h="1" x="16738"/>
        <item h="1" x="16739"/>
        <item h="1" x="16740"/>
        <item h="1" x="16741"/>
        <item h="1" x="16742"/>
        <item h="1" x="16743"/>
        <item h="1" x="16744"/>
        <item h="1" x="16745"/>
        <item h="1" x="16746"/>
        <item h="1" x="16747"/>
        <item h="1" x="16748"/>
        <item h="1" x="16749"/>
        <item h="1" x="16750"/>
        <item h="1" x="16751"/>
        <item h="1" x="16752"/>
        <item h="1" x="16753"/>
        <item h="1" x="16754"/>
        <item h="1" x="16755"/>
        <item h="1" x="16756"/>
        <item h="1" x="16757"/>
        <item h="1" x="16758"/>
        <item h="1" x="16759"/>
        <item h="1" x="16760"/>
        <item h="1" x="16761"/>
        <item h="1" x="16762"/>
        <item h="1" x="16763"/>
        <item h="1" x="16764"/>
        <item h="1" x="16765"/>
        <item h="1" x="16766"/>
        <item h="1" x="16767"/>
        <item h="1" x="16768"/>
        <item h="1" x="16769"/>
        <item h="1" x="16770"/>
        <item h="1" x="16771"/>
        <item h="1" x="16772"/>
        <item h="1" x="16773"/>
        <item h="1" x="16774"/>
        <item h="1" x="16775"/>
        <item h="1" x="16776"/>
        <item h="1" x="16777"/>
        <item h="1" x="16778"/>
        <item h="1" x="16779"/>
        <item h="1" x="16780"/>
        <item h="1" x="16781"/>
        <item h="1" x="16782"/>
        <item h="1" x="16783"/>
        <item h="1" x="16784"/>
        <item h="1" x="16785"/>
        <item h="1" x="16786"/>
        <item h="1" x="16787"/>
        <item h="1" x="16788"/>
        <item h="1" x="16789"/>
        <item h="1" x="16790"/>
        <item h="1" x="16791"/>
        <item h="1" x="16792"/>
        <item h="1" x="16793"/>
        <item h="1" x="16794"/>
        <item h="1" x="16795"/>
        <item h="1" x="16796"/>
        <item h="1" x="16797"/>
        <item h="1" x="16798"/>
        <item h="1" x="16799"/>
        <item h="1" x="16800"/>
        <item h="1" x="16801"/>
        <item h="1" x="16802"/>
        <item h="1" x="16803"/>
        <item h="1" x="16804"/>
        <item h="1" x="16805"/>
        <item h="1" x="16806"/>
        <item h="1" x="16807"/>
        <item h="1" x="16808"/>
        <item h="1" x="16809"/>
        <item h="1" x="16810"/>
        <item h="1" x="16811"/>
        <item h="1" x="16812"/>
        <item h="1" x="16813"/>
        <item h="1" x="16814"/>
        <item h="1" x="16815"/>
        <item h="1" x="16816"/>
        <item h="1" x="16817"/>
        <item h="1" x="16818"/>
        <item h="1" x="16819"/>
        <item h="1" x="16820"/>
        <item h="1" x="16821"/>
        <item h="1" x="16822"/>
        <item h="1" x="16823"/>
        <item h="1" x="16824"/>
        <item h="1" x="16825"/>
        <item h="1" x="16826"/>
        <item h="1" x="16827"/>
        <item h="1" x="16828"/>
        <item h="1" x="16829"/>
        <item h="1" x="16830"/>
        <item h="1" x="16831"/>
        <item h="1" x="16832"/>
        <item h="1" x="16833"/>
        <item h="1" x="16834"/>
        <item h="1" x="16835"/>
        <item h="1" x="16836"/>
        <item h="1" x="16837"/>
        <item h="1" x="16838"/>
        <item h="1" x="16839"/>
        <item h="1" x="16840"/>
        <item h="1" x="16841"/>
        <item h="1" x="16842"/>
        <item h="1" x="16843"/>
        <item h="1" x="16844"/>
        <item h="1" x="16845"/>
        <item h="1" x="16846"/>
        <item h="1" x="16847"/>
        <item h="1" x="16848"/>
        <item h="1" x="16849"/>
        <item h="1" x="16850"/>
        <item h="1" x="16851"/>
        <item h="1" x="16852"/>
        <item h="1" x="16853"/>
        <item h="1" x="16854"/>
        <item h="1" x="16855"/>
        <item h="1" x="16856"/>
        <item h="1" x="16857"/>
        <item h="1" x="16858"/>
        <item h="1" x="16859"/>
        <item h="1" x="16860"/>
        <item h="1" x="16861"/>
        <item h="1" x="16862"/>
        <item h="1" x="16863"/>
        <item h="1" x="16864"/>
        <item h="1" x="16865"/>
        <item h="1" x="16866"/>
        <item h="1" x="16867"/>
        <item h="1" x="16868"/>
        <item h="1" x="16869"/>
        <item h="1" x="16870"/>
        <item h="1" x="16871"/>
        <item h="1" x="16872"/>
        <item h="1" x="16873"/>
        <item h="1" x="16874"/>
        <item h="1" x="16875"/>
        <item h="1" x="16876"/>
        <item h="1" x="16877"/>
        <item h="1" x="16878"/>
        <item h="1" x="16879"/>
        <item h="1" x="16880"/>
        <item h="1" x="16881"/>
        <item h="1" x="16882"/>
        <item h="1" x="16883"/>
        <item h="1" x="16884"/>
        <item h="1" x="16885"/>
        <item h="1" x="16886"/>
        <item h="1" x="16887"/>
        <item h="1" x="16888"/>
        <item h="1" x="16889"/>
        <item h="1" x="16890"/>
        <item h="1" x="16891"/>
        <item h="1" x="16892"/>
        <item h="1" x="16893"/>
        <item h="1" x="16894"/>
        <item h="1" x="16895"/>
        <item h="1" x="16896"/>
        <item h="1" x="16897"/>
        <item h="1" x="16898"/>
        <item h="1" x="16899"/>
        <item h="1" x="16900"/>
        <item h="1" x="16901"/>
        <item h="1" x="16902"/>
        <item h="1" x="16903"/>
        <item h="1" x="16904"/>
        <item h="1" x="16905"/>
        <item h="1" x="16906"/>
        <item h="1" x="16907"/>
        <item h="1" x="16908"/>
        <item h="1" x="16909"/>
        <item h="1" x="16910"/>
        <item h="1" x="16911"/>
        <item h="1" x="16912"/>
        <item h="1" x="16913"/>
        <item h="1" x="16914"/>
        <item h="1" x="16915"/>
        <item h="1" x="16916"/>
        <item h="1" x="16917"/>
        <item h="1" x="16918"/>
        <item h="1" x="16919"/>
        <item h="1" x="16920"/>
        <item h="1" x="16921"/>
        <item h="1" x="16922"/>
        <item h="1" x="16923"/>
        <item h="1" x="16924"/>
        <item h="1" x="16925"/>
        <item h="1" x="16926"/>
        <item h="1" x="16927"/>
        <item h="1" x="16928"/>
        <item h="1" x="16929"/>
        <item h="1" x="16930"/>
        <item h="1" x="16931"/>
        <item h="1" x="16932"/>
        <item h="1" x="16933"/>
        <item h="1" x="16934"/>
        <item h="1" x="16935"/>
        <item h="1" x="16936"/>
        <item h="1" x="16937"/>
        <item h="1" x="16938"/>
        <item h="1" x="16939"/>
        <item h="1" x="16940"/>
        <item h="1" x="16941"/>
        <item h="1" x="16942"/>
        <item h="1" x="16943"/>
        <item h="1" x="16944"/>
        <item h="1" x="16945"/>
        <item h="1" x="16946"/>
        <item h="1" x="16947"/>
        <item h="1" x="16948"/>
        <item h="1" x="16949"/>
        <item h="1" x="16950"/>
        <item h="1" x="16951"/>
        <item h="1" x="16952"/>
        <item h="1" x="16953"/>
        <item h="1" x="16954"/>
        <item h="1" x="16955"/>
        <item h="1" x="16956"/>
        <item h="1" x="16957"/>
        <item h="1" x="16958"/>
        <item h="1" x="16959"/>
        <item h="1" x="16960"/>
        <item h="1" x="16961"/>
        <item h="1" x="16962"/>
        <item h="1" x="16963"/>
        <item h="1" x="16964"/>
        <item h="1" x="16965"/>
        <item h="1" x="16966"/>
        <item h="1" x="16967"/>
        <item h="1" x="16968"/>
        <item h="1" x="16969"/>
        <item h="1" x="16970"/>
        <item h="1" x="16971"/>
        <item h="1" x="16972"/>
        <item h="1" x="16973"/>
        <item h="1" x="16974"/>
        <item h="1" x="16975"/>
        <item h="1" x="16976"/>
        <item h="1" x="16977"/>
        <item h="1" x="16978"/>
        <item h="1" x="16979"/>
        <item h="1" x="16980"/>
        <item h="1" x="16981"/>
        <item h="1" x="16982"/>
        <item h="1" x="16983"/>
        <item h="1" x="16984"/>
        <item h="1" x="16985"/>
        <item h="1" x="16986"/>
        <item h="1" x="16987"/>
        <item h="1" x="16988"/>
        <item h="1" x="16989"/>
        <item h="1" x="16990"/>
        <item h="1" x="16991"/>
        <item h="1" x="16992"/>
        <item h="1" x="16993"/>
        <item h="1" x="16994"/>
        <item h="1" x="16995"/>
        <item h="1" x="16996"/>
        <item h="1" x="16997"/>
        <item h="1" x="16998"/>
        <item h="1" x="16999"/>
        <item h="1" x="17000"/>
        <item h="1" x="17001"/>
        <item h="1" x="17002"/>
        <item h="1" x="17003"/>
        <item h="1" x="17004"/>
        <item h="1" x="17005"/>
        <item h="1" x="17006"/>
        <item h="1" x="17007"/>
        <item h="1" x="17008"/>
        <item h="1" x="17009"/>
        <item h="1" x="17010"/>
        <item h="1" x="17011"/>
        <item h="1" x="17012"/>
        <item h="1" x="17013"/>
        <item h="1" x="17014"/>
        <item h="1" x="17015"/>
        <item h="1" x="17016"/>
        <item h="1" x="17017"/>
        <item h="1" x="17018"/>
        <item h="1" x="17019"/>
        <item h="1" x="17020"/>
        <item h="1" x="17021"/>
        <item h="1" x="17022"/>
        <item h="1" x="17023"/>
        <item h="1" x="17024"/>
        <item h="1" x="17025"/>
        <item h="1" x="17026"/>
        <item h="1" x="17027"/>
        <item h="1" x="17028"/>
        <item h="1" x="17029"/>
        <item h="1" x="17030"/>
        <item h="1" x="17031"/>
        <item h="1" x="17032"/>
        <item h="1" x="17033"/>
        <item h="1" x="17034"/>
        <item h="1" x="17035"/>
        <item h="1" x="17036"/>
        <item h="1" x="17037"/>
        <item h="1" x="17038"/>
        <item h="1" x="17039"/>
        <item h="1" x="17040"/>
        <item h="1" x="17041"/>
        <item h="1" x="17042"/>
        <item h="1" x="17043"/>
        <item h="1" x="17044"/>
        <item h="1" x="17045"/>
        <item h="1" x="17046"/>
        <item h="1" x="17047"/>
        <item h="1" x="17048"/>
        <item h="1" x="17049"/>
        <item h="1" x="17050"/>
        <item h="1" x="17051"/>
        <item h="1" x="17052"/>
        <item h="1" x="17053"/>
        <item h="1" x="17054"/>
        <item h="1" x="17055"/>
        <item h="1" x="17056"/>
        <item h="1" x="17057"/>
        <item h="1" x="17058"/>
        <item h="1" x="17059"/>
        <item h="1" x="17060"/>
        <item h="1" x="17061"/>
        <item h="1" x="17062"/>
        <item h="1" x="17063"/>
        <item h="1" x="17064"/>
        <item h="1" x="17065"/>
        <item h="1" x="17066"/>
        <item h="1" x="17067"/>
        <item h="1" x="17068"/>
        <item h="1" x="17069"/>
        <item h="1" x="17070"/>
        <item h="1" x="17071"/>
        <item h="1" x="17072"/>
        <item h="1" x="17073"/>
        <item h="1" x="17074"/>
        <item h="1" x="17075"/>
        <item h="1" x="17076"/>
        <item h="1" x="17077"/>
        <item h="1" x="17078"/>
        <item h="1" x="17079"/>
        <item h="1" x="17080"/>
        <item h="1" x="17081"/>
        <item h="1" x="17082"/>
        <item h="1" x="17083"/>
        <item h="1" x="17084"/>
        <item h="1" x="17085"/>
        <item h="1" x="17086"/>
        <item h="1" x="17087"/>
        <item h="1" x="17088"/>
        <item h="1" x="17089"/>
        <item h="1" x="17090"/>
        <item h="1" x="17091"/>
        <item h="1" x="17092"/>
        <item h="1" x="17093"/>
        <item h="1" x="17094"/>
        <item h="1" x="17095"/>
        <item h="1" x="17096"/>
        <item h="1" x="17097"/>
        <item h="1" x="17098"/>
        <item h="1" x="17099"/>
        <item h="1" x="17100"/>
        <item h="1" x="17101"/>
        <item h="1" x="17102"/>
        <item h="1" x="17103"/>
        <item h="1" x="17104"/>
        <item h="1" x="17105"/>
        <item h="1" x="17106"/>
        <item h="1" x="17107"/>
        <item h="1" x="17108"/>
        <item h="1" x="17109"/>
        <item h="1" x="17110"/>
        <item h="1" x="17111"/>
        <item h="1" x="17112"/>
        <item h="1" x="17113"/>
        <item h="1" x="17114"/>
        <item h="1" x="17115"/>
        <item h="1" x="17116"/>
        <item h="1" x="17117"/>
        <item h="1" x="17118"/>
        <item h="1" x="17119"/>
        <item h="1" x="17120"/>
        <item h="1" x="17121"/>
        <item h="1" x="17122"/>
        <item h="1" x="17123"/>
        <item h="1" x="17124"/>
        <item h="1" x="17125"/>
        <item h="1" x="17126"/>
        <item h="1" x="17127"/>
        <item h="1" x="17128"/>
        <item h="1" x="17129"/>
        <item h="1" x="17130"/>
        <item h="1" x="17131"/>
        <item h="1" x="17132"/>
        <item h="1" x="17133"/>
        <item h="1" x="17134"/>
        <item h="1" x="17135"/>
        <item h="1" x="17136"/>
        <item h="1" x="17137"/>
        <item h="1" x="17138"/>
        <item h="1" x="17139"/>
        <item h="1" x="17140"/>
        <item h="1" x="17141"/>
        <item h="1" x="17142"/>
        <item h="1" x="17143"/>
        <item h="1" x="17144"/>
        <item h="1" x="17145"/>
        <item h="1" x="17146"/>
        <item h="1" x="17147"/>
        <item h="1" x="17148"/>
        <item h="1" x="17149"/>
        <item h="1" x="17150"/>
        <item h="1" x="17151"/>
        <item h="1" x="17152"/>
        <item h="1" x="17153"/>
        <item h="1" x="17154"/>
        <item h="1" x="17155"/>
        <item h="1" x="17156"/>
        <item h="1" x="17157"/>
        <item h="1" x="17158"/>
        <item h="1" x="17159"/>
        <item h="1" x="17160"/>
        <item h="1" x="17161"/>
        <item h="1" x="17162"/>
        <item h="1" x="17163"/>
        <item h="1" x="17164"/>
        <item h="1" x="17165"/>
        <item h="1" x="17166"/>
        <item h="1" x="17167"/>
        <item h="1" x="17168"/>
        <item h="1" x="17169"/>
        <item h="1" x="17170"/>
        <item h="1" x="17171"/>
        <item h="1" x="17172"/>
        <item h="1" x="17173"/>
        <item h="1" x="17174"/>
        <item h="1" x="17175"/>
        <item h="1" x="17176"/>
        <item h="1" x="17177"/>
        <item h="1" x="17178"/>
        <item h="1" x="17179"/>
        <item h="1" x="17180"/>
        <item h="1" x="17181"/>
        <item h="1" x="17182"/>
        <item h="1" x="17183"/>
        <item h="1" x="17184"/>
        <item h="1" x="17185"/>
        <item h="1" x="17186"/>
        <item h="1" x="17187"/>
        <item h="1" x="17188"/>
        <item h="1" x="17189"/>
        <item h="1" x="17190"/>
        <item h="1" x="17191"/>
        <item h="1" x="17192"/>
        <item h="1" x="17193"/>
        <item h="1" x="17194"/>
        <item h="1" x="17195"/>
        <item h="1" x="17196"/>
        <item h="1" x="17197"/>
        <item h="1" x="17198"/>
        <item h="1" x="17199"/>
        <item h="1" x="17200"/>
        <item h="1" x="17201"/>
        <item h="1" x="17202"/>
        <item h="1" x="17203"/>
        <item h="1" x="17204"/>
        <item h="1" x="17205"/>
        <item h="1" x="17206"/>
        <item h="1" x="17207"/>
        <item h="1" x="17208"/>
        <item h="1" x="17209"/>
        <item h="1" x="17210"/>
        <item h="1" x="17211"/>
        <item h="1" x="17212"/>
        <item h="1" x="17213"/>
        <item h="1" x="17214"/>
        <item h="1" x="17215"/>
        <item h="1" x="17216"/>
        <item h="1" x="17217"/>
        <item h="1" x="17218"/>
        <item h="1" x="17219"/>
        <item h="1" x="17220"/>
        <item h="1" x="17221"/>
        <item h="1" x="17222"/>
        <item h="1" x="17223"/>
        <item h="1" x="17224"/>
        <item h="1" x="17225"/>
        <item h="1" x="17226"/>
        <item h="1" x="17227"/>
        <item h="1" x="17228"/>
        <item h="1" x="17229"/>
        <item h="1" x="17230"/>
        <item h="1" x="17231"/>
        <item h="1" x="17232"/>
        <item h="1" x="17233"/>
        <item h="1" x="17234"/>
        <item h="1" x="17235"/>
        <item h="1" x="17236"/>
        <item h="1" x="17237"/>
        <item h="1" x="17238"/>
        <item h="1" x="17239"/>
        <item h="1" x="17240"/>
        <item h="1" x="17241"/>
        <item h="1" x="17242"/>
        <item h="1" x="17243"/>
        <item h="1" x="17244"/>
        <item h="1" x="17245"/>
        <item h="1" x="17246"/>
        <item h="1" x="17247"/>
        <item h="1" x="17248"/>
        <item h="1" x="17249"/>
        <item h="1" x="17250"/>
        <item h="1" x="17251"/>
        <item h="1" x="17252"/>
        <item h="1" x="17253"/>
        <item h="1" x="17254"/>
        <item h="1" x="17255"/>
        <item h="1" x="17256"/>
        <item h="1" x="17257"/>
        <item h="1" x="17258"/>
        <item h="1" x="17259"/>
        <item h="1" x="17260"/>
        <item h="1" x="17261"/>
        <item h="1" x="17262"/>
        <item h="1" x="17263"/>
        <item h="1" x="17264"/>
        <item h="1" x="17265"/>
        <item h="1" x="17266"/>
        <item h="1" x="17267"/>
        <item h="1" x="17268"/>
        <item h="1" x="17269"/>
        <item h="1" x="17270"/>
        <item h="1" x="17271"/>
        <item h="1" x="17272"/>
        <item h="1" x="17273"/>
        <item h="1" x="17274"/>
        <item h="1" x="17275"/>
        <item h="1" x="17276"/>
        <item h="1" x="17277"/>
        <item h="1" x="17278"/>
        <item h="1" x="17279"/>
        <item h="1" x="17280"/>
        <item h="1" x="17281"/>
        <item h="1" x="17282"/>
        <item h="1" x="17283"/>
        <item h="1" x="17284"/>
        <item h="1" x="17285"/>
        <item h="1" x="17286"/>
        <item h="1" x="17287"/>
        <item h="1" x="17288"/>
        <item h="1" x="17289"/>
        <item h="1" x="17290"/>
        <item h="1" x="17291"/>
        <item h="1" x="17292"/>
        <item h="1" x="17293"/>
        <item h="1" x="17294"/>
        <item h="1" x="17295"/>
        <item h="1" x="17296"/>
        <item h="1" x="17297"/>
        <item h="1" x="17298"/>
        <item h="1" x="17299"/>
        <item h="1" x="17300"/>
        <item h="1" x="17301"/>
        <item h="1" x="17302"/>
        <item h="1" x="17303"/>
        <item h="1" x="17304"/>
        <item h="1" x="17305"/>
        <item h="1" x="17306"/>
        <item h="1" x="17307"/>
        <item h="1" x="17308"/>
        <item h="1" x="17309"/>
        <item h="1" x="17310"/>
        <item h="1" x="17311"/>
        <item h="1" x="17312"/>
        <item h="1" x="17313"/>
        <item h="1" x="17314"/>
        <item h="1" x="17315"/>
        <item h="1" x="17316"/>
        <item h="1" x="17317"/>
        <item h="1" x="17318"/>
        <item h="1" x="17319"/>
        <item h="1" x="17320"/>
        <item h="1" x="17321"/>
        <item h="1" x="17322"/>
        <item h="1" x="17323"/>
        <item h="1" x="17324"/>
        <item h="1" x="17325"/>
        <item h="1" x="17326"/>
        <item h="1" x="17327"/>
        <item h="1" x="17328"/>
        <item h="1" x="17329"/>
        <item h="1" x="17330"/>
        <item h="1" x="17331"/>
        <item h="1" x="17332"/>
        <item h="1" x="17333"/>
        <item h="1" x="17334"/>
        <item h="1" x="17335"/>
        <item h="1" x="17336"/>
        <item h="1" x="17337"/>
        <item h="1" x="17338"/>
        <item h="1" x="17339"/>
        <item h="1" x="17340"/>
        <item h="1" x="17341"/>
        <item h="1" x="17342"/>
        <item h="1" x="17343"/>
        <item h="1" x="17344"/>
        <item h="1" x="17345"/>
        <item h="1" x="17346"/>
        <item h="1" x="17347"/>
        <item h="1" x="17348"/>
        <item h="1" x="17349"/>
        <item h="1" x="17350"/>
        <item h="1" x="17351"/>
        <item h="1" x="17352"/>
        <item h="1" x="17353"/>
        <item h="1" x="17354"/>
        <item h="1" x="17355"/>
        <item h="1" x="17356"/>
        <item h="1" x="17357"/>
        <item h="1" x="17358"/>
        <item h="1" x="17359"/>
        <item h="1" x="17360"/>
        <item h="1" x="17361"/>
        <item h="1" x="17362"/>
        <item h="1" x="17363"/>
        <item h="1" x="17364"/>
        <item h="1" x="17365"/>
        <item h="1" x="17366"/>
        <item h="1" x="17367"/>
        <item h="1" x="17368"/>
        <item h="1" x="17369"/>
        <item h="1" x="17370"/>
        <item h="1" x="17371"/>
        <item h="1" x="17372"/>
        <item h="1" x="17373"/>
        <item h="1" x="17374"/>
        <item h="1" x="17375"/>
        <item h="1" x="17376"/>
        <item h="1" x="17377"/>
        <item h="1" x="17378"/>
        <item h="1" x="17379"/>
        <item h="1" x="17380"/>
        <item h="1" x="17381"/>
        <item h="1" x="17382"/>
        <item h="1" x="17383"/>
        <item h="1" x="17384"/>
        <item h="1" x="17385"/>
        <item h="1" x="17386"/>
        <item h="1" x="17387"/>
        <item h="1" x="17388"/>
        <item h="1" x="17389"/>
        <item h="1" x="17390"/>
        <item h="1" x="17391"/>
        <item h="1" x="17392"/>
        <item h="1" x="17393"/>
        <item h="1" x="17394"/>
        <item h="1" x="17395"/>
        <item h="1" x="17396"/>
        <item h="1" x="17397"/>
        <item h="1" x="17398"/>
        <item h="1" x="17399"/>
        <item h="1" x="17400"/>
        <item h="1" x="17401"/>
        <item h="1" x="17402"/>
        <item h="1" x="17403"/>
        <item h="1" x="17404"/>
        <item h="1" x="17405"/>
        <item h="1" x="17406"/>
        <item h="1" x="17407"/>
        <item h="1" x="17408"/>
        <item h="1" x="17409"/>
        <item h="1" x="17410"/>
        <item h="1" x="17411"/>
        <item h="1" x="17412"/>
        <item h="1" x="17413"/>
        <item h="1" x="17414"/>
        <item h="1" x="17415"/>
        <item h="1" x="17416"/>
        <item h="1" x="17417"/>
        <item h="1" x="17418"/>
        <item h="1" x="17419"/>
        <item h="1" x="17420"/>
        <item h="1" x="17421"/>
        <item h="1" x="17422"/>
        <item h="1" x="17423"/>
        <item h="1" x="17424"/>
        <item h="1" x="17425"/>
        <item h="1" x="17426"/>
        <item h="1" x="17427"/>
        <item h="1" x="17428"/>
        <item h="1" x="17429"/>
        <item h="1" x="17430"/>
        <item h="1" x="17431"/>
        <item h="1" x="17432"/>
        <item h="1" x="17433"/>
        <item h="1" x="17434"/>
        <item h="1" x="17435"/>
        <item h="1" x="17436"/>
        <item h="1" x="17437"/>
        <item h="1" x="17438"/>
        <item h="1" x="17439"/>
        <item h="1" x="17440"/>
        <item h="1" x="17441"/>
        <item h="1" x="17442"/>
        <item h="1" x="17443"/>
        <item h="1" x="17444"/>
        <item h="1" x="17445"/>
        <item h="1" x="17446"/>
        <item h="1" x="17447"/>
        <item h="1" x="17448"/>
        <item h="1" x="17449"/>
        <item h="1" x="17450"/>
        <item h="1" x="17451"/>
        <item h="1" x="17452"/>
        <item h="1" x="17453"/>
        <item h="1" x="17454"/>
        <item h="1" x="17455"/>
        <item h="1" x="17456"/>
        <item h="1" x="17457"/>
        <item h="1" x="17458"/>
        <item h="1" x="17459"/>
        <item h="1" x="17460"/>
        <item h="1" x="17461"/>
        <item h="1" x="17462"/>
        <item h="1" x="17463"/>
        <item h="1" x="17464"/>
        <item h="1" x="17465"/>
        <item h="1" x="17466"/>
        <item h="1" x="17467"/>
        <item h="1" x="17468"/>
        <item h="1" x="17469"/>
        <item h="1" x="17470"/>
        <item h="1" x="17471"/>
        <item h="1" x="17472"/>
        <item h="1" x="17473"/>
        <item h="1" x="17474"/>
        <item h="1" x="17475"/>
        <item h="1" x="17476"/>
        <item h="1" x="17477"/>
        <item h="1" x="17478"/>
        <item h="1" x="17479"/>
        <item h="1" x="17480"/>
        <item h="1" x="17481"/>
        <item h="1" x="17482"/>
        <item h="1" x="17483"/>
        <item h="1" x="17484"/>
        <item h="1" x="17485"/>
        <item h="1" x="17486"/>
        <item h="1" x="17487"/>
        <item h="1" x="17488"/>
        <item h="1" x="17489"/>
        <item h="1" x="17490"/>
        <item h="1" x="17491"/>
        <item h="1" x="17492"/>
        <item h="1" x="17493"/>
        <item h="1" x="17494"/>
        <item h="1" x="17495"/>
        <item h="1" x="17496"/>
        <item h="1" x="17497"/>
        <item h="1" x="17498"/>
        <item h="1" x="17499"/>
        <item h="1" x="17500"/>
        <item h="1" x="17501"/>
        <item h="1" x="17502"/>
        <item h="1" x="17503"/>
        <item h="1" x="17504"/>
        <item h="1" x="17505"/>
        <item h="1" x="17506"/>
        <item h="1" x="17507"/>
        <item h="1" x="17508"/>
        <item h="1" x="17509"/>
        <item h="1" x="17510"/>
        <item h="1" x="17511"/>
        <item h="1" x="17512"/>
        <item h="1" x="17513"/>
        <item h="1" x="17514"/>
        <item h="1" x="17515"/>
        <item h="1" x="17516"/>
        <item h="1" x="17517"/>
        <item h="1" x="17518"/>
        <item h="1" x="17519"/>
        <item h="1" x="17520"/>
        <item h="1" x="17521"/>
        <item h="1" x="17522"/>
        <item h="1" x="17523"/>
        <item h="1" x="17524"/>
        <item h="1" x="17525"/>
        <item h="1" x="17526"/>
        <item h="1" x="17527"/>
        <item h="1" x="17528"/>
        <item h="1" x="17529"/>
        <item h="1" x="17530"/>
        <item h="1" x="17531"/>
        <item h="1" x="17532"/>
        <item h="1" x="17533"/>
        <item h="1" x="17534"/>
        <item h="1" x="17535"/>
        <item h="1" x="17536"/>
        <item h="1" x="17537"/>
        <item h="1" x="17538"/>
        <item h="1" x="17539"/>
        <item h="1" x="17540"/>
        <item h="1" x="17541"/>
        <item h="1" x="17542"/>
        <item h="1" x="17543"/>
        <item h="1" x="17544"/>
        <item h="1" x="17545"/>
        <item h="1" x="17546"/>
        <item h="1" x="17547"/>
        <item h="1" x="17548"/>
        <item h="1" x="17549"/>
        <item h="1" x="17550"/>
        <item h="1" x="17551"/>
        <item h="1" x="17552"/>
        <item h="1" x="17553"/>
        <item h="1" x="17554"/>
        <item h="1" x="17555"/>
        <item h="1" x="17556"/>
        <item h="1" x="17557"/>
        <item h="1" x="17558"/>
        <item h="1" x="17559"/>
        <item h="1" x="17560"/>
        <item h="1" x="17561"/>
        <item h="1" x="17562"/>
        <item h="1" x="17563"/>
        <item h="1" x="17564"/>
        <item h="1" x="17565"/>
        <item h="1" x="17566"/>
        <item h="1" x="17567"/>
        <item h="1" x="17568"/>
        <item h="1" x="17569"/>
        <item h="1" x="17570"/>
        <item h="1" x="17571"/>
        <item h="1" x="17572"/>
        <item h="1" x="17573"/>
        <item h="1" x="17574"/>
        <item h="1" x="17575"/>
        <item h="1" x="17576"/>
        <item h="1" x="17577"/>
        <item h="1" x="17578"/>
        <item h="1" x="17579"/>
        <item h="1" x="17580"/>
        <item h="1" x="17581"/>
        <item h="1" x="17582"/>
        <item h="1" x="17583"/>
        <item h="1" x="17584"/>
        <item h="1" x="17585"/>
        <item h="1" x="17586"/>
        <item h="1" x="17587"/>
        <item h="1" x="17588"/>
        <item h="1" x="17589"/>
        <item h="1" x="17590"/>
        <item h="1" x="17591"/>
        <item h="1" x="17592"/>
        <item h="1" x="17593"/>
        <item h="1" x="17594"/>
        <item h="1" x="17595"/>
        <item h="1" x="17596"/>
        <item h="1" x="17597"/>
        <item h="1" x="17598"/>
        <item h="1" x="17599"/>
        <item h="1" x="17600"/>
        <item h="1" x="17601"/>
        <item h="1" x="17602"/>
        <item h="1" x="17603"/>
        <item h="1" x="17604"/>
        <item h="1" x="17605"/>
        <item h="1" x="17606"/>
        <item h="1" x="17607"/>
        <item h="1" x="17608"/>
        <item h="1" x="17609"/>
        <item h="1" x="17610"/>
        <item h="1" x="17611"/>
        <item h="1" x="17612"/>
        <item h="1" x="17613"/>
        <item h="1" x="17614"/>
        <item h="1" x="17615"/>
        <item h="1" x="17616"/>
        <item h="1" x="17617"/>
        <item h="1" x="17618"/>
        <item h="1" x="17619"/>
        <item h="1" x="17620"/>
        <item h="1" x="17621"/>
        <item h="1" x="17622"/>
        <item h="1" x="17623"/>
        <item h="1" x="17624"/>
        <item h="1" x="17625"/>
        <item h="1" x="17626"/>
        <item h="1" x="17627"/>
        <item h="1" x="17628"/>
        <item h="1" x="17629"/>
        <item h="1" x="17630"/>
        <item h="1" x="17631"/>
        <item h="1" x="17632"/>
        <item h="1" x="17633"/>
        <item h="1" x="17634"/>
        <item h="1" x="17635"/>
        <item h="1" x="17636"/>
        <item h="1" x="17637"/>
        <item h="1" x="17638"/>
        <item h="1" x="17639"/>
        <item h="1" x="17640"/>
        <item h="1" x="17641"/>
        <item h="1" x="17642"/>
        <item h="1" x="17643"/>
        <item h="1" x="17644"/>
        <item h="1" x="17645"/>
        <item h="1" x="17646"/>
        <item h="1" x="17647"/>
        <item h="1" x="17648"/>
        <item h="1" x="17649"/>
        <item h="1" x="17650"/>
        <item h="1" x="17651"/>
        <item h="1" x="17652"/>
        <item h="1" x="17653"/>
        <item h="1" x="17654"/>
        <item h="1" x="17655"/>
        <item h="1" x="17656"/>
        <item h="1" x="17657"/>
        <item h="1" x="17658"/>
        <item h="1" x="17659"/>
        <item h="1" x="17660"/>
        <item h="1" x="17661"/>
        <item h="1" x="17662"/>
        <item h="1" x="17663"/>
        <item h="1" x="17664"/>
        <item h="1" x="17665"/>
        <item h="1" x="17666"/>
        <item h="1" x="17667"/>
        <item h="1" x="17668"/>
        <item h="1" x="17669"/>
        <item h="1" x="17670"/>
        <item h="1" x="17671"/>
        <item h="1" x="17672"/>
        <item h="1" x="17673"/>
        <item h="1" x="17674"/>
        <item h="1" x="17675"/>
        <item h="1" x="17676"/>
        <item h="1" x="17677"/>
        <item h="1" x="17678"/>
        <item h="1" x="17679"/>
        <item h="1" x="17680"/>
        <item h="1" x="17681"/>
        <item h="1" x="17682"/>
        <item h="1" x="17683"/>
        <item h="1" x="17684"/>
        <item h="1" x="17685"/>
        <item h="1" x="17686"/>
        <item h="1" x="17687"/>
        <item h="1" x="17688"/>
        <item h="1" x="17689"/>
        <item h="1" x="17690"/>
        <item h="1" x="17691"/>
        <item h="1" x="17692"/>
        <item h="1" x="17693"/>
        <item h="1" x="17694"/>
        <item h="1" x="17695"/>
        <item h="1" x="17696"/>
        <item h="1" x="17697"/>
        <item h="1" x="17698"/>
        <item h="1" x="17699"/>
        <item h="1" x="17700"/>
        <item h="1" x="17701"/>
        <item h="1" x="17702"/>
        <item h="1" x="17703"/>
        <item h="1" x="17704"/>
        <item h="1" x="17705"/>
        <item h="1" x="17706"/>
        <item h="1" x="17707"/>
        <item h="1" x="17708"/>
        <item h="1" x="17709"/>
        <item h="1" x="17710"/>
        <item h="1" x="17711"/>
        <item h="1" x="17712"/>
        <item h="1" x="17713"/>
        <item h="1" x="17714"/>
        <item h="1" x="17715"/>
        <item h="1" x="17716"/>
        <item h="1" x="17717"/>
        <item h="1" x="17718"/>
        <item h="1" x="17719"/>
        <item h="1" x="17720"/>
        <item h="1" x="17721"/>
        <item h="1" x="17722"/>
        <item h="1" x="17723"/>
        <item h="1" x="17724"/>
        <item h="1" x="17725"/>
        <item h="1" x="17726"/>
        <item h="1" x="17727"/>
        <item h="1" x="17728"/>
        <item h="1" x="17729"/>
        <item h="1" x="17730"/>
        <item h="1" x="17731"/>
        <item h="1" x="17732"/>
        <item h="1" x="17733"/>
        <item h="1" x="17734"/>
        <item h="1" x="17735"/>
        <item h="1" x="17736"/>
        <item h="1" x="17737"/>
        <item h="1" x="17738"/>
        <item h="1" x="17739"/>
        <item h="1" x="17740"/>
        <item h="1" x="17741"/>
        <item h="1" x="17742"/>
        <item h="1" x="17743"/>
        <item h="1" x="17744"/>
        <item h="1" x="17745"/>
        <item h="1" x="17746"/>
        <item h="1" x="17747"/>
        <item h="1" x="17748"/>
        <item h="1" x="17749"/>
        <item h="1" x="17750"/>
        <item h="1" x="17751"/>
        <item h="1" x="17752"/>
        <item h="1" x="17753"/>
        <item h="1" x="17754"/>
        <item h="1" x="17755"/>
        <item h="1" x="17756"/>
        <item h="1" x="17757"/>
        <item h="1" x="17758"/>
        <item h="1" x="17759"/>
        <item h="1" x="17760"/>
        <item h="1" x="17761"/>
        <item h="1" x="17762"/>
        <item h="1" x="17763"/>
        <item h="1" x="17764"/>
        <item h="1" x="17765"/>
        <item h="1" x="17766"/>
        <item h="1" x="17767"/>
        <item h="1" x="17768"/>
        <item h="1" x="17769"/>
        <item h="1" x="17770"/>
        <item h="1" x="17771"/>
        <item h="1" x="17772"/>
        <item h="1" x="17773"/>
        <item h="1" x="17774"/>
        <item h="1" x="17775"/>
        <item h="1" x="17776"/>
        <item h="1" x="17777"/>
        <item h="1" x="17778"/>
        <item h="1" x="17779"/>
        <item h="1" x="17780"/>
        <item h="1" x="17781"/>
        <item h="1" x="17782"/>
        <item h="1" x="17783"/>
        <item h="1" x="17784"/>
        <item h="1" x="17785"/>
        <item h="1" x="17786"/>
        <item h="1" x="17787"/>
        <item h="1" x="17788"/>
        <item h="1" x="17789"/>
        <item h="1" x="17790"/>
        <item h="1" x="17791"/>
        <item h="1" x="17792"/>
        <item h="1" x="17793"/>
        <item h="1" x="17794"/>
        <item h="1" x="17795"/>
        <item h="1" x="17796"/>
        <item h="1" x="17797"/>
        <item h="1" x="17798"/>
        <item h="1" x="17799"/>
        <item h="1" x="17800"/>
        <item h="1" x="17801"/>
        <item h="1" x="17802"/>
        <item h="1" x="17803"/>
        <item h="1" x="17804"/>
        <item h="1" x="17805"/>
        <item h="1" x="17806"/>
        <item h="1" x="17807"/>
        <item h="1" x="17808"/>
        <item h="1" x="17809"/>
        <item h="1" x="17810"/>
        <item h="1" x="17811"/>
        <item h="1" x="17812"/>
        <item h="1" x="17813"/>
        <item h="1" x="17814"/>
        <item h="1" x="17815"/>
        <item h="1" x="17816"/>
        <item h="1" x="17817"/>
        <item h="1" x="17818"/>
        <item h="1" x="17819"/>
        <item h="1" x="17820"/>
        <item h="1" x="17821"/>
        <item h="1" x="17822"/>
        <item h="1" x="17823"/>
        <item h="1" x="17824"/>
        <item h="1" x="17825"/>
        <item h="1" x="17826"/>
        <item h="1" x="17827"/>
        <item h="1" x="17828"/>
        <item h="1" x="17829"/>
        <item h="1" x="17830"/>
        <item h="1" x="17831"/>
        <item h="1" x="17832"/>
        <item h="1" x="17833"/>
        <item h="1" x="17834"/>
        <item h="1" x="17835"/>
        <item h="1" x="17836"/>
        <item h="1" x="17837"/>
        <item h="1" x="17838"/>
        <item h="1" x="17839"/>
        <item h="1" x="17840"/>
        <item h="1" x="17841"/>
        <item h="1" x="17842"/>
        <item h="1" x="17843"/>
        <item h="1" x="17844"/>
        <item h="1" x="17845"/>
        <item h="1" x="17846"/>
        <item h="1" x="17847"/>
        <item h="1" x="17848"/>
        <item h="1" x="17849"/>
        <item h="1" x="17850"/>
        <item h="1" x="17851"/>
        <item h="1" x="17852"/>
        <item h="1" x="17853"/>
        <item h="1" x="17854"/>
        <item h="1" x="17855"/>
        <item h="1" x="17856"/>
        <item h="1" x="17857"/>
        <item h="1" x="17858"/>
        <item h="1" x="17859"/>
        <item h="1" x="17860"/>
        <item h="1" x="17861"/>
        <item h="1" x="17862"/>
        <item h="1" x="17863"/>
        <item h="1" x="17864"/>
        <item h="1" x="17865"/>
        <item h="1" x="17866"/>
        <item h="1" x="17867"/>
        <item h="1" x="17868"/>
        <item h="1" x="17869"/>
        <item h="1" x="17870"/>
        <item h="1" x="17871"/>
        <item h="1" x="17872"/>
        <item h="1" x="17873"/>
        <item h="1" x="17874"/>
        <item h="1" x="17875"/>
        <item h="1" x="17876"/>
        <item h="1" x="17877"/>
        <item h="1" x="17878"/>
        <item h="1" x="17879"/>
        <item h="1" x="17880"/>
        <item h="1" x="17881"/>
        <item h="1" x="17882"/>
        <item h="1" x="17883"/>
        <item h="1" x="17884"/>
        <item h="1" x="17885"/>
        <item h="1" x="17886"/>
        <item h="1" x="17887"/>
        <item h="1" x="17888"/>
        <item h="1" x="17889"/>
        <item h="1" x="17890"/>
        <item h="1" x="17891"/>
        <item h="1" x="17892"/>
        <item h="1" x="17893"/>
        <item h="1" x="17894"/>
        <item h="1" x="17895"/>
        <item h="1" x="17896"/>
        <item h="1" x="17897"/>
        <item h="1" x="17898"/>
        <item h="1" x="17899"/>
        <item h="1" x="17900"/>
        <item h="1" x="17901"/>
        <item h="1" x="17902"/>
        <item h="1" x="17903"/>
        <item h="1" x="17904"/>
        <item h="1" x="17905"/>
        <item h="1" x="17906"/>
        <item h="1" x="17907"/>
        <item h="1" x="17908"/>
        <item h="1" x="17909"/>
        <item h="1" x="17910"/>
        <item h="1" x="17911"/>
        <item h="1" x="17912"/>
        <item h="1" x="17913"/>
        <item h="1" x="17914"/>
        <item h="1" x="17915"/>
        <item h="1" x="17916"/>
        <item h="1" x="17917"/>
        <item h="1" x="17918"/>
        <item h="1" x="17919"/>
        <item h="1" x="17920"/>
        <item h="1" x="17921"/>
        <item h="1" x="17922"/>
        <item h="1" x="17923"/>
        <item h="1" x="17924"/>
        <item h="1" x="17925"/>
        <item h="1" x="17926"/>
        <item h="1" x="17927"/>
        <item h="1" x="17928"/>
        <item h="1" x="17929"/>
        <item h="1" x="17930"/>
        <item h="1" x="17931"/>
        <item h="1" x="17932"/>
        <item h="1" x="17933"/>
        <item h="1" x="17934"/>
        <item h="1" x="17935"/>
        <item h="1" x="17936"/>
        <item h="1" x="17937"/>
        <item h="1" x="17938"/>
        <item h="1" x="17939"/>
        <item h="1" x="17940"/>
        <item h="1" x="17941"/>
        <item h="1" x="17942"/>
        <item h="1" x="17943"/>
        <item h="1" x="17944"/>
        <item h="1" x="17945"/>
        <item h="1" x="17946"/>
        <item h="1" x="17947"/>
        <item h="1" x="17948"/>
        <item h="1" x="17949"/>
        <item h="1" x="17950"/>
        <item h="1" x="17951"/>
        <item h="1" x="17952"/>
        <item h="1" x="17953"/>
        <item h="1" x="17954"/>
        <item h="1" x="17955"/>
        <item h="1" x="17956"/>
        <item h="1" x="17957"/>
        <item h="1" x="17958"/>
        <item h="1" x="17959"/>
        <item h="1" x="17960"/>
        <item h="1" x="17961"/>
        <item h="1" x="17962"/>
        <item h="1" x="17963"/>
        <item h="1" x="17964"/>
        <item h="1" x="17965"/>
        <item h="1" x="17966"/>
        <item h="1" x="17967"/>
        <item h="1" x="17968"/>
        <item h="1" x="17969"/>
        <item h="1" x="17970"/>
        <item h="1" x="17971"/>
        <item h="1" x="17972"/>
        <item h="1" x="17973"/>
        <item h="1" x="17974"/>
        <item h="1" x="17975"/>
        <item h="1" x="17976"/>
        <item h="1" x="17977"/>
        <item h="1" x="17978"/>
        <item h="1" x="17979"/>
        <item h="1" x="17980"/>
        <item h="1" x="17981"/>
        <item h="1" x="17982"/>
        <item h="1" x="17983"/>
        <item h="1" x="17984"/>
        <item h="1" x="17985"/>
        <item h="1" x="17986"/>
        <item h="1" x="17987"/>
        <item h="1" x="17988"/>
        <item h="1" x="17989"/>
        <item h="1" x="17990"/>
        <item h="1" x="17991"/>
        <item h="1" x="17992"/>
        <item h="1" x="17993"/>
        <item h="1" x="17994"/>
        <item h="1" x="17995"/>
        <item h="1" x="17996"/>
        <item h="1" x="17997"/>
        <item h="1" x="17998"/>
        <item h="1" x="17999"/>
        <item h="1" x="18000"/>
        <item h="1" x="18001"/>
        <item h="1" x="18002"/>
        <item h="1" x="18003"/>
        <item h="1" x="18004"/>
        <item h="1" x="18005"/>
        <item h="1" x="18006"/>
        <item h="1" x="18007"/>
        <item h="1" x="18008"/>
        <item h="1" x="18009"/>
        <item h="1" x="18010"/>
        <item h="1" x="18011"/>
        <item h="1" x="18012"/>
        <item h="1" x="18013"/>
        <item h="1" x="18014"/>
        <item h="1" x="18015"/>
        <item h="1" x="18016"/>
        <item h="1" x="18017"/>
        <item h="1" x="18018"/>
        <item h="1" x="18019"/>
        <item h="1" x="18020"/>
        <item h="1" x="18021"/>
        <item h="1" x="18022"/>
        <item h="1" x="18023"/>
        <item h="1" x="18024"/>
        <item h="1" x="18025"/>
        <item h="1" x="18026"/>
        <item h="1" x="18027"/>
        <item h="1" x="18028"/>
        <item h="1" x="18029"/>
        <item h="1" x="18030"/>
        <item h="1" x="18031"/>
        <item h="1" x="18032"/>
        <item h="1" x="18033"/>
        <item h="1" x="18034"/>
        <item h="1" x="18035"/>
        <item h="1" x="18036"/>
        <item h="1" x="18037"/>
        <item h="1" x="18038"/>
        <item h="1" x="18039"/>
        <item h="1" x="18040"/>
        <item h="1" x="18041"/>
        <item h="1" x="18042"/>
        <item h="1" x="18043"/>
        <item h="1" x="18044"/>
        <item h="1" x="18045"/>
        <item h="1" x="18046"/>
        <item h="1" x="18047"/>
        <item h="1" x="18048"/>
        <item h="1" x="18049"/>
        <item h="1" x="18050"/>
        <item h="1" x="18051"/>
        <item h="1" x="18052"/>
        <item h="1" x="18053"/>
        <item h="1" x="18054"/>
        <item h="1" x="18055"/>
        <item h="1" x="18056"/>
        <item h="1" x="18057"/>
        <item h="1" x="18058"/>
        <item h="1" x="18059"/>
        <item h="1" x="18060"/>
        <item h="1" x="18061"/>
        <item h="1" x="18062"/>
        <item h="1" x="18063"/>
        <item h="1" x="18064"/>
        <item h="1" x="18065"/>
        <item h="1" x="18066"/>
        <item h="1" x="18067"/>
        <item h="1" x="18068"/>
        <item h="1" x="18069"/>
        <item h="1" x="18070"/>
        <item h="1" x="18071"/>
        <item h="1" x="18072"/>
        <item h="1" x="18073"/>
        <item h="1" x="18074"/>
        <item h="1" x="18075"/>
        <item h="1" x="18076"/>
        <item h="1" x="18077"/>
        <item h="1" x="18078"/>
        <item h="1" x="18079"/>
        <item h="1" x="18080"/>
        <item h="1" x="18081"/>
        <item h="1" x="18082"/>
        <item h="1" x="18083"/>
        <item h="1" x="18084"/>
        <item h="1" x="18085"/>
        <item h="1" x="18086"/>
        <item h="1" x="18087"/>
        <item h="1" x="18088"/>
        <item h="1" x="18089"/>
        <item h="1" x="18090"/>
        <item h="1" x="18091"/>
        <item h="1" x="18092"/>
        <item h="1" x="18093"/>
        <item h="1" x="18094"/>
        <item h="1" x="18095"/>
        <item h="1" x="18096"/>
        <item h="1" x="18097"/>
        <item h="1" x="18098"/>
        <item h="1" x="18099"/>
        <item h="1" x="18100"/>
        <item h="1" x="18101"/>
        <item h="1" x="18102"/>
        <item h="1" x="18103"/>
        <item h="1" x="18104"/>
        <item h="1" x="18105"/>
        <item h="1" x="18106"/>
        <item h="1" x="18107"/>
        <item h="1" x="18108"/>
        <item h="1" x="18109"/>
        <item h="1" x="18110"/>
        <item h="1" x="18111"/>
        <item h="1" x="18112"/>
        <item h="1" x="18113"/>
        <item h="1" x="18114"/>
        <item h="1" x="18115"/>
        <item h="1" x="18116"/>
        <item h="1" x="18117"/>
        <item h="1" x="18118"/>
        <item h="1" x="18119"/>
        <item h="1" x="18120"/>
        <item h="1" x="18121"/>
        <item h="1" x="18122"/>
        <item h="1" x="18123"/>
        <item h="1" x="18124"/>
        <item h="1" x="18125"/>
        <item h="1" x="18126"/>
        <item h="1" x="18127"/>
        <item h="1" x="18128"/>
        <item h="1" x="18129"/>
        <item h="1" x="18130"/>
        <item h="1" x="18131"/>
        <item h="1" x="18132"/>
        <item h="1" x="18133"/>
        <item h="1" x="18134"/>
        <item h="1" x="18135"/>
        <item h="1" x="18136"/>
        <item h="1" x="18137"/>
        <item h="1" x="18138"/>
        <item h="1" x="18139"/>
        <item h="1" x="18140"/>
        <item h="1" x="18141"/>
        <item h="1" x="18142"/>
        <item h="1" x="18143"/>
        <item h="1" x="18144"/>
        <item h="1" x="18145"/>
        <item h="1" x="18146"/>
        <item h="1" x="18147"/>
        <item h="1" x="18148"/>
        <item h="1" x="18149"/>
        <item h="1" x="18150"/>
        <item h="1" x="18151"/>
        <item h="1" x="18152"/>
        <item h="1" x="18153"/>
        <item h="1" x="18154"/>
        <item h="1" x="18155"/>
        <item h="1" x="18156"/>
        <item h="1" x="18157"/>
        <item h="1" x="18158"/>
        <item h="1" x="18159"/>
        <item h="1" x="18160"/>
        <item h="1" x="18161"/>
        <item h="1" x="18162"/>
        <item h="1" x="18163"/>
        <item h="1" x="18164"/>
        <item h="1" x="18165"/>
        <item h="1" x="18166"/>
        <item h="1" x="18167"/>
        <item h="1" x="18168"/>
        <item h="1" x="18169"/>
        <item h="1" x="18170"/>
        <item h="1" x="18171"/>
        <item h="1" x="18172"/>
        <item h="1" x="18173"/>
        <item h="1" x="18174"/>
        <item h="1" x="18175"/>
        <item h="1" x="18176"/>
        <item h="1" x="18177"/>
        <item h="1" x="18178"/>
        <item h="1" x="18179"/>
        <item h="1" x="18180"/>
        <item h="1" x="18181"/>
        <item h="1" x="18182"/>
        <item h="1" x="18183"/>
        <item h="1" x="18184"/>
        <item h="1" x="18185"/>
        <item h="1" x="18186"/>
        <item h="1" x="18187"/>
        <item h="1" x="18188"/>
        <item h="1" x="18189"/>
        <item h="1" x="18190"/>
        <item h="1" x="18191"/>
        <item h="1" x="18192"/>
        <item h="1" x="18193"/>
        <item h="1" x="18194"/>
        <item h="1" x="18195"/>
        <item h="1" x="18196"/>
        <item h="1" x="18197"/>
        <item h="1" x="18198"/>
        <item h="1" x="18199"/>
        <item h="1" x="18200"/>
        <item h="1" x="18201"/>
        <item h="1" x="18202"/>
        <item h="1" x="18203"/>
        <item h="1" x="18204"/>
        <item h="1" x="18205"/>
        <item h="1" x="18206"/>
        <item h="1" x="18207"/>
        <item h="1" x="18208"/>
        <item h="1" x="18209"/>
        <item h="1" x="18210"/>
        <item h="1" x="18211"/>
        <item h="1" x="18212"/>
        <item h="1" x="18213"/>
        <item h="1" x="18214"/>
        <item h="1" x="18215"/>
        <item h="1" x="18216"/>
        <item h="1" x="18217"/>
        <item h="1" x="18218"/>
        <item h="1" x="18219"/>
        <item h="1" x="18220"/>
        <item h="1" x="18221"/>
        <item h="1" x="18222"/>
        <item h="1" x="18223"/>
        <item h="1" x="18224"/>
        <item h="1" x="18225"/>
        <item h="1" x="18226"/>
        <item h="1" x="18227"/>
        <item h="1" x="18228"/>
        <item h="1" x="18229"/>
        <item h="1" x="18230"/>
        <item h="1" x="18231"/>
        <item h="1" x="18232"/>
        <item h="1" x="18233"/>
        <item h="1" x="18234"/>
        <item h="1" x="18235"/>
        <item h="1" x="18236"/>
        <item h="1" x="18237"/>
        <item h="1" x="18238"/>
        <item h="1" x="18239"/>
        <item h="1" x="18240"/>
        <item h="1" x="18241"/>
        <item h="1" x="18242"/>
        <item h="1" x="18243"/>
        <item h="1" x="18244"/>
        <item h="1" x="18245"/>
        <item h="1" x="18246"/>
        <item h="1" x="18247"/>
        <item h="1" x="18248"/>
        <item h="1" x="18249"/>
        <item h="1" x="18250"/>
        <item h="1" x="18251"/>
        <item h="1" x="18252"/>
        <item h="1" x="18253"/>
        <item h="1" x="18254"/>
        <item h="1" x="18255"/>
        <item h="1" x="18256"/>
        <item h="1" x="18257"/>
        <item h="1" x="18258"/>
        <item h="1" x="18259"/>
        <item h="1" x="18260"/>
        <item h="1" x="18261"/>
        <item h="1" x="18262"/>
        <item h="1" x="18263"/>
        <item h="1" x="18264"/>
        <item h="1" x="18265"/>
        <item h="1" x="18266"/>
        <item h="1" x="18267"/>
        <item h="1" x="18268"/>
        <item h="1" x="18269"/>
        <item h="1" x="18270"/>
        <item h="1" x="18271"/>
        <item h="1" x="18272"/>
        <item h="1" x="18273"/>
        <item h="1" x="18274"/>
        <item h="1" x="18275"/>
        <item h="1" x="18276"/>
        <item h="1" x="18277"/>
        <item h="1" x="18278"/>
        <item h="1" x="18279"/>
        <item h="1" x="18280"/>
        <item h="1" x="18281"/>
        <item h="1" x="18282"/>
        <item h="1" x="18283"/>
        <item h="1" x="18284"/>
        <item h="1" x="18285"/>
        <item h="1" x="18286"/>
        <item h="1" x="18287"/>
        <item h="1" x="18288"/>
        <item h="1" x="18289"/>
        <item h="1" x="18290"/>
        <item h="1" x="18291"/>
        <item h="1" x="18292"/>
        <item h="1" x="18293"/>
        <item h="1" x="18294"/>
        <item h="1" x="18295"/>
        <item h="1" x="18296"/>
        <item h="1" x="18297"/>
        <item h="1" x="18298"/>
        <item h="1" x="18299"/>
        <item h="1" x="18300"/>
        <item h="1" x="18301"/>
        <item h="1" x="18302"/>
        <item h="1" x="18303"/>
        <item h="1" x="18304"/>
        <item h="1" x="18305"/>
        <item h="1" x="18306"/>
        <item h="1" x="18307"/>
        <item h="1" x="18308"/>
        <item h="1" x="18309"/>
        <item h="1" x="18310"/>
        <item h="1" x="18311"/>
        <item h="1" x="18312"/>
        <item h="1" x="18313"/>
        <item h="1" x="18314"/>
        <item h="1" x="18315"/>
        <item h="1" x="18316"/>
        <item h="1" x="18317"/>
        <item h="1" x="18318"/>
        <item h="1" x="18319"/>
        <item h="1" x="18320"/>
        <item h="1" x="18321"/>
        <item h="1" x="18322"/>
        <item h="1" x="18323"/>
        <item h="1" x="18324"/>
        <item h="1" x="18325"/>
        <item h="1" x="18326"/>
        <item h="1" x="18327"/>
        <item h="1" x="18328"/>
        <item h="1" x="18329"/>
        <item h="1" x="18330"/>
        <item h="1" x="18331"/>
        <item h="1" x="18332"/>
        <item h="1" x="18333"/>
        <item h="1" x="18334"/>
        <item h="1" x="18335"/>
        <item h="1" x="18336"/>
        <item h="1" x="18337"/>
        <item h="1" x="18338"/>
        <item h="1" x="18339"/>
        <item h="1" x="18340"/>
        <item h="1" x="18341"/>
        <item h="1" x="18342"/>
        <item h="1" x="18343"/>
        <item h="1" x="18344"/>
        <item h="1" x="18345"/>
        <item h="1" x="18346"/>
        <item h="1" x="18347"/>
        <item h="1" x="18348"/>
        <item h="1" x="18349"/>
        <item h="1" x="18350"/>
        <item h="1" x="18351"/>
        <item h="1" x="18352"/>
        <item h="1" x="18353"/>
        <item h="1" x="18354"/>
        <item h="1" x="18355"/>
        <item h="1" x="18356"/>
        <item h="1" x="18357"/>
        <item h="1" x="18358"/>
        <item h="1" x="18359"/>
        <item h="1" x="18360"/>
        <item h="1" x="18361"/>
        <item h="1" x="18362"/>
        <item h="1" x="18363"/>
        <item h="1" x="18364"/>
        <item h="1" x="18365"/>
        <item h="1" x="18366"/>
        <item h="1" x="18367"/>
        <item h="1" x="18368"/>
        <item h="1" x="18369"/>
        <item h="1" x="18370"/>
        <item h="1" x="18371"/>
        <item h="1" x="18372"/>
        <item h="1" x="18373"/>
        <item h="1" x="18374"/>
        <item h="1" x="18375"/>
        <item h="1" x="18376"/>
        <item h="1" x="18377"/>
        <item h="1" x="18378"/>
        <item h="1" x="18379"/>
        <item h="1" x="18380"/>
        <item h="1" x="18381"/>
        <item h="1" x="18382"/>
        <item h="1" x="18383"/>
        <item h="1" x="18384"/>
        <item h="1" x="18385"/>
        <item h="1" x="18386"/>
        <item h="1" x="18387"/>
        <item h="1" x="18388"/>
        <item h="1" x="18389"/>
        <item h="1" x="18390"/>
        <item h="1" x="18391"/>
        <item h="1" x="18392"/>
        <item h="1" x="18393"/>
        <item h="1" x="18394"/>
        <item h="1" x="18395"/>
        <item h="1" x="18396"/>
        <item h="1" x="18397"/>
        <item h="1" x="18398"/>
        <item h="1" x="18399"/>
        <item h="1" x="18400"/>
        <item h="1" x="18401"/>
        <item h="1" x="18402"/>
        <item h="1" x="18403"/>
        <item h="1" x="18404"/>
        <item h="1" x="18405"/>
        <item h="1" x="18406"/>
        <item h="1" x="18407"/>
        <item h="1" x="18408"/>
        <item h="1" x="18409"/>
        <item h="1" x="18410"/>
        <item h="1" x="18411"/>
        <item h="1" x="18412"/>
        <item h="1" x="18413"/>
        <item h="1" x="18414"/>
        <item h="1" x="18415"/>
        <item h="1" x="18416"/>
        <item h="1" x="18417"/>
        <item h="1" x="18418"/>
        <item h="1" x="18419"/>
        <item h="1" x="18420"/>
        <item h="1" x="18421"/>
        <item h="1" x="18422"/>
        <item h="1" x="18423"/>
        <item h="1" x="18424"/>
        <item h="1" x="18425"/>
        <item h="1" x="18426"/>
        <item h="1" x="18427"/>
        <item h="1" x="18428"/>
        <item h="1" x="18429"/>
        <item h="1" x="18430"/>
        <item h="1" x="18431"/>
        <item h="1" x="18432"/>
        <item h="1" x="18433"/>
        <item h="1" x="18434"/>
        <item h="1" x="18435"/>
        <item h="1" x="18436"/>
        <item h="1" x="18437"/>
        <item h="1" x="18438"/>
        <item h="1" x="18439"/>
        <item h="1" x="18440"/>
        <item h="1" x="18441"/>
        <item h="1" x="18442"/>
        <item h="1" x="18443"/>
        <item h="1" x="18444"/>
        <item h="1" x="18445"/>
        <item h="1" x="18446"/>
        <item h="1" x="18447"/>
        <item h="1" x="18448"/>
        <item h="1" x="18449"/>
        <item h="1" x="18450"/>
        <item h="1" x="18451"/>
        <item h="1" x="18452"/>
        <item h="1" x="18453"/>
        <item h="1" x="18454"/>
        <item h="1" x="18455"/>
        <item h="1" x="18456"/>
        <item h="1" x="18457"/>
        <item h="1" x="18458"/>
        <item h="1" x="18459"/>
        <item h="1" x="18460"/>
        <item h="1" x="18461"/>
        <item h="1" x="18462"/>
        <item h="1" x="18463"/>
        <item h="1" x="18464"/>
        <item h="1" x="18465"/>
        <item h="1" x="18466"/>
        <item h="1" x="18467"/>
        <item h="1" x="18468"/>
        <item h="1" x="18469"/>
        <item h="1" x="18470"/>
        <item h="1" x="18471"/>
        <item h="1" x="18472"/>
        <item h="1" x="18473"/>
        <item h="1" x="18474"/>
        <item h="1" x="18475"/>
        <item h="1" x="18476"/>
        <item h="1" x="18477"/>
        <item h="1" x="18478"/>
        <item h="1" x="18479"/>
        <item h="1" x="18480"/>
        <item h="1" x="18481"/>
        <item h="1" x="18482"/>
        <item h="1" x="18483"/>
        <item h="1" x="18484"/>
        <item h="1" x="18485"/>
        <item h="1" x="18486"/>
        <item h="1" x="18487"/>
        <item h="1" x="18488"/>
        <item h="1" x="18489"/>
        <item h="1" x="18490"/>
        <item h="1" x="18491"/>
        <item h="1" x="18492"/>
        <item h="1" x="18493"/>
        <item h="1" x="18494"/>
        <item h="1" x="18495"/>
        <item h="1" x="18496"/>
        <item h="1" x="18497"/>
        <item h="1" x="18498"/>
        <item h="1" x="18499"/>
        <item h="1" x="18500"/>
        <item h="1" x="18501"/>
        <item h="1" x="18502"/>
        <item h="1" x="18503"/>
        <item h="1" x="18504"/>
        <item h="1" x="18505"/>
        <item h="1" x="18506"/>
        <item h="1" x="18507"/>
        <item h="1" x="18508"/>
        <item h="1" x="18509"/>
        <item h="1" x="18510"/>
        <item h="1" x="18511"/>
        <item h="1" x="18512"/>
        <item h="1" x="18513"/>
        <item h="1" x="18514"/>
        <item h="1" x="18515"/>
        <item h="1" x="18516"/>
        <item h="1" x="18517"/>
        <item h="1" x="18518"/>
        <item h="1" x="18519"/>
        <item h="1" x="18520"/>
        <item h="1" x="18521"/>
        <item h="1" x="18522"/>
        <item h="1" x="18523"/>
        <item h="1" x="18524"/>
        <item h="1" x="18525"/>
        <item h="1" x="18526"/>
        <item h="1" x="18527"/>
        <item h="1" x="18528"/>
        <item h="1" x="18529"/>
        <item h="1" x="18530"/>
        <item h="1" x="18531"/>
        <item h="1" x="18532"/>
        <item h="1" x="18533"/>
        <item h="1" x="18534"/>
        <item h="1" x="18535"/>
        <item h="1" x="18536"/>
        <item h="1" x="18537"/>
        <item h="1" x="18538"/>
        <item h="1" x="18539"/>
        <item h="1" x="18540"/>
        <item h="1" x="18541"/>
        <item h="1" x="18542"/>
        <item h="1" x="18543"/>
        <item h="1" x="18544"/>
        <item h="1" x="18545"/>
        <item h="1" x="18546"/>
        <item h="1" x="18547"/>
        <item h="1" x="18548"/>
        <item h="1" x="18549"/>
        <item h="1" x="18550"/>
        <item h="1" x="18551"/>
        <item h="1" x="18552"/>
        <item h="1" x="18553"/>
        <item h="1" x="18554"/>
        <item h="1" x="18555"/>
        <item h="1" x="18556"/>
        <item h="1" x="18557"/>
        <item h="1" x="18558"/>
        <item h="1" x="18559"/>
        <item h="1" x="18560"/>
        <item h="1" x="18561"/>
        <item h="1" x="18562"/>
        <item h="1" x="18563"/>
        <item h="1" x="18564"/>
        <item h="1" x="18565"/>
        <item h="1" x="18566"/>
        <item h="1" x="18567"/>
        <item h="1" x="18568"/>
        <item h="1" x="18569"/>
        <item h="1" x="18570"/>
        <item h="1" x="18571"/>
        <item h="1" x="18572"/>
        <item h="1" x="18573"/>
        <item h="1" x="18574"/>
        <item h="1" x="18575"/>
        <item h="1" x="18576"/>
        <item h="1" x="18577"/>
        <item h="1" x="18578"/>
        <item h="1" x="18579"/>
        <item h="1" x="18580"/>
        <item h="1" x="18581"/>
        <item h="1" x="18582"/>
        <item h="1" x="18583"/>
        <item h="1" x="18584"/>
        <item h="1" x="18585"/>
        <item h="1" x="18586"/>
        <item h="1" x="18587"/>
        <item h="1" x="18588"/>
        <item h="1" x="18589"/>
        <item h="1" x="18590"/>
        <item h="1" x="18591"/>
        <item h="1" x="18592"/>
        <item h="1" x="18593"/>
        <item h="1" x="18594"/>
        <item h="1" x="18595"/>
        <item h="1" x="18596"/>
        <item h="1" x="18597"/>
        <item h="1" x="18598"/>
        <item h="1" x="18599"/>
        <item h="1" x="18600"/>
        <item h="1" x="18601"/>
        <item h="1" x="18602"/>
        <item h="1" x="18603"/>
        <item h="1" x="18604"/>
        <item h="1" x="18605"/>
        <item h="1" x="18606"/>
        <item h="1" x="18607"/>
        <item h="1" x="18608"/>
        <item h="1" x="18609"/>
        <item h="1" x="18610"/>
        <item h="1" x="18611"/>
        <item h="1" x="18612"/>
        <item h="1" x="18613"/>
        <item h="1" x="18614"/>
        <item h="1" x="18615"/>
        <item h="1" x="18616"/>
        <item h="1" x="18617"/>
        <item h="1" x="18618"/>
        <item h="1" x="18619"/>
        <item h="1" x="18620"/>
        <item h="1" x="18621"/>
        <item h="1" x="18622"/>
        <item h="1" x="18623"/>
        <item h="1" x="18624"/>
        <item h="1" x="18625"/>
        <item h="1" x="18626"/>
        <item h="1" x="18627"/>
        <item h="1" x="18628"/>
        <item h="1" x="18629"/>
        <item h="1" x="18630"/>
        <item h="1" x="18631"/>
        <item h="1" x="18632"/>
        <item h="1" x="18633"/>
        <item h="1" x="18634"/>
        <item h="1" x="18635"/>
        <item h="1" x="18636"/>
        <item h="1" x="18637"/>
        <item h="1" x="18638"/>
        <item h="1" x="18639"/>
        <item h="1" x="18640"/>
        <item h="1" x="18641"/>
        <item h="1" x="18642"/>
        <item h="1" x="18643"/>
        <item h="1" x="18644"/>
        <item h="1" x="18645"/>
        <item h="1" x="18646"/>
        <item h="1" x="18647"/>
        <item h="1" x="18648"/>
        <item h="1" x="18649"/>
        <item h="1" x="18650"/>
        <item h="1" x="18651"/>
        <item h="1" x="18652"/>
        <item h="1" x="18653"/>
        <item h="1" x="18654"/>
        <item h="1" x="18655"/>
        <item h="1" x="18656"/>
        <item h="1" x="18657"/>
        <item h="1" x="18658"/>
        <item h="1" x="18659"/>
        <item h="1" x="18660"/>
        <item h="1" x="18661"/>
        <item h="1" x="18662"/>
        <item h="1" x="18663"/>
        <item h="1" x="18664"/>
        <item h="1" x="18665"/>
        <item h="1" x="18666"/>
        <item h="1" x="18667"/>
        <item h="1" x="18668"/>
        <item h="1" x="18669"/>
        <item h="1" x="18670"/>
        <item h="1" x="18671"/>
        <item h="1" x="18672"/>
        <item h="1" x="18673"/>
        <item h="1" x="18674"/>
        <item h="1" x="18675"/>
        <item h="1" x="18676"/>
        <item h="1" x="18677"/>
        <item h="1" x="18678"/>
        <item h="1" x="18679"/>
        <item h="1" x="18680"/>
        <item h="1" x="18681"/>
        <item h="1" x="18682"/>
        <item h="1" x="18683"/>
        <item h="1" x="18684"/>
        <item h="1" x="18685"/>
        <item h="1" x="18686"/>
        <item h="1" x="18687"/>
        <item h="1" x="18688"/>
        <item h="1" x="18689"/>
        <item h="1" x="18690"/>
        <item h="1" x="18691"/>
        <item h="1" x="18692"/>
        <item h="1" x="18693"/>
        <item h="1" x="18694"/>
        <item h="1" x="18695"/>
        <item h="1" x="18696"/>
        <item h="1" x="18697"/>
        <item h="1" x="18698"/>
        <item h="1" x="18699"/>
        <item h="1" x="18700"/>
        <item h="1" x="18701"/>
        <item h="1" x="18702"/>
        <item h="1" x="18703"/>
        <item h="1" x="18704"/>
        <item h="1" x="18705"/>
        <item h="1" x="18706"/>
        <item h="1" x="18707"/>
        <item h="1" x="18708"/>
        <item h="1" x="18709"/>
        <item h="1" x="18710"/>
        <item h="1" x="18711"/>
        <item h="1" x="18712"/>
        <item h="1" x="18713"/>
        <item h="1" x="18714"/>
        <item h="1" x="18715"/>
        <item h="1" x="18716"/>
        <item h="1" x="18717"/>
        <item h="1" x="18718"/>
        <item h="1" x="18719"/>
        <item h="1" x="18720"/>
        <item h="1" x="18721"/>
        <item h="1" x="18722"/>
        <item h="1" x="18723"/>
        <item h="1" x="18724"/>
        <item h="1" x="18725"/>
        <item h="1" x="18726"/>
        <item h="1" x="18727"/>
        <item h="1" x="18728"/>
        <item h="1" x="18729"/>
        <item h="1" x="18730"/>
        <item h="1" x="18731"/>
        <item h="1" x="18732"/>
        <item h="1" x="18733"/>
        <item h="1" x="18734"/>
        <item h="1" x="18735"/>
        <item h="1" x="18736"/>
        <item h="1" x="18737"/>
        <item h="1" x="18738"/>
        <item h="1" x="18739"/>
        <item h="1" x="18740"/>
        <item h="1" x="18741"/>
        <item h="1" x="18742"/>
        <item h="1" x="18743"/>
        <item h="1" x="18744"/>
        <item h="1" x="18745"/>
        <item h="1" x="18746"/>
        <item h="1" x="18747"/>
        <item h="1" x="18748"/>
        <item h="1" x="18749"/>
        <item h="1" x="18750"/>
        <item h="1" x="18751"/>
        <item h="1" x="18752"/>
        <item h="1" x="18753"/>
        <item h="1" x="18754"/>
        <item h="1" x="18755"/>
        <item h="1" x="18756"/>
        <item h="1" x="18757"/>
        <item h="1" x="18758"/>
        <item h="1" x="18759"/>
        <item h="1" x="18760"/>
        <item h="1" x="18761"/>
        <item h="1" x="18762"/>
        <item h="1" x="18763"/>
        <item h="1" x="18764"/>
        <item h="1" x="18765"/>
        <item h="1" x="18766"/>
        <item h="1" x="18767"/>
        <item h="1" x="18768"/>
        <item h="1" x="18769"/>
        <item h="1" x="18770"/>
        <item h="1" x="18771"/>
        <item h="1" x="18772"/>
        <item h="1" x="18773"/>
        <item h="1" x="18774"/>
        <item h="1" x="18775"/>
        <item h="1" x="18776"/>
        <item h="1" x="18777"/>
        <item h="1" x="18778"/>
        <item h="1" x="18779"/>
        <item h="1" x="18780"/>
        <item h="1" x="18781"/>
        <item h="1" x="18782"/>
        <item h="1" x="18783"/>
        <item h="1" x="18784"/>
        <item h="1" x="18785"/>
        <item h="1" x="18786"/>
        <item h="1" x="18787"/>
        <item h="1" x="18788"/>
        <item h="1" x="18789"/>
        <item h="1" x="18790"/>
        <item h="1" x="18791"/>
        <item h="1" x="18792"/>
        <item h="1" x="18793"/>
        <item h="1" x="18794"/>
        <item h="1" x="18795"/>
        <item h="1" x="18796"/>
        <item h="1" x="18797"/>
        <item h="1" x="18798"/>
        <item h="1" x="18799"/>
        <item h="1" x="18800"/>
        <item h="1" x="18801"/>
        <item h="1" x="18802"/>
        <item h="1" x="18803"/>
        <item h="1" x="18804"/>
        <item h="1" x="18805"/>
        <item h="1" x="18806"/>
        <item h="1" x="18807"/>
        <item h="1" x="18808"/>
        <item h="1" x="18809"/>
        <item h="1" x="18810"/>
        <item h="1" x="18811"/>
        <item h="1" x="18812"/>
        <item h="1" x="18813"/>
        <item h="1" x="18814"/>
        <item h="1" x="18815"/>
        <item h="1" x="18816"/>
        <item h="1" x="18817"/>
        <item h="1" x="18818"/>
        <item h="1" x="18819"/>
        <item h="1" x="18820"/>
        <item h="1" x="18821"/>
        <item h="1" x="18822"/>
        <item h="1" x="18823"/>
        <item h="1" x="18824"/>
        <item h="1" x="18825"/>
        <item h="1" x="18826"/>
        <item h="1" x="18827"/>
        <item h="1" x="18828"/>
        <item h="1" x="18829"/>
        <item h="1" x="18830"/>
        <item h="1" x="18831"/>
        <item h="1" x="18832"/>
        <item h="1" x="18833"/>
        <item h="1" x="18834"/>
        <item h="1" x="18835"/>
        <item h="1" x="18836"/>
        <item h="1" x="18837"/>
        <item h="1" x="18838"/>
        <item h="1" x="18839"/>
        <item h="1" x="18840"/>
        <item h="1" x="18841"/>
        <item h="1" x="18842"/>
        <item h="1" x="18843"/>
        <item h="1" x="18844"/>
        <item h="1" x="18845"/>
        <item h="1" x="18846"/>
        <item h="1" x="18847"/>
        <item h="1" x="18848"/>
        <item h="1" x="18849"/>
        <item h="1" x="18850"/>
        <item h="1" x="18851"/>
        <item h="1" x="18852"/>
        <item h="1" x="18853"/>
        <item h="1" x="18854"/>
        <item h="1" x="18855"/>
        <item h="1" x="18856"/>
        <item h="1" x="18857"/>
        <item h="1" x="18858"/>
        <item h="1" x="18859"/>
        <item h="1" x="18860"/>
        <item h="1" x="18861"/>
        <item h="1" x="18862"/>
        <item h="1" x="18863"/>
        <item h="1" x="18864"/>
        <item h="1" x="18865"/>
        <item h="1" x="18866"/>
        <item h="1" x="18867"/>
        <item h="1" x="18868"/>
        <item h="1" x="18869"/>
        <item h="1" x="18870"/>
        <item h="1" x="18871"/>
        <item h="1" x="18872"/>
        <item h="1" x="18873"/>
        <item h="1" x="18874"/>
        <item h="1" x="18875"/>
        <item h="1" x="18876"/>
        <item h="1" x="18877"/>
        <item h="1" x="18878"/>
        <item h="1" x="18879"/>
        <item h="1" x="18880"/>
        <item h="1" x="18881"/>
        <item h="1" x="18882"/>
        <item h="1" x="18883"/>
        <item h="1" x="18884"/>
        <item h="1" x="18885"/>
        <item h="1" x="18886"/>
        <item h="1" x="18887"/>
        <item h="1" x="18888"/>
        <item h="1" x="18889"/>
        <item h="1" x="18890"/>
        <item h="1" x="18891"/>
        <item h="1" x="18892"/>
        <item h="1" x="18893"/>
        <item h="1" x="18894"/>
        <item h="1" x="18895"/>
        <item h="1" x="18896"/>
        <item h="1" x="18897"/>
        <item h="1" x="18898"/>
        <item h="1" x="18899"/>
        <item h="1" x="18900"/>
        <item h="1" x="18901"/>
        <item h="1" x="18902"/>
        <item h="1" x="18903"/>
        <item h="1" x="18904"/>
        <item h="1" x="18905"/>
        <item h="1" x="18906"/>
        <item h="1" x="18907"/>
        <item h="1" x="18908"/>
        <item h="1" x="18909"/>
        <item h="1" x="18910"/>
        <item h="1" x="18911"/>
        <item h="1" x="18912"/>
        <item h="1" x="18913"/>
        <item h="1" x="18914"/>
        <item h="1" x="18915"/>
        <item h="1" x="18916"/>
        <item h="1" x="18917"/>
        <item h="1" x="18918"/>
        <item h="1" x="18919"/>
        <item h="1" x="18920"/>
        <item h="1" x="18921"/>
        <item h="1" x="18922"/>
        <item h="1" x="18923"/>
        <item h="1" x="18924"/>
        <item h="1" x="18925"/>
        <item h="1" x="18926"/>
        <item h="1" x="18927"/>
        <item h="1" x="18928"/>
        <item h="1" x="18929"/>
        <item h="1" x="18930"/>
        <item h="1" x="18931"/>
        <item h="1" x="18932"/>
        <item h="1" x="18933"/>
        <item h="1" x="18934"/>
        <item h="1" x="18935"/>
        <item h="1" x="18936"/>
        <item h="1" x="18937"/>
        <item h="1" x="18938"/>
        <item h="1" x="18939"/>
        <item h="1" x="18940"/>
        <item h="1" x="18941"/>
        <item h="1" x="18942"/>
        <item h="1" x="18943"/>
        <item h="1" x="18944"/>
        <item h="1" x="18945"/>
        <item h="1" x="18946"/>
        <item h="1" x="18947"/>
        <item h="1" x="18948"/>
        <item h="1" x="18949"/>
        <item h="1" x="18950"/>
        <item h="1" x="18951"/>
        <item h="1" x="18952"/>
        <item h="1" x="18953"/>
        <item h="1" x="18954"/>
        <item h="1" x="18955"/>
        <item h="1" x="18956"/>
        <item h="1" x="18957"/>
        <item h="1" x="18958"/>
        <item h="1" x="18959"/>
        <item h="1" x="18960"/>
        <item h="1" x="18961"/>
        <item h="1" x="18962"/>
        <item h="1" x="18963"/>
        <item h="1" x="18964"/>
        <item h="1" x="18965"/>
        <item h="1" x="18966"/>
        <item h="1" x="18967"/>
        <item h="1" x="18968"/>
        <item h="1" x="18969"/>
        <item h="1" x="18970"/>
        <item h="1" x="18971"/>
        <item h="1" x="18972"/>
        <item h="1" x="18973"/>
        <item h="1" x="18974"/>
        <item h="1" x="18975"/>
        <item h="1" x="18976"/>
        <item h="1" x="18977"/>
        <item h="1" x="18978"/>
        <item h="1" x="18979"/>
        <item h="1" x="18980"/>
        <item h="1" x="18981"/>
        <item h="1" x="18982"/>
        <item h="1" x="18983"/>
        <item h="1" x="18984"/>
        <item h="1" x="18985"/>
        <item h="1" x="18986"/>
        <item h="1" x="18987"/>
        <item h="1" x="18988"/>
        <item h="1" x="18989"/>
        <item h="1" x="18990"/>
        <item h="1" x="18991"/>
        <item h="1" x="18992"/>
        <item h="1" x="18993"/>
        <item h="1" x="18994"/>
        <item h="1" x="18995"/>
        <item h="1" x="18996"/>
        <item h="1" x="18997"/>
        <item h="1" x="18998"/>
        <item h="1" x="18999"/>
        <item h="1" x="19000"/>
        <item h="1" x="19001"/>
        <item h="1" x="19002"/>
        <item h="1" x="19003"/>
        <item h="1" x="19004"/>
        <item h="1" x="19005"/>
        <item h="1" x="19006"/>
        <item h="1" x="19007"/>
        <item h="1" x="19008"/>
        <item h="1" x="19009"/>
        <item h="1" x="19010"/>
        <item h="1" x="19011"/>
        <item h="1" x="19012"/>
        <item h="1" x="19013"/>
        <item h="1" x="19014"/>
        <item h="1" x="19015"/>
        <item h="1" x="19016"/>
        <item h="1" x="19017"/>
        <item h="1" x="19018"/>
        <item h="1" x="19019"/>
        <item h="1" x="19020"/>
        <item h="1" x="19021"/>
        <item h="1" x="19022"/>
        <item h="1" x="19023"/>
        <item h="1" x="19024"/>
        <item h="1" x="19025"/>
        <item h="1" x="19026"/>
        <item h="1" x="19027"/>
        <item h="1" x="19028"/>
        <item h="1" x="19029"/>
        <item h="1" x="19030"/>
        <item h="1" x="19031"/>
        <item h="1" x="19032"/>
        <item h="1" x="19033"/>
        <item h="1" x="19034"/>
        <item h="1" x="19035"/>
        <item h="1" x="19036"/>
        <item h="1" x="19037"/>
        <item h="1" x="19038"/>
        <item h="1" x="19039"/>
        <item h="1" x="19040"/>
        <item h="1" x="19041"/>
        <item h="1" x="19042"/>
        <item h="1" x="19043"/>
        <item h="1" x="19044"/>
        <item h="1" x="19045"/>
        <item h="1" x="19046"/>
        <item h="1" x="19047"/>
        <item h="1" x="19048"/>
        <item h="1" x="19049"/>
        <item h="1" x="19050"/>
        <item h="1" x="19051"/>
        <item h="1" x="19052"/>
        <item h="1" x="19053"/>
        <item h="1" x="19054"/>
        <item h="1" x="19055"/>
        <item h="1" x="19056"/>
        <item h="1" x="19057"/>
        <item h="1" x="19058"/>
        <item h="1" x="19059"/>
        <item h="1" x="19060"/>
        <item h="1" x="19061"/>
        <item h="1" x="19062"/>
        <item h="1" x="19063"/>
        <item h="1" x="19064"/>
        <item h="1" x="19065"/>
        <item h="1" x="19066"/>
        <item h="1" x="19067"/>
        <item h="1" x="19068"/>
        <item h="1" x="19069"/>
        <item h="1" x="19070"/>
        <item h="1" x="19071"/>
        <item h="1" x="19072"/>
        <item h="1" x="19073"/>
        <item h="1" x="19074"/>
        <item h="1" x="19075"/>
        <item h="1" x="19076"/>
        <item h="1" x="19077"/>
        <item h="1" x="19078"/>
        <item h="1" x="19079"/>
        <item h="1" x="19080"/>
        <item h="1" x="19081"/>
        <item h="1" x="19082"/>
        <item h="1" x="19083"/>
        <item h="1" x="19084"/>
        <item h="1" x="19085"/>
        <item h="1" x="19086"/>
        <item h="1" x="19087"/>
        <item h="1" x="19088"/>
        <item h="1" x="19089"/>
        <item h="1" x="19090"/>
        <item h="1" x="19091"/>
        <item h="1" x="19092"/>
        <item h="1" x="19093"/>
        <item h="1" x="19094"/>
        <item h="1" x="19095"/>
        <item h="1" x="19096"/>
        <item h="1" x="19097"/>
        <item h="1" x="19098"/>
        <item h="1" x="19099"/>
        <item h="1" x="19100"/>
        <item h="1" x="19101"/>
        <item h="1" x="19102"/>
        <item h="1" x="19103"/>
        <item h="1" x="19104"/>
        <item h="1" x="19105"/>
        <item h="1" x="19106"/>
        <item h="1" x="19107"/>
        <item h="1" x="19108"/>
        <item h="1" x="19109"/>
        <item h="1" x="19110"/>
        <item h="1" x="19111"/>
        <item h="1" x="19112"/>
        <item h="1" x="19113"/>
        <item h="1" x="19114"/>
        <item h="1" x="19115"/>
        <item h="1" x="19116"/>
        <item h="1" x="19117"/>
        <item h="1" x="19118"/>
        <item h="1" x="19119"/>
        <item h="1" x="19120"/>
        <item h="1" x="19121"/>
        <item h="1" x="19122"/>
        <item h="1" x="19123"/>
        <item h="1" x="19124"/>
        <item h="1" x="19125"/>
        <item h="1" x="19126"/>
        <item h="1" x="19127"/>
        <item h="1" x="19128"/>
        <item h="1" x="19129"/>
        <item h="1" x="19130"/>
        <item h="1" x="19131"/>
        <item h="1" x="19132"/>
        <item h="1" x="19133"/>
        <item h="1" x="19134"/>
        <item h="1" x="19135"/>
        <item h="1" x="19136"/>
        <item h="1" x="19137"/>
        <item h="1" x="19138"/>
        <item h="1" x="19139"/>
        <item h="1" x="19140"/>
        <item h="1" x="19141"/>
        <item h="1" x="19142"/>
        <item h="1" x="19143"/>
        <item h="1" x="19144"/>
        <item h="1" x="19145"/>
        <item h="1" x="19146"/>
        <item h="1" x="19147"/>
        <item h="1" x="19148"/>
        <item h="1" x="19149"/>
        <item h="1" x="19150"/>
        <item h="1" x="19151"/>
        <item h="1" x="19152"/>
        <item h="1" x="19153"/>
        <item h="1" x="19154"/>
        <item h="1" x="19155"/>
        <item h="1" x="19156"/>
        <item h="1" x="19157"/>
        <item h="1" x="19158"/>
        <item h="1" x="19159"/>
        <item h="1" x="19160"/>
        <item h="1" x="19161"/>
        <item h="1" x="19162"/>
        <item h="1" x="19163"/>
        <item h="1" x="19164"/>
        <item h="1" x="19165"/>
        <item h="1" x="19166"/>
        <item h="1" x="19167"/>
        <item h="1" x="19168"/>
        <item h="1" x="19169"/>
        <item h="1" x="19170"/>
        <item h="1" x="19171"/>
        <item h="1" x="19172"/>
        <item h="1" x="19173"/>
        <item h="1" x="19174"/>
        <item h="1" x="19175"/>
        <item h="1" x="19176"/>
        <item h="1" x="19177"/>
        <item h="1" x="19178"/>
        <item h="1" x="19179"/>
        <item h="1" x="19180"/>
        <item h="1" x="19181"/>
        <item h="1" x="19182"/>
        <item h="1" x="19183"/>
        <item h="1" x="19184"/>
        <item h="1" x="19185"/>
        <item h="1" x="19186"/>
        <item h="1" x="19187"/>
        <item h="1" x="19188"/>
        <item h="1" x="19189"/>
        <item h="1" x="19190"/>
        <item h="1" x="19191"/>
        <item h="1" x="19192"/>
        <item h="1" x="19193"/>
        <item h="1" x="19194"/>
        <item h="1" x="19195"/>
        <item h="1" x="19196"/>
        <item h="1" x="19197"/>
        <item h="1" x="19198"/>
        <item h="1" x="19199"/>
        <item h="1" x="19200"/>
        <item h="1" x="19201"/>
        <item h="1" x="19202"/>
        <item h="1" x="19203"/>
        <item h="1" x="19204"/>
        <item h="1" x="19205"/>
        <item h="1" x="19206"/>
        <item h="1" x="19207"/>
        <item h="1" x="19208"/>
        <item h="1" x="19209"/>
        <item h="1" x="19210"/>
        <item h="1" x="19211"/>
        <item h="1" x="19212"/>
        <item h="1" x="19213"/>
        <item h="1" x="19214"/>
        <item h="1" x="19215"/>
        <item h="1" x="19216"/>
        <item h="1" x="19217"/>
        <item h="1" x="19218"/>
        <item h="1" x="19219"/>
        <item h="1" x="19220"/>
        <item h="1" x="19221"/>
        <item h="1" x="19222"/>
        <item h="1" x="19223"/>
        <item h="1" x="19224"/>
        <item h="1" x="19225"/>
        <item h="1" x="19226"/>
        <item h="1" x="19227"/>
        <item h="1" x="19228"/>
        <item h="1" x="19229"/>
        <item h="1" x="19230"/>
        <item h="1" x="19231"/>
        <item h="1" x="19232"/>
        <item h="1" x="19233"/>
        <item h="1" x="19234"/>
        <item h="1" x="19235"/>
        <item h="1" x="19236"/>
        <item h="1" x="19237"/>
        <item h="1" x="19238"/>
        <item h="1" x="19239"/>
        <item h="1" x="19240"/>
        <item h="1" x="19241"/>
        <item h="1" x="19242"/>
        <item h="1" x="19243"/>
        <item h="1" x="19244"/>
        <item h="1" x="19245"/>
        <item h="1" x="19246"/>
        <item h="1" x="19247"/>
        <item h="1" x="19248"/>
        <item h="1" x="19249"/>
        <item h="1" x="19250"/>
        <item h="1" x="19251"/>
        <item h="1" x="19252"/>
        <item h="1" x="19253"/>
        <item h="1" x="19254"/>
        <item h="1" x="19255"/>
        <item h="1" x="19256"/>
        <item h="1" x="19257"/>
        <item h="1" x="19258"/>
        <item h="1" x="19259"/>
        <item h="1" x="19260"/>
        <item h="1" x="19261"/>
        <item h="1" x="19262"/>
        <item h="1" x="19263"/>
        <item h="1" x="19264"/>
        <item h="1" x="19265"/>
        <item h="1" x="19266"/>
        <item h="1" x="19267"/>
        <item h="1" x="19268"/>
        <item h="1" x="19269"/>
        <item h="1" x="19270"/>
        <item h="1" x="19271"/>
        <item h="1" x="19272"/>
        <item h="1" x="19273"/>
        <item h="1" x="19274"/>
        <item h="1" x="19275"/>
        <item h="1" x="19276"/>
        <item h="1" x="19277"/>
        <item h="1" x="19278"/>
        <item h="1" x="19279"/>
        <item h="1" x="19280"/>
        <item h="1" x="19281"/>
        <item h="1" x="19282"/>
        <item h="1" x="19283"/>
        <item h="1" x="19284"/>
        <item h="1" x="19285"/>
        <item h="1" x="19286"/>
        <item h="1" x="19287"/>
        <item h="1" x="19288"/>
        <item h="1" x="19289"/>
        <item h="1" x="19290"/>
        <item h="1" x="19291"/>
        <item h="1" x="19292"/>
        <item h="1" x="19293"/>
        <item h="1" x="19294"/>
        <item h="1" x="19295"/>
        <item h="1" x="19296"/>
        <item h="1" x="19297"/>
        <item h="1" x="19298"/>
        <item h="1" x="19299"/>
        <item h="1" x="19300"/>
        <item h="1" x="19301"/>
        <item h="1" x="19302"/>
        <item h="1" x="19303"/>
        <item h="1" x="19304"/>
        <item h="1" x="19305"/>
        <item h="1" x="19306"/>
        <item h="1" x="19307"/>
        <item h="1" x="19308"/>
        <item h="1" x="19309"/>
        <item h="1" x="19310"/>
        <item h="1" x="19311"/>
        <item h="1" x="19312"/>
        <item h="1" x="19313"/>
        <item h="1" x="19314"/>
        <item h="1" x="19315"/>
        <item h="1" x="19316"/>
        <item h="1" x="19317"/>
        <item h="1" x="19318"/>
        <item h="1" x="19319"/>
        <item h="1" x="19320"/>
        <item h="1" x="19321"/>
        <item h="1" x="19322"/>
        <item h="1" x="19323"/>
        <item h="1" x="19324"/>
        <item h="1" x="19325"/>
        <item h="1" x="19326"/>
        <item h="1" x="19327"/>
        <item h="1" x="19328"/>
        <item h="1" x="19329"/>
        <item h="1" x="19330"/>
        <item h="1" x="19331"/>
        <item h="1" x="19332"/>
        <item h="1" x="19333"/>
        <item h="1" x="19334"/>
        <item h="1" x="19335"/>
        <item h="1" x="19336"/>
        <item h="1" x="19337"/>
        <item h="1" x="19338"/>
        <item h="1" x="19339"/>
        <item h="1" x="19340"/>
        <item h="1" x="19341"/>
        <item h="1" x="19342"/>
        <item h="1" x="19343"/>
        <item h="1" x="19344"/>
        <item h="1" x="19345"/>
        <item h="1" x="19346"/>
        <item h="1" x="19347"/>
        <item h="1" x="19348"/>
        <item h="1" x="19349"/>
        <item h="1" x="19350"/>
        <item h="1" x="19351"/>
        <item h="1" x="19352"/>
        <item h="1" x="19353"/>
        <item h="1" x="19354"/>
        <item h="1" x="19355"/>
        <item h="1" x="19356"/>
        <item h="1" x="19357"/>
        <item h="1" x="19358"/>
        <item h="1" x="19359"/>
        <item h="1" x="19360"/>
        <item h="1" x="19361"/>
        <item h="1" x="19362"/>
        <item h="1" x="19363"/>
        <item h="1" x="19364"/>
        <item h="1" x="19365"/>
        <item h="1" x="19366"/>
        <item h="1" x="19367"/>
        <item h="1" x="19368"/>
        <item h="1" x="19369"/>
        <item h="1" x="19370"/>
        <item h="1" x="19371"/>
        <item h="1" x="19372"/>
        <item h="1" x="19373"/>
        <item h="1" x="19374"/>
        <item h="1" x="19375"/>
        <item h="1" x="19376"/>
        <item h="1" x="19377"/>
        <item h="1" x="19378"/>
        <item h="1" x="19379"/>
        <item h="1" x="19380"/>
        <item h="1" x="19381"/>
        <item h="1" x="19382"/>
        <item h="1" x="19383"/>
        <item h="1" x="19384"/>
        <item h="1" x="19385"/>
        <item h="1" x="19386"/>
        <item h="1" x="19387"/>
        <item h="1" x="19388"/>
        <item h="1" x="19389"/>
        <item h="1" x="19390"/>
        <item h="1" x="19391"/>
        <item h="1" x="19392"/>
        <item h="1" x="19393"/>
        <item h="1" x="19394"/>
        <item h="1" x="19395"/>
        <item h="1" x="19396"/>
        <item h="1" x="19397"/>
        <item h="1" x="19398"/>
        <item h="1" x="19399"/>
        <item h="1" x="19400"/>
        <item h="1" x="19401"/>
        <item h="1" x="19402"/>
        <item h="1" x="19403"/>
        <item h="1" x="19404"/>
        <item h="1" x="19405"/>
        <item h="1" x="19406"/>
        <item h="1" x="19407"/>
        <item h="1" x="19408"/>
        <item h="1" x="19409"/>
        <item h="1" x="19410"/>
        <item h="1" x="19411"/>
        <item h="1" x="19412"/>
        <item h="1" x="19413"/>
        <item h="1" x="19414"/>
        <item h="1" x="19415"/>
        <item h="1" x="19416"/>
        <item h="1" x="19417"/>
        <item h="1" x="19418"/>
        <item h="1" x="19419"/>
        <item h="1" x="19420"/>
        <item h="1" x="19421"/>
        <item h="1" x="19422"/>
        <item h="1" x="19423"/>
        <item h="1" x="19424"/>
        <item h="1" x="19425"/>
        <item h="1" x="19426"/>
        <item h="1" x="19427"/>
        <item h="1" x="19428"/>
        <item h="1" x="19429"/>
        <item h="1" x="19430"/>
        <item h="1" x="19431"/>
        <item h="1" x="19432"/>
        <item h="1" x="19433"/>
        <item h="1" x="19434"/>
        <item h="1" x="19435"/>
        <item h="1" x="19436"/>
        <item h="1" x="19437"/>
        <item h="1" x="19438"/>
        <item h="1" x="19439"/>
        <item h="1" x="19440"/>
        <item h="1" x="19441"/>
        <item h="1" x="19442"/>
        <item h="1" x="19443"/>
        <item h="1" x="19444"/>
        <item h="1" x="19445"/>
        <item h="1" x="19446"/>
        <item h="1" x="19447"/>
        <item h="1" x="19448"/>
        <item h="1" x="19449"/>
        <item h="1" x="19450"/>
        <item h="1" x="19451"/>
        <item h="1" x="19452"/>
        <item h="1" x="19453"/>
        <item h="1" x="19454"/>
        <item h="1" x="19455"/>
        <item h="1" x="19456"/>
        <item h="1" x="19457"/>
        <item h="1" x="19458"/>
        <item h="1" x="19459"/>
        <item h="1" x="19460"/>
        <item h="1" x="19461"/>
        <item h="1" x="19462"/>
        <item h="1" x="19463"/>
        <item h="1" x="19464"/>
        <item h="1" x="19465"/>
        <item h="1" x="19466"/>
        <item h="1" x="19467"/>
        <item h="1" x="19468"/>
        <item h="1" x="19469"/>
        <item h="1" x="19470"/>
        <item h="1" x="19471"/>
        <item h="1" x="19472"/>
        <item h="1" x="19473"/>
        <item h="1" x="19474"/>
        <item h="1" x="19475"/>
        <item h="1" x="19476"/>
        <item h="1" x="19477"/>
        <item h="1" x="19478"/>
        <item h="1" x="19479"/>
        <item h="1" x="19480"/>
        <item h="1" x="19481"/>
        <item h="1" x="19482"/>
        <item h="1" x="19483"/>
        <item h="1" x="19484"/>
        <item h="1" x="19485"/>
        <item h="1" x="19486"/>
        <item h="1" x="19487"/>
        <item h="1" x="19488"/>
        <item h="1" x="19489"/>
        <item h="1" x="19490"/>
        <item h="1" x="19491"/>
        <item h="1" x="19492"/>
        <item h="1" x="19493"/>
        <item h="1" x="19494"/>
        <item h="1" x="19495"/>
        <item h="1" x="19496"/>
        <item h="1" x="19497"/>
        <item h="1" x="19498"/>
        <item h="1" x="19499"/>
        <item h="1" x="19500"/>
        <item h="1" x="19501"/>
        <item h="1" x="19502"/>
        <item h="1" x="19503"/>
        <item h="1" x="19504"/>
        <item h="1" x="19505"/>
        <item h="1" x="19506"/>
        <item h="1" x="19507"/>
        <item h="1" x="19508"/>
        <item h="1" x="19509"/>
        <item h="1" x="19510"/>
        <item h="1" x="19511"/>
        <item h="1" x="19512"/>
        <item h="1" x="19513"/>
        <item h="1" x="19514"/>
        <item h="1" x="19515"/>
        <item h="1" x="19516"/>
        <item h="1" x="19517"/>
        <item h="1" x="19518"/>
        <item h="1" x="19519"/>
        <item h="1" x="19520"/>
        <item h="1" x="19521"/>
        <item h="1" x="19522"/>
        <item h="1" x="19523"/>
        <item h="1" x="19524"/>
        <item h="1" x="19525"/>
        <item h="1" x="19526"/>
        <item h="1" x="19527"/>
        <item h="1" x="19528"/>
        <item h="1" x="19529"/>
        <item h="1" x="19530"/>
        <item h="1" x="19531"/>
        <item h="1" x="19532"/>
        <item h="1" x="19533"/>
        <item h="1" x="19534"/>
        <item h="1" x="19535"/>
        <item h="1" x="19536"/>
        <item h="1" x="19537"/>
        <item h="1" x="19538"/>
        <item h="1" x="19539"/>
        <item h="1" x="19540"/>
        <item h="1" x="19541"/>
        <item h="1" x="19542"/>
        <item h="1" x="19543"/>
        <item h="1" x="19544"/>
        <item h="1" x="19545"/>
        <item h="1" x="19546"/>
        <item h="1" x="19547"/>
        <item h="1" x="19548"/>
        <item h="1" x="19549"/>
        <item h="1" x="19550"/>
        <item h="1" x="19551"/>
        <item h="1" x="19552"/>
        <item h="1" x="19553"/>
        <item h="1" x="19554"/>
        <item h="1" x="19555"/>
        <item h="1" x="19556"/>
        <item h="1" x="19557"/>
        <item h="1" x="19558"/>
        <item h="1" x="19559"/>
        <item h="1" x="19560"/>
        <item h="1" x="19561"/>
        <item h="1" x="19562"/>
        <item h="1" x="19563"/>
        <item h="1" x="19564"/>
        <item h="1" x="19565"/>
        <item h="1" x="19566"/>
        <item h="1" x="19567"/>
        <item h="1" x="19568"/>
        <item h="1" x="19569"/>
        <item h="1" x="19570"/>
        <item h="1" x="19571"/>
        <item h="1" x="19572"/>
        <item h="1" x="19573"/>
        <item h="1" x="19574"/>
        <item h="1" x="19575"/>
        <item h="1" x="19576"/>
        <item h="1" x="19577"/>
        <item h="1" x="19578"/>
        <item h="1" x="19579"/>
        <item h="1" x="19580"/>
        <item h="1" x="19581"/>
        <item h="1" x="19582"/>
        <item h="1" x="19583"/>
        <item h="1" x="19584"/>
        <item h="1" x="19585"/>
        <item h="1" x="19586"/>
        <item h="1" x="19587"/>
        <item h="1" x="19588"/>
        <item h="1" x="19589"/>
        <item h="1" x="19590"/>
        <item h="1" x="19591"/>
        <item h="1" x="19592"/>
        <item h="1" x="19593"/>
        <item h="1" x="19594"/>
        <item h="1" x="19595"/>
        <item h="1" x="19596"/>
        <item h="1" x="19597"/>
        <item h="1" x="19598"/>
        <item h="1" x="19599"/>
        <item h="1" x="19600"/>
        <item h="1" x="19601"/>
        <item h="1" x="19602"/>
        <item h="1" x="19603"/>
        <item h="1" x="19604"/>
        <item h="1" x="19605"/>
        <item h="1" x="19606"/>
        <item h="1" x="19607"/>
        <item h="1" x="19608"/>
        <item h="1" x="19609"/>
        <item h="1" x="19610"/>
        <item h="1" x="19611"/>
        <item h="1" x="19612"/>
        <item h="1" x="19613"/>
        <item h="1" x="19614"/>
        <item h="1" x="19615"/>
        <item h="1" x="19616"/>
        <item h="1" x="19617"/>
        <item h="1" x="19618"/>
        <item h="1" x="19619"/>
        <item h="1" x="19620"/>
        <item h="1" x="19621"/>
        <item h="1" x="19622"/>
        <item h="1" x="19623"/>
        <item h="1" x="19624"/>
        <item h="1" x="19625"/>
        <item h="1" x="19626"/>
        <item h="1" x="19627"/>
        <item h="1" x="19628"/>
        <item h="1" x="19629"/>
        <item h="1" x="19630"/>
        <item h="1" x="19631"/>
        <item h="1" x="19632"/>
        <item h="1" x="19633"/>
        <item h="1" x="19634"/>
        <item h="1" x="19635"/>
        <item h="1" x="19636"/>
        <item h="1" x="19637"/>
        <item h="1" x="19638"/>
        <item h="1" x="19639"/>
        <item h="1" x="19640"/>
        <item h="1" x="19641"/>
        <item h="1" x="19642"/>
        <item h="1" x="19643"/>
        <item h="1" x="19644"/>
        <item h="1" x="19645"/>
        <item h="1" x="19646"/>
        <item h="1" x="19647"/>
        <item h="1" x="19648"/>
        <item h="1" x="19649"/>
        <item h="1" x="19650"/>
        <item h="1" x="19651"/>
        <item h="1" x="19652"/>
        <item h="1" x="19653"/>
        <item h="1" x="19654"/>
        <item h="1" x="19655"/>
        <item h="1" x="19656"/>
        <item h="1" x="19657"/>
        <item h="1" x="19658"/>
        <item h="1" x="19659"/>
        <item h="1" x="19660"/>
        <item h="1" x="19661"/>
        <item h="1" x="19662"/>
        <item h="1" x="19663"/>
        <item h="1" x="19664"/>
        <item h="1" x="19665"/>
        <item h="1" x="19666"/>
        <item h="1" x="19667"/>
        <item h="1" x="19668"/>
        <item h="1" x="19669"/>
        <item h="1" x="19670"/>
        <item h="1" x="19671"/>
        <item h="1" x="19672"/>
        <item h="1" x="19673"/>
        <item h="1" x="19674"/>
        <item h="1" x="19675"/>
        <item h="1" x="19676"/>
        <item h="1" x="19677"/>
        <item h="1" x="19678"/>
        <item h="1" x="19679"/>
        <item h="1" x="19680"/>
        <item h="1" x="19681"/>
        <item h="1" x="19682"/>
        <item h="1" x="19683"/>
        <item h="1" x="19684"/>
        <item h="1" x="19685"/>
        <item h="1" x="19686"/>
        <item h="1" x="19687"/>
        <item h="1" x="19688"/>
        <item h="1" x="19689"/>
        <item h="1" x="19690"/>
        <item h="1" x="19691"/>
        <item h="1" x="19692"/>
        <item h="1" x="19693"/>
        <item h="1" x="19694"/>
        <item h="1" x="19695"/>
        <item h="1" x="19696"/>
        <item h="1" x="19697"/>
        <item h="1" x="19698"/>
        <item h="1" x="19699"/>
        <item h="1" x="19700"/>
        <item h="1" x="19701"/>
        <item h="1" x="19702"/>
        <item h="1" x="19703"/>
        <item h="1" x="19704"/>
        <item h="1" x="19705"/>
        <item h="1" x="19706"/>
        <item h="1" x="19707"/>
        <item h="1" x="19708"/>
        <item h="1" x="19709"/>
        <item h="1" x="19710"/>
        <item h="1" x="19711"/>
        <item h="1" x="19712"/>
        <item h="1" x="19713"/>
        <item h="1" x="19714"/>
        <item h="1" x="19715"/>
        <item h="1" x="19716"/>
        <item h="1" x="19717"/>
        <item h="1" x="19718"/>
        <item h="1" x="19719"/>
        <item h="1" x="19720"/>
        <item h="1" x="19721"/>
        <item h="1" x="19722"/>
        <item h="1" x="19723"/>
        <item h="1" x="19724"/>
        <item h="1" x="19725"/>
        <item h="1" x="19726"/>
        <item h="1" x="19727"/>
        <item h="1" x="19728"/>
        <item h="1" x="19729"/>
        <item h="1" x="19730"/>
        <item h="1" x="19731"/>
        <item h="1" x="19732"/>
        <item h="1" x="19733"/>
        <item h="1" x="19734"/>
        <item h="1" x="19735"/>
        <item h="1" x="19736"/>
        <item h="1" x="19737"/>
        <item h="1" x="19738"/>
        <item h="1" x="19739"/>
        <item h="1" x="19740"/>
        <item h="1" x="19741"/>
        <item h="1" x="19742"/>
        <item h="1" x="19743"/>
        <item h="1" x="19744"/>
        <item h="1" x="19745"/>
        <item h="1" x="19746"/>
        <item h="1" x="19747"/>
        <item h="1" x="19748"/>
        <item h="1" x="19749"/>
        <item h="1" x="19750"/>
        <item h="1" x="19751"/>
        <item h="1" x="19752"/>
        <item h="1" x="19753"/>
        <item h="1" x="19754"/>
        <item h="1" x="19755"/>
        <item h="1" x="19756"/>
        <item h="1" x="19757"/>
        <item h="1" x="19758"/>
        <item h="1" x="19759"/>
        <item h="1" x="19760"/>
        <item h="1" x="19761"/>
        <item h="1" x="19762"/>
        <item h="1" x="19763"/>
        <item h="1" x="19764"/>
        <item h="1" x="19765"/>
        <item h="1" x="19766"/>
        <item h="1" x="19767"/>
        <item h="1" x="19768"/>
        <item h="1" x="19769"/>
        <item h="1" x="19770"/>
        <item h="1" x="19771"/>
        <item h="1" x="19772"/>
        <item h="1" x="19773"/>
        <item h="1" x="19774"/>
        <item h="1" x="19775"/>
        <item h="1" x="19776"/>
        <item h="1" x="19777"/>
        <item h="1" x="19778"/>
        <item h="1" x="19779"/>
        <item h="1" x="19780"/>
        <item h="1" x="19781"/>
        <item h="1" x="19782"/>
        <item h="1" x="19783"/>
        <item h="1" x="19784"/>
        <item h="1" x="19785"/>
        <item h="1" x="19786"/>
        <item h="1" x="19787"/>
        <item h="1" x="19788"/>
        <item h="1" x="19789"/>
        <item h="1" x="19790"/>
        <item h="1" x="19791"/>
        <item h="1" x="19792"/>
        <item h="1" x="19793"/>
        <item h="1" x="19794"/>
        <item h="1" x="19795"/>
        <item h="1" x="19796"/>
        <item h="1" x="19797"/>
        <item h="1" x="19798"/>
        <item h="1" x="19799"/>
        <item h="1" x="19800"/>
        <item h="1" x="19801"/>
        <item h="1" x="19802"/>
        <item h="1" x="19803"/>
        <item h="1" x="19804"/>
        <item h="1" x="19805"/>
        <item h="1" x="19806"/>
        <item h="1" x="19807"/>
        <item h="1" x="19808"/>
        <item h="1" x="19809"/>
        <item h="1" x="19810"/>
        <item h="1" x="19811"/>
        <item h="1" x="19812"/>
        <item h="1" x="19813"/>
        <item h="1" x="19814"/>
        <item h="1" x="19815"/>
        <item h="1" x="19816"/>
        <item h="1" x="19817"/>
        <item h="1" x="19818"/>
        <item h="1" x="19819"/>
        <item h="1" x="19820"/>
        <item h="1" x="19821"/>
        <item h="1" x="19822"/>
        <item h="1" x="19823"/>
        <item h="1" x="19824"/>
        <item h="1" x="19825"/>
        <item h="1" x="19826"/>
        <item h="1" x="19827"/>
        <item h="1" x="19828"/>
        <item h="1" x="19829"/>
        <item h="1" x="19830"/>
        <item h="1" x="19831"/>
        <item h="1" x="19832"/>
        <item h="1" x="19833"/>
        <item h="1" x="19834"/>
        <item h="1" x="19835"/>
        <item h="1" x="19836"/>
        <item h="1" x="19837"/>
        <item h="1" x="19838"/>
        <item h="1" x="19839"/>
        <item h="1" x="19840"/>
        <item h="1" x="19841"/>
        <item h="1" x="19842"/>
        <item h="1" x="19843"/>
        <item h="1" x="19844"/>
        <item h="1" x="19845"/>
        <item h="1" x="19846"/>
        <item h="1" x="19847"/>
        <item h="1" x="19848"/>
        <item h="1" x="19849"/>
        <item h="1" x="19850"/>
        <item h="1" x="19851"/>
        <item h="1" x="19852"/>
        <item h="1" x="19853"/>
        <item h="1" x="19854"/>
        <item h="1" x="19855"/>
        <item h="1" x="19856"/>
        <item h="1" x="19857"/>
        <item h="1" x="19858"/>
        <item h="1" x="19859"/>
        <item h="1" x="19860"/>
        <item h="1" x="19861"/>
        <item h="1" x="19862"/>
        <item h="1" x="19863"/>
        <item h="1" x="19864"/>
        <item h="1" x="19865"/>
        <item h="1" x="19866"/>
        <item h="1" x="19867"/>
        <item h="1" x="19868"/>
        <item h="1" x="19869"/>
        <item h="1" x="19870"/>
        <item h="1" x="19871"/>
        <item h="1" x="19872"/>
        <item h="1" x="19873"/>
        <item h="1" x="19874"/>
        <item h="1" x="19875"/>
        <item h="1" x="19876"/>
        <item h="1" x="19877"/>
        <item h="1" x="19878"/>
        <item h="1" x="19879"/>
        <item h="1" x="19880"/>
        <item h="1" x="19881"/>
        <item h="1" x="19882"/>
        <item h="1" x="19883"/>
        <item h="1" x="19884"/>
        <item h="1" x="19885"/>
        <item h="1" x="19886"/>
        <item h="1" x="19887"/>
        <item h="1" x="19888"/>
        <item h="1" x="19889"/>
        <item h="1" x="19890"/>
        <item h="1" x="19891"/>
        <item h="1" x="19892"/>
        <item h="1" x="19893"/>
        <item h="1" x="19894"/>
        <item h="1" x="19895"/>
        <item h="1" x="19896"/>
        <item h="1" x="19897"/>
        <item h="1" x="19898"/>
        <item h="1" x="19899"/>
        <item h="1" x="19900"/>
        <item h="1" x="19901"/>
        <item h="1" x="19902"/>
        <item h="1" x="19903"/>
        <item h="1" x="19904"/>
        <item h="1" x="19905"/>
        <item h="1" x="19906"/>
        <item h="1" x="19907"/>
        <item h="1" x="19908"/>
        <item h="1" x="19909"/>
        <item h="1" x="19910"/>
        <item h="1" x="19911"/>
        <item h="1" x="19912"/>
        <item h="1" x="19913"/>
        <item h="1" x="19914"/>
        <item h="1" x="19915"/>
        <item h="1" x="19916"/>
        <item h="1" x="19917"/>
        <item h="1" x="19918"/>
        <item h="1" x="19919"/>
        <item h="1" x="19920"/>
        <item h="1" x="19921"/>
        <item h="1" x="19922"/>
        <item h="1" x="19923"/>
        <item h="1" x="19924"/>
        <item h="1" x="19925"/>
        <item h="1" x="19926"/>
        <item h="1" x="19927"/>
        <item h="1" x="19928"/>
        <item h="1" x="19929"/>
        <item h="1" x="19930"/>
        <item h="1" x="19931"/>
        <item h="1" x="19932"/>
        <item h="1" x="19933"/>
        <item h="1" x="19934"/>
        <item h="1" x="19935"/>
        <item h="1" x="19936"/>
        <item h="1" x="19937"/>
        <item h="1" x="19938"/>
        <item h="1" x="19939"/>
        <item h="1" x="19940"/>
        <item h="1" x="19941"/>
        <item h="1" x="19942"/>
        <item h="1" x="19943"/>
        <item h="1" x="19944"/>
        <item h="1" x="19945"/>
        <item h="1" x="19946"/>
        <item h="1" x="19947"/>
        <item h="1" x="19948"/>
        <item h="1" x="19949"/>
        <item h="1" x="19950"/>
        <item h="1" x="19951"/>
        <item h="1" x="19952"/>
        <item h="1" x="19953"/>
        <item h="1" x="19954"/>
        <item h="1" x="19955"/>
        <item h="1" x="19956"/>
        <item h="1" x="19957"/>
        <item h="1" x="19958"/>
        <item h="1" x="19959"/>
        <item h="1" x="19960"/>
        <item h="1" x="19961"/>
        <item h="1" x="19962"/>
        <item h="1" x="19963"/>
        <item h="1" x="19964"/>
        <item h="1" x="19965"/>
        <item h="1" x="19966"/>
        <item h="1" x="19967"/>
        <item h="1" x="19968"/>
        <item h="1" x="19969"/>
        <item h="1" x="19970"/>
        <item h="1" x="19971"/>
        <item h="1" x="19972"/>
        <item h="1" x="19973"/>
        <item h="1" x="19974"/>
        <item h="1" x="19975"/>
        <item h="1" x="19976"/>
        <item h="1" x="19977"/>
        <item h="1" x="19978"/>
        <item h="1" x="19979"/>
        <item h="1" x="19980"/>
        <item h="1" x="19981"/>
        <item h="1" x="19982"/>
        <item h="1" x="19983"/>
        <item h="1" x="19984"/>
        <item h="1" x="19985"/>
        <item h="1" x="19986"/>
        <item h="1" x="19987"/>
        <item h="1" x="19988"/>
        <item h="1" x="19989"/>
        <item h="1" x="19990"/>
        <item h="1" x="19991"/>
        <item h="1" x="19992"/>
        <item h="1" x="19993"/>
        <item h="1" x="19994"/>
        <item h="1" x="19995"/>
        <item h="1" x="19996"/>
        <item h="1" x="19997"/>
        <item h="1" x="19998"/>
        <item h="1" x="19999"/>
        <item h="1" x="20000"/>
        <item h="1" x="20001"/>
        <item h="1" x="20002"/>
        <item h="1" x="20003"/>
        <item h="1" x="20004"/>
        <item h="1" x="20005"/>
        <item h="1" x="20006"/>
        <item h="1" x="20007"/>
        <item h="1" x="20008"/>
        <item h="1" x="20009"/>
        <item h="1" x="20010"/>
        <item h="1" x="20011"/>
        <item h="1" x="20012"/>
        <item h="1" x="20013"/>
        <item h="1" x="20014"/>
        <item h="1" x="20015"/>
        <item h="1" x="20016"/>
        <item h="1" x="20017"/>
        <item h="1" x="20018"/>
        <item h="1" x="20019"/>
        <item h="1" x="20020"/>
        <item h="1" x="20021"/>
        <item h="1" x="20022"/>
        <item h="1" x="20023"/>
        <item h="1" x="20024"/>
        <item h="1" x="20025"/>
        <item h="1" x="20026"/>
        <item h="1" x="20027"/>
        <item h="1" x="20028"/>
        <item h="1" x="20029"/>
        <item h="1" x="20030"/>
        <item h="1" x="20031"/>
        <item h="1" x="20032"/>
        <item h="1" x="20033"/>
        <item h="1" x="20034"/>
        <item h="1" x="20035"/>
        <item h="1" x="20036"/>
        <item h="1" x="20037"/>
        <item h="1" x="20038"/>
        <item h="1" x="20039"/>
        <item h="1" x="20040"/>
        <item h="1" x="20041"/>
        <item h="1" x="20042"/>
        <item h="1" x="20043"/>
        <item h="1" x="20044"/>
        <item h="1" x="20045"/>
        <item h="1" x="20046"/>
        <item h="1" x="20047"/>
        <item h="1" x="20048"/>
        <item h="1" x="20049"/>
        <item h="1" x="20050"/>
        <item h="1" x="20051"/>
        <item h="1" x="20052"/>
        <item h="1" x="20053"/>
        <item h="1" x="20054"/>
        <item h="1" x="20055"/>
        <item h="1" x="20056"/>
        <item h="1" x="20057"/>
        <item h="1" x="20058"/>
        <item h="1" x="20059"/>
        <item h="1" x="20060"/>
        <item h="1" x="20061"/>
        <item h="1" x="20062"/>
        <item h="1" x="20063"/>
        <item h="1" x="20064"/>
        <item h="1" x="20065"/>
        <item h="1" x="20066"/>
        <item h="1" x="20067"/>
        <item h="1" x="20068"/>
        <item h="1" x="20069"/>
        <item h="1" x="20070"/>
        <item h="1" x="20071"/>
        <item h="1" x="20072"/>
        <item h="1" x="20073"/>
        <item h="1" x="20074"/>
        <item h="1" x="20075"/>
        <item h="1" x="20076"/>
        <item h="1" x="20077"/>
        <item h="1" x="20078"/>
        <item h="1" x="20079"/>
        <item h="1" x="20080"/>
        <item h="1" x="20081"/>
        <item h="1" x="20082"/>
        <item h="1" x="20083"/>
        <item h="1" x="20084"/>
        <item h="1" x="20085"/>
        <item h="1" x="20086"/>
        <item h="1" x="20087"/>
        <item h="1" x="20088"/>
        <item h="1" x="20089"/>
        <item h="1" x="20090"/>
        <item h="1" x="20091"/>
        <item h="1" x="20092"/>
        <item h="1" x="20093"/>
        <item h="1" x="20094"/>
        <item h="1" x="20095"/>
        <item h="1" x="20096"/>
        <item h="1" x="20097"/>
        <item h="1" x="20098"/>
        <item h="1" x="20099"/>
        <item h="1" x="20100"/>
        <item h="1" x="20101"/>
        <item h="1" x="20102"/>
        <item h="1" x="20103"/>
        <item h="1" x="20104"/>
        <item h="1" x="20105"/>
        <item h="1" x="20106"/>
        <item h="1" x="20107"/>
        <item h="1" x="20108"/>
        <item h="1" x="20109"/>
        <item h="1" x="20110"/>
        <item h="1" x="20111"/>
        <item h="1" x="20112"/>
        <item h="1" x="20113"/>
        <item h="1" x="20114"/>
        <item h="1" x="20115"/>
        <item h="1" x="20116"/>
        <item h="1" x="20117"/>
        <item h="1" x="20118"/>
        <item h="1" x="20119"/>
        <item h="1" x="20120"/>
        <item h="1" x="20121"/>
        <item h="1" x="20122"/>
        <item h="1" x="20123"/>
        <item h="1" x="20124"/>
        <item h="1" x="20125"/>
        <item h="1" x="20126"/>
        <item h="1" x="20127"/>
        <item h="1" x="20128"/>
        <item h="1" x="20129"/>
        <item h="1" x="20130"/>
        <item h="1" x="20131"/>
        <item h="1" x="20132"/>
        <item h="1" x="20133"/>
        <item h="1" x="20134"/>
        <item h="1" x="20135"/>
        <item h="1" x="20136"/>
        <item h="1" x="20137"/>
        <item h="1" x="20138"/>
        <item h="1" x="20139"/>
        <item h="1" x="20140"/>
        <item h="1" x="20141"/>
        <item h="1" x="20142"/>
        <item h="1" x="20143"/>
        <item h="1" x="20144"/>
        <item h="1" x="20145"/>
        <item h="1" x="20146"/>
        <item h="1" x="20147"/>
        <item h="1" x="20148"/>
        <item h="1" x="20149"/>
        <item h="1" x="20150"/>
        <item h="1" x="20151"/>
        <item h="1" x="20152"/>
        <item h="1" x="20153"/>
        <item h="1" x="20154"/>
        <item h="1" x="20155"/>
        <item h="1" x="20156"/>
        <item h="1" x="20157"/>
        <item h="1" x="20158"/>
        <item h="1" x="20159"/>
        <item h="1" x="20160"/>
        <item h="1" x="20161"/>
        <item h="1" x="20162"/>
        <item h="1" x="20163"/>
        <item h="1" x="20164"/>
        <item h="1" x="20165"/>
        <item h="1" x="20166"/>
        <item h="1" x="20167"/>
        <item h="1" x="20168"/>
        <item h="1" x="20169"/>
        <item h="1" x="20170"/>
        <item h="1" x="20171"/>
        <item h="1" x="20172"/>
        <item h="1" x="20173"/>
        <item h="1" x="20174"/>
        <item h="1" x="20175"/>
        <item h="1" x="20176"/>
        <item h="1" x="20177"/>
        <item h="1" x="20178"/>
        <item h="1" x="20179"/>
        <item h="1" x="20180"/>
        <item h="1" x="20181"/>
        <item h="1" x="20182"/>
        <item h="1" x="20183"/>
        <item h="1" x="20184"/>
        <item h="1" x="20185"/>
        <item h="1" x="20186"/>
        <item h="1" x="20187"/>
        <item h="1" x="20188"/>
        <item h="1" x="20189"/>
        <item h="1" x="20190"/>
        <item h="1" x="20191"/>
        <item h="1" x="20192"/>
        <item h="1" x="20193"/>
        <item h="1" x="20194"/>
        <item h="1" x="20195"/>
        <item h="1" x="20196"/>
        <item h="1" x="20197"/>
        <item h="1" x="20198"/>
        <item h="1" x="20199"/>
        <item h="1" x="20200"/>
        <item h="1" x="20201"/>
        <item h="1" x="20202"/>
        <item h="1" x="20203"/>
        <item h="1" x="20204"/>
        <item h="1" x="20205"/>
        <item h="1" x="20206"/>
        <item h="1" x="20207"/>
        <item h="1" x="20208"/>
        <item h="1" x="20209"/>
        <item h="1" x="20210"/>
        <item h="1" x="20211"/>
        <item h="1" x="20212"/>
        <item h="1" x="20213"/>
        <item h="1" x="20214"/>
        <item h="1" x="20215"/>
        <item h="1" x="20216"/>
        <item h="1" x="20217"/>
        <item h="1" x="20218"/>
        <item h="1" x="20219"/>
        <item h="1" x="20220"/>
        <item h="1" x="20221"/>
        <item h="1" x="20222"/>
        <item h="1" x="20223"/>
        <item h="1" x="20224"/>
        <item h="1" x="20225"/>
        <item h="1" x="20226"/>
        <item h="1" x="20227"/>
        <item h="1" x="20228"/>
        <item h="1" x="20229"/>
        <item h="1" x="20230"/>
        <item h="1" x="20231"/>
        <item h="1" x="20232"/>
        <item h="1" x="20233"/>
        <item h="1" x="20234"/>
        <item h="1" x="20235"/>
        <item h="1" x="20236"/>
        <item h="1" x="20237"/>
        <item h="1" x="20238"/>
        <item h="1" x="20239"/>
        <item h="1" x="20240"/>
        <item h="1" x="20241"/>
        <item h="1" x="20242"/>
        <item h="1" x="20243"/>
        <item h="1" x="20244"/>
        <item h="1" x="20245"/>
        <item h="1" x="20246"/>
        <item h="1" x="20247"/>
        <item h="1" x="20248"/>
        <item h="1" x="20249"/>
        <item h="1" x="20250"/>
        <item h="1" x="20251"/>
        <item h="1" x="20252"/>
        <item h="1" x="20253"/>
        <item h="1" x="20254"/>
        <item h="1" x="20255"/>
        <item h="1" x="20256"/>
        <item h="1" x="20257"/>
        <item h="1" x="20258"/>
        <item h="1" x="20259"/>
        <item h="1" x="20260"/>
        <item h="1" x="20261"/>
        <item h="1" x="20262"/>
        <item h="1" x="20263"/>
        <item h="1" x="20264"/>
        <item h="1" x="20265"/>
        <item h="1" x="20266"/>
        <item h="1" x="20267"/>
        <item h="1" x="20268"/>
        <item h="1" x="20269"/>
        <item h="1" x="20270"/>
        <item h="1" x="20271"/>
        <item h="1" x="20272"/>
        <item h="1" x="20273"/>
        <item h="1" x="20274"/>
        <item h="1" x="20275"/>
        <item h="1" x="20276"/>
        <item h="1" x="20277"/>
        <item h="1" x="20278"/>
        <item h="1" x="20279"/>
        <item h="1" x="20280"/>
        <item h="1" x="20281"/>
        <item h="1" x="20282"/>
        <item h="1" x="20283"/>
        <item h="1" x="20284"/>
        <item h="1" x="20285"/>
        <item h="1" x="20286"/>
        <item h="1" x="20287"/>
        <item h="1" x="20288"/>
        <item h="1" x="20289"/>
        <item h="1" x="20290"/>
        <item h="1" x="20291"/>
        <item h="1" x="20292"/>
        <item h="1" x="20293"/>
        <item h="1" x="20294"/>
        <item h="1" x="20295"/>
        <item h="1" x="20296"/>
        <item h="1" x="20297"/>
        <item h="1" x="20298"/>
        <item h="1" x="20299"/>
        <item h="1" x="20300"/>
        <item h="1" x="20301"/>
        <item h="1" x="20302"/>
        <item h="1" x="20303"/>
        <item h="1" x="20304"/>
        <item h="1" x="20305"/>
        <item h="1" x="20306"/>
        <item h="1" x="20307"/>
        <item h="1" x="20308"/>
        <item h="1" x="20309"/>
        <item h="1" x="20310"/>
        <item h="1" x="20311"/>
        <item h="1" x="20312"/>
        <item h="1" x="20313"/>
        <item h="1" x="20314"/>
        <item h="1" x="20315"/>
        <item h="1" x="20316"/>
        <item h="1" x="20317"/>
        <item h="1" x="20318"/>
        <item h="1" x="20319"/>
        <item h="1" x="20320"/>
        <item h="1" x="20321"/>
        <item h="1" x="20322"/>
        <item h="1" x="20323"/>
        <item h="1" x="20324"/>
        <item h="1" x="20325"/>
        <item h="1" x="20326"/>
        <item h="1" x="20327"/>
        <item h="1" x="20328"/>
        <item h="1" x="20329"/>
        <item h="1" x="20330"/>
        <item h="1" x="20331"/>
        <item h="1" x="20332"/>
        <item h="1" x="20333"/>
        <item h="1" x="20334"/>
        <item h="1" x="20335"/>
        <item h="1" x="20336"/>
        <item h="1" x="20337"/>
        <item h="1" x="20338"/>
        <item h="1" x="20339"/>
        <item h="1" x="20340"/>
        <item h="1" x="20341"/>
        <item h="1" x="20342"/>
        <item h="1" x="20343"/>
        <item h="1" x="20344"/>
        <item h="1" x="20345"/>
        <item h="1" x="20346"/>
        <item h="1" x="20347"/>
        <item h="1" x="20348"/>
        <item h="1" x="20349"/>
        <item h="1" x="20350"/>
        <item h="1" x="20351"/>
        <item h="1" x="20352"/>
        <item h="1" x="20353"/>
        <item h="1" x="20354"/>
        <item h="1" x="20355"/>
        <item h="1" x="20356"/>
        <item h="1" x="20357"/>
        <item h="1" x="20358"/>
        <item h="1" x="20359"/>
        <item h="1" x="20360"/>
        <item h="1" x="20361"/>
        <item h="1" x="20362"/>
        <item h="1" x="20363"/>
        <item h="1" x="20364"/>
        <item h="1" x="20365"/>
        <item h="1" x="20366"/>
        <item h="1" x="20367"/>
        <item h="1" x="20368"/>
        <item h="1" x="20369"/>
        <item h="1" x="20370"/>
        <item h="1" x="20371"/>
        <item h="1" x="20372"/>
        <item h="1" x="20373"/>
        <item h="1" x="20374"/>
        <item h="1" x="20375"/>
        <item h="1" x="20376"/>
        <item h="1" x="20377"/>
        <item h="1" x="20378"/>
        <item h="1" x="20379"/>
        <item h="1" x="20380"/>
        <item h="1" x="20381"/>
        <item h="1" x="20382"/>
        <item h="1" x="20383"/>
        <item h="1" x="20384"/>
        <item h="1" x="20385"/>
        <item h="1" x="20386"/>
        <item h="1" x="20387"/>
        <item h="1" x="20388"/>
        <item h="1" x="20389"/>
        <item h="1" x="20390"/>
        <item h="1" x="20391"/>
        <item h="1" x="20392"/>
        <item h="1" x="20393"/>
        <item h="1" x="20394"/>
        <item h="1" x="20395"/>
        <item h="1" x="20396"/>
        <item h="1" x="20397"/>
        <item h="1" x="20398"/>
        <item h="1" x="20399"/>
        <item h="1" x="20400"/>
        <item h="1" x="20401"/>
        <item h="1" x="20402"/>
        <item h="1" x="20403"/>
        <item h="1" x="20404"/>
        <item h="1" x="20405"/>
        <item h="1" x="20406"/>
        <item h="1" x="20407"/>
        <item h="1" x="20408"/>
        <item h="1" x="20409"/>
        <item h="1" x="20410"/>
        <item h="1" x="20411"/>
        <item h="1" x="20412"/>
        <item h="1" x="20413"/>
        <item h="1" x="20414"/>
        <item h="1" x="20415"/>
        <item h="1" x="20416"/>
        <item h="1" x="20417"/>
        <item h="1" x="20418"/>
        <item h="1" x="20419"/>
        <item h="1" x="20420"/>
        <item h="1" x="20421"/>
        <item h="1" x="20422"/>
        <item h="1" x="20423"/>
        <item h="1" x="20424"/>
        <item h="1" x="20425"/>
        <item h="1" x="20426"/>
        <item h="1" x="20427"/>
        <item h="1" x="20428"/>
        <item h="1" x="20429"/>
        <item h="1" x="20430"/>
        <item h="1" x="20431"/>
        <item h="1" x="20432"/>
        <item h="1" x="20433"/>
        <item h="1" x="20434"/>
        <item h="1" x="20435"/>
        <item h="1" x="20436"/>
        <item h="1" x="20437"/>
        <item h="1" x="20438"/>
        <item h="1" x="20439"/>
        <item h="1" x="20440"/>
        <item h="1" x="20441"/>
        <item h="1" x="20442"/>
        <item h="1" x="20443"/>
        <item h="1" x="20444"/>
        <item h="1" x="20445"/>
        <item h="1" x="20446"/>
        <item h="1" x="20447"/>
        <item h="1" x="20448"/>
        <item h="1" x="20449"/>
        <item h="1" x="20450"/>
        <item h="1" x="20451"/>
        <item h="1" x="20452"/>
        <item h="1" x="20453"/>
        <item h="1" x="20454"/>
        <item h="1" x="20455"/>
        <item h="1" x="20456"/>
        <item h="1" x="20457"/>
        <item h="1" x="20458"/>
        <item h="1" x="20459"/>
        <item h="1" x="20460"/>
        <item h="1" x="20461"/>
        <item h="1" x="20462"/>
        <item h="1" x="20463"/>
        <item h="1" x="20464"/>
        <item h="1" x="20465"/>
        <item h="1" x="20466"/>
        <item h="1" x="20467"/>
        <item h="1" x="20468"/>
        <item h="1" x="20469"/>
        <item h="1" x="20470"/>
        <item h="1" x="20471"/>
        <item h="1" x="20472"/>
        <item h="1" x="20473"/>
        <item h="1" x="20474"/>
        <item h="1" x="20475"/>
        <item h="1" x="20476"/>
        <item h="1" x="20477"/>
        <item h="1" x="20478"/>
        <item h="1" x="20479"/>
        <item h="1" x="20480"/>
        <item h="1" x="20481"/>
        <item h="1" x="20482"/>
        <item h="1" x="20483"/>
        <item h="1" x="20484"/>
        <item h="1" x="20485"/>
        <item h="1" x="20486"/>
        <item h="1" x="20487"/>
        <item h="1" x="20488"/>
        <item h="1" x="20489"/>
        <item h="1" x="20490"/>
        <item h="1" x="20491"/>
        <item h="1" x="20492"/>
        <item h="1" x="20493"/>
        <item h="1" x="20494"/>
        <item h="1" x="20495"/>
        <item h="1" x="20496"/>
        <item h="1" x="20497"/>
        <item h="1" x="20498"/>
        <item h="1" x="20499"/>
        <item h="1" x="20500"/>
        <item h="1" x="20501"/>
        <item h="1" x="20502"/>
        <item h="1" x="20503"/>
        <item h="1" x="20504"/>
        <item h="1" x="20505"/>
        <item h="1" x="20506"/>
        <item h="1" x="20507"/>
        <item h="1" x="20508"/>
        <item h="1" x="20509"/>
        <item h="1" x="20510"/>
        <item h="1" x="20511"/>
        <item h="1" x="20512"/>
        <item h="1" x="20513"/>
        <item h="1" x="20514"/>
        <item h="1" x="20515"/>
        <item h="1" x="20516"/>
        <item h="1" x="20517"/>
        <item h="1" x="20518"/>
        <item h="1" x="20519"/>
        <item h="1" x="20520"/>
        <item h="1" x="20521"/>
        <item h="1" x="20522"/>
        <item h="1" x="20523"/>
        <item h="1" x="20524"/>
        <item h="1" x="20525"/>
        <item h="1" x="20526"/>
        <item h="1" x="20527"/>
        <item h="1" x="20528"/>
        <item h="1" x="20529"/>
        <item h="1" x="20530"/>
        <item h="1" x="20531"/>
        <item h="1" x="20532"/>
        <item h="1" x="20533"/>
        <item h="1" x="20534"/>
        <item h="1" x="20535"/>
        <item h="1" x="20536"/>
        <item h="1" x="20537"/>
        <item h="1" x="20538"/>
        <item h="1" x="20539"/>
        <item h="1" x="20540"/>
        <item h="1" x="20541"/>
        <item h="1" x="20542"/>
        <item h="1" x="20543"/>
        <item h="1" x="20544"/>
        <item h="1" x="20545"/>
        <item h="1" x="20546"/>
        <item h="1" x="20547"/>
        <item h="1" x="20548"/>
        <item h="1" x="20549"/>
        <item h="1" x="20550"/>
        <item h="1" x="20551"/>
        <item h="1" x="20552"/>
        <item h="1" x="20553"/>
        <item h="1" x="20554"/>
        <item h="1" x="20555"/>
        <item h="1" x="20556"/>
        <item h="1" x="20557"/>
        <item h="1" x="20558"/>
        <item h="1" x="20559"/>
        <item h="1" x="20560"/>
        <item h="1" x="20561"/>
        <item h="1" x="20562"/>
        <item h="1" x="20563"/>
        <item h="1" x="20564"/>
        <item h="1" x="20565"/>
        <item h="1" x="20566"/>
        <item h="1" x="20567"/>
        <item h="1" x="20568"/>
        <item h="1" x="20569"/>
        <item h="1" x="20570"/>
        <item h="1" x="20571"/>
        <item h="1" x="20572"/>
        <item h="1" x="20573"/>
        <item h="1" x="20574"/>
        <item h="1" x="20575"/>
        <item h="1" x="20576"/>
        <item h="1" x="20577"/>
        <item h="1" x="20578"/>
        <item h="1" x="20579"/>
        <item h="1" x="20580"/>
        <item h="1" x="20581"/>
        <item h="1" x="20582"/>
        <item h="1" x="20583"/>
        <item h="1" x="20584"/>
        <item h="1" x="20585"/>
        <item h="1" x="20586"/>
        <item h="1" x="20587"/>
        <item h="1" x="20588"/>
        <item h="1" x="20589"/>
        <item h="1" x="20590"/>
        <item h="1" x="20591"/>
        <item h="1" x="20592"/>
        <item h="1" x="20593"/>
        <item h="1" x="20594"/>
        <item h="1" x="20595"/>
        <item h="1" x="20596"/>
        <item h="1" x="20597"/>
        <item h="1" x="20598"/>
        <item h="1" x="20599"/>
        <item h="1" x="20600"/>
        <item h="1" x="20601"/>
        <item h="1" x="20602"/>
        <item h="1" x="20603"/>
        <item h="1" x="20604"/>
        <item h="1" x="20605"/>
        <item h="1" x="20606"/>
        <item h="1" x="20607"/>
        <item h="1" x="20608"/>
        <item h="1" x="20609"/>
        <item h="1" x="20610"/>
        <item h="1" x="20611"/>
        <item h="1" x="20612"/>
        <item h="1" x="20613"/>
        <item h="1" x="20614"/>
        <item h="1" x="20615"/>
        <item h="1" x="20616"/>
        <item h="1" x="20617"/>
        <item h="1" x="20618"/>
        <item h="1" x="20619"/>
        <item h="1" x="20620"/>
        <item h="1" x="20621"/>
        <item h="1" x="20622"/>
        <item h="1" x="20623"/>
        <item h="1" x="20624"/>
        <item h="1" x="20625"/>
        <item h="1" x="20626"/>
        <item h="1" x="20627"/>
        <item h="1" x="20628"/>
        <item h="1" x="20629"/>
        <item h="1" x="20630"/>
        <item h="1" x="20631"/>
        <item h="1" x="20632"/>
        <item h="1" x="20633"/>
        <item h="1" x="20634"/>
        <item h="1" x="20635"/>
        <item h="1" x="20636"/>
        <item h="1" x="20637"/>
        <item h="1" x="20638"/>
        <item h="1" x="20639"/>
        <item h="1" x="20640"/>
        <item h="1" x="20641"/>
        <item h="1" x="20642"/>
        <item h="1" x="20643"/>
        <item h="1" x="20644"/>
        <item h="1" x="20645"/>
        <item h="1" x="20646"/>
        <item h="1" x="20647"/>
        <item h="1" x="20648"/>
        <item h="1" x="20649"/>
        <item h="1" x="20650"/>
        <item h="1" x="20651"/>
        <item h="1" x="20652"/>
        <item h="1" x="20653"/>
        <item h="1" x="20654"/>
        <item h="1" x="20655"/>
        <item h="1" x="20656"/>
        <item h="1" x="20657"/>
        <item h="1" x="20658"/>
        <item h="1" x="20659"/>
        <item h="1" x="20660"/>
        <item h="1" x="20661"/>
        <item h="1" x="20662"/>
        <item h="1" x="20663"/>
        <item h="1" x="20664"/>
        <item h="1" x="20665"/>
        <item h="1" x="20666"/>
        <item h="1" x="20667"/>
        <item h="1" x="20668"/>
        <item h="1" x="20669"/>
        <item h="1" x="20670"/>
        <item h="1" x="20671"/>
        <item h="1" x="20672"/>
        <item h="1" x="20673"/>
        <item h="1" x="20674"/>
        <item h="1" x="20675"/>
        <item h="1" x="20676"/>
        <item h="1" x="20677"/>
        <item h="1" x="20678"/>
        <item h="1" x="20679"/>
        <item h="1" x="20680"/>
        <item h="1" x="20681"/>
        <item h="1" x="20682"/>
        <item h="1" x="20683"/>
        <item h="1" x="20684"/>
        <item h="1" x="20685"/>
        <item h="1" x="20686"/>
        <item h="1" x="20687"/>
        <item h="1" x="20688"/>
        <item h="1" x="20689"/>
        <item h="1" x="20690"/>
        <item h="1" x="20691"/>
        <item h="1" x="20692"/>
        <item h="1" x="20693"/>
        <item h="1" x="20694"/>
        <item h="1" x="20695"/>
        <item h="1" x="20696"/>
        <item h="1" x="20697"/>
        <item h="1" x="20698"/>
        <item h="1" x="20699"/>
        <item h="1" x="20700"/>
        <item h="1" x="20701"/>
        <item h="1" x="20702"/>
        <item h="1" x="20703"/>
        <item h="1" x="20704"/>
        <item h="1" x="20705"/>
        <item h="1" x="20706"/>
        <item h="1" x="20707"/>
        <item h="1" x="20708"/>
        <item h="1" x="20709"/>
        <item h="1" x="20710"/>
        <item h="1" x="20711"/>
        <item h="1" x="20712"/>
        <item h="1" x="20713"/>
        <item h="1" x="20714"/>
        <item h="1" x="20715"/>
        <item h="1" x="20716"/>
        <item h="1" x="20717"/>
        <item h="1" x="20718"/>
        <item h="1" x="20719"/>
        <item h="1" x="20720"/>
        <item h="1" x="20721"/>
        <item h="1" x="20722"/>
        <item h="1" x="20723"/>
        <item h="1" x="20724"/>
        <item h="1" x="20725"/>
        <item h="1" x="20726"/>
        <item h="1" x="20727"/>
        <item h="1" x="20728"/>
        <item h="1" x="20729"/>
        <item h="1" x="20730"/>
        <item h="1" x="20731"/>
        <item h="1" x="20732"/>
        <item h="1" x="20733"/>
        <item h="1" x="20734"/>
        <item h="1" x="20735"/>
        <item h="1" x="20736"/>
        <item h="1" x="20737"/>
        <item h="1" x="20738"/>
        <item h="1" x="20739"/>
        <item h="1" x="20740"/>
        <item h="1" x="20741"/>
        <item h="1" x="20742"/>
        <item h="1" x="20743"/>
        <item h="1" x="20744"/>
        <item h="1" x="20745"/>
        <item h="1" x="20746"/>
        <item h="1" x="20747"/>
        <item h="1" x="20748"/>
        <item h="1" x="20749"/>
        <item h="1" x="20750"/>
        <item h="1" x="20751"/>
        <item h="1" x="20752"/>
        <item h="1" x="20753"/>
        <item h="1" x="20754"/>
        <item h="1" x="20755"/>
        <item h="1" x="20756"/>
        <item h="1" x="20757"/>
        <item h="1" x="20758"/>
        <item h="1" x="20759"/>
        <item h="1" x="20760"/>
        <item h="1" x="20761"/>
        <item h="1" x="20762"/>
        <item h="1" x="20763"/>
        <item h="1" x="20764"/>
        <item h="1" x="20765"/>
        <item h="1" x="20766"/>
        <item h="1" x="20767"/>
        <item h="1" x="20768"/>
        <item h="1" x="20769"/>
        <item h="1" x="20770"/>
        <item h="1" x="20771"/>
        <item h="1" x="20772"/>
        <item h="1" x="20773"/>
        <item h="1" x="20774"/>
        <item h="1" x="20775"/>
        <item h="1" x="20776"/>
        <item h="1" x="20777"/>
        <item h="1" x="20778"/>
        <item h="1" x="20779"/>
        <item h="1" x="20780"/>
        <item h="1" x="20781"/>
        <item h="1" x="20782"/>
        <item h="1" x="20783"/>
        <item h="1" x="20784"/>
        <item h="1" x="20785"/>
        <item h="1" x="20786"/>
        <item h="1" x="20787"/>
        <item h="1" x="20788"/>
        <item h="1" x="20789"/>
        <item h="1" x="20790"/>
        <item h="1" x="20791"/>
        <item h="1" x="20792"/>
        <item h="1" x="20793"/>
        <item h="1" x="20794"/>
        <item h="1" x="20795"/>
        <item h="1" x="20796"/>
        <item h="1" x="20797"/>
        <item h="1" x="20798"/>
        <item h="1" x="20799"/>
        <item h="1" x="20800"/>
        <item h="1" x="20801"/>
        <item h="1" x="20802"/>
        <item h="1" x="20803"/>
        <item h="1" x="20804"/>
        <item h="1" x="20805"/>
        <item h="1" x="20806"/>
        <item h="1" x="20807"/>
        <item h="1" x="20808"/>
        <item h="1" x="20809"/>
        <item h="1" x="20810"/>
        <item h="1" x="20811"/>
        <item h="1" x="20812"/>
        <item h="1" x="20813"/>
        <item h="1" x="20814"/>
        <item h="1" x="20815"/>
        <item h="1" x="20816"/>
        <item h="1" x="20817"/>
        <item h="1" x="20818"/>
        <item h="1" x="20819"/>
        <item h="1" x="20820"/>
        <item h="1" x="20821"/>
        <item h="1" x="20822"/>
        <item h="1" x="20823"/>
        <item h="1" x="20824"/>
        <item h="1" x="20825"/>
        <item h="1" x="20826"/>
        <item h="1" x="20827"/>
        <item h="1" x="20828"/>
        <item h="1" x="20829"/>
        <item h="1" x="20830"/>
        <item h="1" x="20831"/>
        <item h="1" x="20832"/>
        <item h="1" x="20833"/>
        <item h="1" x="20834"/>
        <item h="1" x="20835"/>
        <item h="1" x="20836"/>
        <item h="1" x="20837"/>
        <item h="1" x="20838"/>
        <item h="1" x="20839"/>
        <item h="1" x="20840"/>
        <item h="1" x="20841"/>
        <item h="1" x="20842"/>
        <item h="1" x="20843"/>
        <item h="1" x="20844"/>
        <item h="1" x="20845"/>
        <item h="1" x="20846"/>
        <item h="1" x="20847"/>
        <item h="1" x="20848"/>
        <item h="1" x="20849"/>
        <item h="1" x="20850"/>
        <item h="1" x="20851"/>
        <item h="1" x="20852"/>
        <item h="1" x="20853"/>
        <item h="1" x="20854"/>
        <item h="1" x="20855"/>
        <item h="1" x="20856"/>
        <item h="1" x="20857"/>
        <item h="1" x="20858"/>
        <item h="1" x="20859"/>
        <item h="1" x="20860"/>
        <item h="1" x="20861"/>
        <item h="1" x="20862"/>
        <item h="1" x="20863"/>
        <item h="1" x="20864"/>
        <item h="1" x="20865"/>
        <item h="1" x="20866"/>
        <item h="1" x="20867"/>
        <item h="1" x="20868"/>
        <item h="1" x="20869"/>
        <item h="1" x="20870"/>
        <item h="1" x="20871"/>
        <item h="1" x="20872"/>
        <item h="1" x="20873"/>
        <item h="1" x="20874"/>
        <item h="1" x="20875"/>
        <item h="1" x="20876"/>
        <item h="1" x="20877"/>
        <item h="1" x="20878"/>
        <item h="1" x="20879"/>
        <item h="1" x="20880"/>
        <item h="1" x="20881"/>
        <item h="1" x="20882"/>
        <item h="1" x="20883"/>
        <item h="1" x="20884"/>
        <item h="1" x="20885"/>
        <item h="1" x="20886"/>
        <item h="1" x="20887"/>
        <item h="1" x="20888"/>
        <item h="1" x="20889"/>
        <item h="1" x="20890"/>
        <item h="1" x="20891"/>
        <item h="1" x="20892"/>
        <item h="1" x="20893"/>
        <item h="1" x="20894"/>
        <item h="1" x="20895"/>
        <item h="1" x="20896"/>
        <item h="1" x="20897"/>
        <item h="1" x="20898"/>
        <item h="1" x="20899"/>
        <item h="1" x="20900"/>
        <item h="1" x="20901"/>
        <item h="1" x="20902"/>
        <item h="1" x="20903"/>
        <item h="1" x="20904"/>
        <item h="1" x="20905"/>
        <item h="1" x="20906"/>
        <item h="1" x="20907"/>
        <item h="1" x="20908"/>
        <item h="1" x="20909"/>
        <item h="1" x="20910"/>
        <item h="1" x="20911"/>
        <item h="1" x="20912"/>
        <item h="1" x="20913"/>
        <item h="1" x="20914"/>
        <item h="1" x="20915"/>
        <item h="1" x="20916"/>
        <item h="1" x="20917"/>
        <item h="1" x="20918"/>
        <item h="1" x="20919"/>
        <item h="1" x="20920"/>
        <item h="1" x="20921"/>
        <item h="1" x="20922"/>
        <item h="1" x="20923"/>
        <item h="1" x="20924"/>
        <item h="1" x="20925"/>
        <item h="1" x="20926"/>
        <item h="1" x="20927"/>
        <item h="1" x="20928"/>
        <item h="1" x="20929"/>
        <item h="1" x="20930"/>
        <item h="1" x="20931"/>
        <item h="1" x="20932"/>
        <item h="1" x="20933"/>
        <item h="1" x="20934"/>
        <item h="1" x="20935"/>
        <item h="1" x="20936"/>
        <item h="1" x="20937"/>
        <item h="1" x="20938"/>
        <item h="1" x="20939"/>
        <item h="1" x="20940"/>
        <item h="1" x="20941"/>
        <item h="1" x="20942"/>
        <item h="1" x="20943"/>
        <item h="1" x="20944"/>
        <item h="1" x="20945"/>
        <item h="1" x="20946"/>
        <item h="1" x="20947"/>
        <item h="1" x="20948"/>
        <item h="1" x="20949"/>
        <item h="1" x="20950"/>
        <item h="1" x="20951"/>
        <item h="1" x="20952"/>
        <item h="1" x="20953"/>
        <item h="1" x="20954"/>
        <item h="1" x="20955"/>
        <item h="1" x="20956"/>
        <item h="1" x="20957"/>
        <item h="1" x="20958"/>
        <item h="1" x="20959"/>
        <item h="1" x="20960"/>
        <item h="1" x="20961"/>
        <item h="1" x="20962"/>
        <item h="1" x="20963"/>
        <item h="1" x="20964"/>
        <item h="1" x="20965"/>
        <item h="1" x="20966"/>
        <item h="1" x="20967"/>
        <item h="1" x="20968"/>
        <item h="1" x="20969"/>
        <item h="1" x="20970"/>
        <item h="1" x="20971"/>
        <item h="1" x="20972"/>
        <item h="1" x="20973"/>
        <item h="1" x="20974"/>
        <item h="1" x="20975"/>
        <item h="1" x="20976"/>
        <item h="1" x="20977"/>
        <item h="1" x="20978"/>
        <item h="1" x="20979"/>
        <item h="1" x="20980"/>
        <item h="1" x="20981"/>
        <item h="1" x="20982"/>
        <item h="1" x="20983"/>
        <item h="1" x="20984"/>
        <item h="1" x="20985"/>
        <item h="1" x="20986"/>
        <item h="1" x="20987"/>
        <item h="1" x="20988"/>
        <item h="1" x="20989"/>
        <item h="1" x="20990"/>
        <item h="1" x="20991"/>
        <item h="1" x="20992"/>
        <item h="1" x="20993"/>
        <item h="1" x="20994"/>
        <item h="1" x="20995"/>
        <item h="1" x="20996"/>
        <item h="1" x="20997"/>
        <item h="1" x="20998"/>
        <item h="1" x="20999"/>
        <item h="1" x="21000"/>
        <item h="1" x="21001"/>
        <item h="1" x="21002"/>
        <item h="1" x="21003"/>
        <item h="1" x="21004"/>
        <item h="1" x="21005"/>
        <item h="1" x="21006"/>
        <item h="1" x="21007"/>
        <item h="1" x="21008"/>
        <item h="1" x="21009"/>
        <item h="1" x="21010"/>
        <item h="1" x="21011"/>
        <item h="1" x="21012"/>
        <item h="1" x="21013"/>
        <item h="1" x="21014"/>
        <item h="1" x="21015"/>
        <item h="1" x="21016"/>
        <item h="1" x="21017"/>
        <item h="1" x="21018"/>
        <item h="1" x="21019"/>
        <item h="1" x="21020"/>
        <item h="1" x="21021"/>
        <item h="1" x="21022"/>
        <item h="1" x="21023"/>
        <item h="1" x="21024"/>
        <item h="1" x="21025"/>
        <item h="1" x="21026"/>
        <item h="1" x="21027"/>
        <item h="1" x="21028"/>
        <item h="1" x="21029"/>
        <item h="1" x="21030"/>
        <item h="1" x="21031"/>
        <item h="1" x="21032"/>
        <item h="1" x="21033"/>
        <item h="1" x="21034"/>
        <item h="1" x="21035"/>
        <item h="1" x="21036"/>
        <item h="1" x="21037"/>
        <item h="1" x="21038"/>
        <item h="1" x="21039"/>
        <item h="1" x="21040"/>
        <item h="1" x="21041"/>
        <item h="1" x="21042"/>
        <item h="1" x="21043"/>
        <item h="1" x="21044"/>
        <item h="1" x="21045"/>
        <item h="1" x="21046"/>
        <item h="1" x="21047"/>
        <item h="1" x="21048"/>
        <item h="1" x="21049"/>
        <item h="1" x="21050"/>
        <item h="1" x="21051"/>
        <item h="1" x="21052"/>
        <item h="1" x="21053"/>
        <item h="1" x="21054"/>
        <item h="1" x="21055"/>
        <item h="1" x="21056"/>
        <item h="1" x="21057"/>
        <item h="1" x="21058"/>
        <item h="1" x="21059"/>
        <item h="1" x="21060"/>
        <item h="1" x="21061"/>
        <item h="1" x="21062"/>
        <item h="1" x="21063"/>
        <item h="1" x="21064"/>
        <item h="1" x="21065"/>
        <item h="1" x="21066"/>
        <item h="1" x="21067"/>
        <item h="1" x="21068"/>
        <item h="1" x="21069"/>
        <item h="1" x="21070"/>
        <item h="1" x="21071"/>
        <item h="1" x="21072"/>
        <item h="1" x="21073"/>
        <item h="1" x="21074"/>
        <item h="1" x="21075"/>
        <item h="1" x="21076"/>
        <item h="1" x="21077"/>
        <item h="1" x="21078"/>
        <item h="1" x="21079"/>
        <item h="1" x="21080"/>
        <item h="1" x="21081"/>
        <item h="1" x="21082"/>
        <item h="1" x="21083"/>
        <item h="1" x="21084"/>
        <item h="1" x="21085"/>
        <item h="1" x="21086"/>
        <item h="1" x="21087"/>
        <item h="1" x="21088"/>
        <item h="1" x="21089"/>
        <item h="1" x="21090"/>
        <item h="1" x="21091"/>
        <item h="1" x="21092"/>
        <item h="1" x="21093"/>
        <item h="1" x="21094"/>
        <item h="1" x="21095"/>
        <item h="1" x="21096"/>
        <item h="1" x="21097"/>
        <item h="1" x="21098"/>
        <item h="1" x="21099"/>
        <item h="1" x="21100"/>
        <item h="1" x="21101"/>
        <item h="1" x="21102"/>
        <item h="1" x="21103"/>
        <item h="1" x="21104"/>
        <item h="1" x="21105"/>
        <item h="1" x="21106"/>
        <item h="1" x="21107"/>
        <item h="1" x="21108"/>
        <item h="1" x="21109"/>
        <item h="1" x="21110"/>
        <item h="1" x="21111"/>
        <item h="1" x="21112"/>
        <item h="1" x="21113"/>
        <item h="1" x="21114"/>
        <item h="1" x="21115"/>
        <item h="1" x="21116"/>
        <item h="1" x="21117"/>
        <item h="1" x="21118"/>
        <item h="1" x="21119"/>
        <item h="1" x="21120"/>
        <item h="1" x="21121"/>
        <item h="1" x="21122"/>
        <item h="1" x="21123"/>
        <item h="1" x="21124"/>
        <item h="1" x="21125"/>
        <item h="1" x="21126"/>
        <item h="1" x="21127"/>
        <item h="1" x="21128"/>
        <item h="1" x="21129"/>
        <item h="1" x="21130"/>
        <item h="1" x="21131"/>
        <item h="1" x="21132"/>
        <item h="1" x="21133"/>
        <item h="1" x="21134"/>
        <item h="1" x="21135"/>
        <item h="1" x="21136"/>
        <item h="1" x="21137"/>
        <item h="1" x="21138"/>
        <item h="1" x="21139"/>
        <item h="1" x="21140"/>
        <item h="1" x="21141"/>
        <item h="1" x="21142"/>
        <item h="1" x="21143"/>
        <item h="1" x="21144"/>
        <item h="1" x="21145"/>
        <item h="1" x="21146"/>
        <item h="1" x="21147"/>
        <item h="1" x="21148"/>
        <item h="1" x="21149"/>
        <item h="1" x="21150"/>
        <item h="1" x="21151"/>
        <item h="1" x="21152"/>
        <item h="1" x="21153"/>
        <item h="1" x="21154"/>
        <item h="1" x="21155"/>
        <item h="1" x="21156"/>
        <item h="1" x="21157"/>
        <item h="1" x="21158"/>
        <item h="1" x="21159"/>
        <item h="1" x="21160"/>
        <item h="1" x="21161"/>
        <item h="1" x="21162"/>
        <item h="1" x="21163"/>
        <item h="1" x="21164"/>
        <item h="1" x="21165"/>
        <item h="1" x="21166"/>
        <item h="1" x="21167"/>
        <item h="1" x="21168"/>
        <item h="1" x="21169"/>
        <item h="1" x="21170"/>
        <item h="1" x="21171"/>
        <item h="1" x="21172"/>
        <item h="1" x="21173"/>
        <item h="1" x="21174"/>
        <item h="1" x="21175"/>
        <item h="1" x="21176"/>
        <item h="1" x="21177"/>
        <item h="1" x="21178"/>
        <item h="1" x="21179"/>
        <item h="1" x="21180"/>
        <item h="1" x="21181"/>
        <item h="1" x="21182"/>
        <item h="1" x="21183"/>
        <item h="1" x="21184"/>
        <item h="1" x="21185"/>
        <item h="1" x="21186"/>
        <item h="1" x="21187"/>
        <item h="1" x="21188"/>
        <item h="1" x="21189"/>
        <item h="1" x="21190"/>
        <item h="1" x="21191"/>
        <item h="1" x="21192"/>
        <item h="1" x="21193"/>
        <item h="1" x="21194"/>
        <item h="1" x="21195"/>
        <item h="1" x="21196"/>
        <item h="1" x="21197"/>
        <item h="1" x="21198"/>
        <item h="1" x="21199"/>
        <item h="1" x="21200"/>
        <item h="1" x="21201"/>
        <item h="1" x="21202"/>
        <item h="1" x="21203"/>
        <item h="1" x="21204"/>
        <item h="1" x="21205"/>
        <item h="1" x="21206"/>
        <item h="1" x="21207"/>
        <item h="1" x="21208"/>
        <item h="1" x="21209"/>
        <item h="1" x="21210"/>
        <item h="1" x="21211"/>
        <item h="1" x="21212"/>
        <item h="1" x="21213"/>
        <item h="1" x="21214"/>
        <item h="1" x="21215"/>
        <item h="1" x="21216"/>
        <item h="1" x="21217"/>
        <item h="1" x="21218"/>
        <item h="1" x="21219"/>
        <item h="1" x="21220"/>
        <item h="1" x="21221"/>
        <item h="1" x="21222"/>
        <item h="1" x="21223"/>
        <item h="1" x="21224"/>
        <item h="1" x="21225"/>
        <item h="1" x="21226"/>
        <item h="1" x="21227"/>
        <item h="1" x="21228"/>
        <item h="1" x="21229"/>
        <item h="1" x="21230"/>
        <item h="1" x="21231"/>
        <item h="1" x="21232"/>
        <item h="1" x="21233"/>
        <item h="1" x="21234"/>
        <item h="1" x="21235"/>
        <item h="1" x="21236"/>
        <item h="1" x="21237"/>
        <item h="1" x="21238"/>
        <item h="1" x="21239"/>
        <item h="1" x="21240"/>
        <item h="1" x="21241"/>
        <item h="1" x="21242"/>
        <item h="1" x="21243"/>
        <item h="1" x="21244"/>
        <item h="1" x="21245"/>
        <item h="1" x="21246"/>
        <item h="1" x="21247"/>
        <item h="1" x="21248"/>
        <item h="1" x="21249"/>
        <item h="1" x="21250"/>
        <item h="1" x="21251"/>
        <item h="1" x="21252"/>
        <item h="1" x="21253"/>
        <item h="1" x="21254"/>
        <item h="1" x="21255"/>
        <item h="1" x="21256"/>
        <item h="1" x="21257"/>
        <item h="1" x="21258"/>
        <item h="1" x="21259"/>
        <item h="1" x="21260"/>
        <item h="1" x="21261"/>
        <item h="1" x="21262"/>
        <item h="1" x="21263"/>
        <item h="1" x="21264"/>
        <item h="1" x="21265"/>
        <item h="1" x="21266"/>
        <item h="1" x="21267"/>
        <item h="1" x="21268"/>
        <item h="1" x="21269"/>
        <item h="1" x="21270"/>
        <item h="1" x="21271"/>
        <item h="1" x="21272"/>
        <item h="1" x="21273"/>
        <item h="1" x="21274"/>
        <item h="1" x="21275"/>
        <item h="1" x="21276"/>
        <item h="1" x="21277"/>
        <item h="1" x="21278"/>
        <item h="1" x="21279"/>
        <item h="1" x="21280"/>
        <item h="1" x="21281"/>
        <item h="1" x="21282"/>
        <item h="1" x="21283"/>
        <item h="1" x="21284"/>
        <item h="1" x="21285"/>
        <item h="1" x="21286"/>
        <item h="1" x="21287"/>
        <item h="1" x="21288"/>
        <item h="1" x="21289"/>
        <item h="1" x="21290"/>
        <item h="1" x="21291"/>
        <item h="1" x="21292"/>
        <item h="1" x="21293"/>
        <item h="1" x="21294"/>
        <item h="1" x="21295"/>
        <item h="1" x="21296"/>
        <item h="1" x="21297"/>
        <item h="1" x="21298"/>
        <item h="1" x="21299"/>
        <item h="1" x="21300"/>
        <item h="1" x="21301"/>
        <item h="1" x="21302"/>
        <item h="1" x="21303"/>
        <item h="1" x="21304"/>
        <item h="1" x="21305"/>
        <item h="1" x="21306"/>
        <item h="1" x="21307"/>
        <item h="1" x="21308"/>
        <item h="1" x="21309"/>
        <item h="1" x="21310"/>
        <item h="1" x="21311"/>
        <item h="1" x="21312"/>
        <item h="1" x="21313"/>
        <item h="1" x="21314"/>
        <item h="1" x="21315"/>
        <item h="1" x="21316"/>
        <item h="1" x="21317"/>
        <item h="1" x="21318"/>
        <item h="1" x="21319"/>
        <item h="1" x="21320"/>
        <item h="1" x="21321"/>
        <item h="1" x="21322"/>
        <item h="1" x="21323"/>
        <item h="1" x="21324"/>
        <item h="1" x="21325"/>
        <item h="1" x="21326"/>
        <item h="1" x="21327"/>
        <item h="1" x="21328"/>
        <item h="1" x="21329"/>
        <item h="1" x="21330"/>
        <item h="1" x="21331"/>
        <item h="1" x="21332"/>
        <item h="1" x="21333"/>
        <item h="1" x="21334"/>
        <item h="1" x="21335"/>
        <item h="1" x="21336"/>
        <item h="1" x="21337"/>
        <item h="1" x="21338"/>
        <item h="1" x="21339"/>
        <item h="1" x="21340"/>
        <item h="1" x="21341"/>
        <item h="1" x="21342"/>
        <item h="1" x="21343"/>
        <item h="1" x="21344"/>
        <item h="1" x="21345"/>
        <item h="1" x="21346"/>
        <item h="1" x="21347"/>
        <item h="1" x="21348"/>
        <item h="1" x="21349"/>
        <item h="1" x="21350"/>
        <item h="1" x="21351"/>
        <item h="1" x="21352"/>
        <item h="1" x="21353"/>
        <item h="1" x="21354"/>
        <item h="1" x="21355"/>
        <item h="1" x="21356"/>
        <item h="1" x="21357"/>
        <item h="1" x="21358"/>
        <item h="1" x="21359"/>
        <item h="1" x="21360"/>
        <item h="1" x="21361"/>
        <item h="1" x="21362"/>
        <item h="1" x="21363"/>
        <item h="1" x="21364"/>
        <item h="1" x="21365"/>
        <item h="1" x="21366"/>
        <item h="1" x="21367"/>
        <item h="1" x="21368"/>
        <item h="1" x="21369"/>
        <item h="1" x="21370"/>
        <item h="1" x="21371"/>
        <item h="1" x="21372"/>
        <item h="1" x="21373"/>
        <item h="1" x="21374"/>
        <item h="1" x="21375"/>
        <item h="1" x="21376"/>
        <item h="1" x="21377"/>
        <item h="1" x="21378"/>
        <item h="1" x="21379"/>
        <item h="1" x="21380"/>
        <item h="1" x="21381"/>
        <item h="1" x="21382"/>
        <item h="1" x="21383"/>
        <item h="1" x="21384"/>
        <item h="1" x="21385"/>
        <item h="1" x="21386"/>
        <item h="1" x="21387"/>
        <item h="1" x="21388"/>
        <item h="1" x="21389"/>
        <item h="1" x="21390"/>
        <item h="1" x="21391"/>
        <item h="1" x="21392"/>
        <item h="1" x="21393"/>
        <item h="1" x="21394"/>
        <item h="1" x="21395"/>
        <item h="1" x="21396"/>
        <item h="1" x="21397"/>
        <item h="1" x="21398"/>
        <item h="1" x="21399"/>
        <item h="1" x="21400"/>
        <item h="1" x="21401"/>
        <item h="1" x="21402"/>
        <item h="1" x="21403"/>
        <item h="1" x="21404"/>
        <item h="1" x="21405"/>
        <item h="1" x="21406"/>
        <item h="1" x="21407"/>
        <item h="1" x="21408"/>
        <item h="1" x="21409"/>
        <item h="1" x="21410"/>
        <item h="1" x="21411"/>
        <item h="1" x="21412"/>
        <item h="1" x="21413"/>
        <item h="1" x="21414"/>
        <item h="1" x="21415"/>
        <item h="1" x="21416"/>
        <item h="1" x="21417"/>
        <item h="1" x="21418"/>
        <item h="1" x="21419"/>
        <item h="1" x="21420"/>
        <item h="1" x="21421"/>
        <item h="1" x="21422"/>
        <item h="1" x="21423"/>
        <item h="1" x="21424"/>
        <item h="1" x="21425"/>
        <item h="1" x="21426"/>
        <item h="1" x="21427"/>
        <item h="1" x="21428"/>
        <item h="1" x="21429"/>
        <item h="1" x="21430"/>
        <item h="1" x="21431"/>
        <item h="1" x="21432"/>
        <item h="1" x="21433"/>
        <item h="1" x="21434"/>
        <item h="1" x="21435"/>
        <item h="1" x="21436"/>
        <item h="1" x="21437"/>
        <item h="1" x="21438"/>
        <item h="1" x="21439"/>
        <item h="1" x="21440"/>
        <item h="1" x="21441"/>
        <item h="1" x="21442"/>
        <item h="1" x="21443"/>
        <item h="1" x="21444"/>
        <item h="1" x="21445"/>
        <item h="1" x="21446"/>
        <item h="1" x="21447"/>
        <item h="1" x="21448"/>
        <item h="1" x="21449"/>
        <item h="1" x="21450"/>
        <item h="1" x="21451"/>
        <item h="1" x="21452"/>
        <item h="1" x="21453"/>
        <item h="1" x="21454"/>
        <item h="1" x="21455"/>
        <item h="1" x="21456"/>
        <item h="1" x="21457"/>
        <item h="1" x="21458"/>
        <item h="1" x="21459"/>
        <item h="1" x="21460"/>
        <item h="1" x="21461"/>
        <item h="1" x="21462"/>
        <item h="1" x="21463"/>
        <item h="1" x="21464"/>
        <item h="1" x="21465"/>
        <item h="1" x="21466"/>
        <item h="1" x="21467"/>
        <item h="1" x="21468"/>
        <item h="1" x="21469"/>
        <item h="1" x="21470"/>
        <item h="1" x="21471"/>
        <item h="1" x="21472"/>
        <item h="1" x="21473"/>
        <item h="1" x="21474"/>
        <item h="1" x="21475"/>
        <item h="1" x="21476"/>
        <item h="1" x="21477"/>
        <item h="1" x="21478"/>
        <item h="1" x="21479"/>
        <item h="1" x="21480"/>
        <item h="1" x="21481"/>
        <item h="1" x="21482"/>
        <item h="1" x="21483"/>
        <item h="1" x="21484"/>
        <item h="1" x="21485"/>
        <item h="1" x="21486"/>
        <item h="1" x="21487"/>
        <item h="1" x="21488"/>
        <item h="1" x="21489"/>
        <item h="1" x="21490"/>
        <item h="1" x="21491"/>
        <item h="1" x="21492"/>
        <item h="1" x="21493"/>
        <item h="1" x="21494"/>
        <item h="1" x="21495"/>
        <item h="1" x="21496"/>
        <item h="1" x="21497"/>
        <item h="1" x="21498"/>
        <item h="1" x="21499"/>
        <item h="1" x="21500"/>
        <item h="1" x="21501"/>
        <item h="1" x="21502"/>
        <item h="1" x="21503"/>
        <item h="1" x="21504"/>
        <item h="1" x="21505"/>
        <item h="1" x="21506"/>
        <item h="1" x="21507"/>
        <item h="1" x="21508"/>
        <item h="1" x="21509"/>
        <item h="1" x="21510"/>
        <item h="1" x="21511"/>
        <item h="1" x="21512"/>
        <item h="1" x="21513"/>
        <item h="1" x="21514"/>
        <item h="1" x="21515"/>
        <item h="1" x="21516"/>
        <item h="1" x="21517"/>
        <item h="1" x="21518"/>
        <item h="1" x="21519"/>
        <item h="1" x="21520"/>
        <item h="1" x="21521"/>
        <item h="1" x="21522"/>
        <item h="1" x="21523"/>
        <item h="1" x="21524"/>
        <item h="1" x="21525"/>
        <item h="1" x="21526"/>
        <item h="1" x="21527"/>
        <item h="1" x="21528"/>
        <item h="1" x="21529"/>
        <item h="1" x="21530"/>
        <item h="1" x="21531"/>
        <item h="1" x="21532"/>
        <item h="1" x="21533"/>
        <item h="1" x="21534"/>
        <item h="1" x="21535"/>
        <item h="1" x="21536"/>
        <item h="1" x="21537"/>
        <item h="1" x="21538"/>
        <item h="1" x="21539"/>
        <item h="1" x="21540"/>
        <item h="1" x="21541"/>
        <item h="1" x="21542"/>
        <item h="1" x="21543"/>
        <item h="1" x="21544"/>
        <item h="1" x="21545"/>
        <item h="1" x="21546"/>
        <item h="1" x="21547"/>
        <item h="1" x="21548"/>
        <item h="1" x="21549"/>
        <item h="1" x="21550"/>
        <item h="1" x="21551"/>
        <item h="1" x="21552"/>
        <item h="1" x="21553"/>
        <item h="1" x="21554"/>
        <item h="1" x="21555"/>
        <item h="1" x="21556"/>
        <item h="1" x="21557"/>
        <item h="1" x="21558"/>
        <item h="1" x="21559"/>
        <item h="1" x="21560"/>
        <item h="1" x="21561"/>
        <item h="1" x="21562"/>
        <item h="1" x="21563"/>
        <item h="1" x="21564"/>
        <item h="1" x="21565"/>
        <item h="1" x="21566"/>
        <item h="1" x="21567"/>
        <item h="1" x="21568"/>
        <item h="1" x="21569"/>
        <item h="1" x="21570"/>
        <item h="1" x="21571"/>
        <item h="1" x="21572"/>
        <item h="1" x="21573"/>
        <item h="1" x="21574"/>
        <item h="1" x="21575"/>
        <item h="1" x="21576"/>
        <item h="1" x="21577"/>
        <item h="1" x="21578"/>
        <item h="1" x="21579"/>
        <item h="1" x="21580"/>
        <item h="1" x="21581"/>
        <item h="1" x="21582"/>
        <item h="1" x="21583"/>
        <item h="1" x="21584"/>
        <item h="1" x="21585"/>
        <item h="1" x="21586"/>
        <item h="1" x="21587"/>
        <item h="1" x="21588"/>
        <item h="1" x="21589"/>
        <item h="1" x="21590"/>
        <item h="1" x="21591"/>
        <item h="1" x="21592"/>
        <item h="1" x="21593"/>
        <item h="1" x="21594"/>
        <item h="1" x="21595"/>
        <item h="1" x="21596"/>
        <item h="1" x="21597"/>
        <item h="1" x="21598"/>
        <item h="1" x="21599"/>
        <item h="1" x="21600"/>
        <item h="1" x="21601"/>
        <item h="1" x="21602"/>
        <item h="1" x="21603"/>
        <item h="1" x="21604"/>
        <item h="1" x="21605"/>
        <item h="1" x="21606"/>
        <item h="1" x="21607"/>
        <item h="1" x="21608"/>
        <item h="1" x="21609"/>
        <item h="1" x="21610"/>
        <item h="1" x="21611"/>
        <item h="1" x="21612"/>
        <item h="1" x="21613"/>
        <item h="1" x="21614"/>
        <item h="1" x="21615"/>
        <item h="1" x="21616"/>
        <item h="1" x="21617"/>
        <item h="1" x="21618"/>
        <item h="1" x="21619"/>
        <item h="1" x="21620"/>
        <item h="1" x="21621"/>
        <item h="1" x="21622"/>
        <item h="1" x="21623"/>
        <item h="1" x="21624"/>
        <item h="1" x="21625"/>
        <item h="1" x="21626"/>
        <item h="1" x="21627"/>
        <item h="1" x="21628"/>
        <item h="1" x="21629"/>
        <item h="1" x="21630"/>
        <item h="1" x="21631"/>
        <item h="1" x="21632"/>
        <item h="1" x="21633"/>
        <item h="1" x="21634"/>
        <item h="1" x="21635"/>
        <item h="1" x="21636"/>
        <item h="1" x="21637"/>
        <item h="1" x="21638"/>
        <item h="1" x="21639"/>
        <item h="1" x="21640"/>
        <item h="1" x="21641"/>
        <item h="1" x="21642"/>
        <item h="1" x="21643"/>
        <item h="1" x="21644"/>
        <item h="1" x="21645"/>
        <item h="1" x="21646"/>
        <item h="1" x="21647"/>
        <item h="1" x="21648"/>
        <item h="1" x="21649"/>
        <item h="1" x="21650"/>
        <item h="1" x="21651"/>
        <item h="1" x="21652"/>
        <item h="1" x="21653"/>
        <item h="1" x="21654"/>
        <item h="1" x="21655"/>
        <item h="1" x="21656"/>
        <item h="1" x="21657"/>
        <item h="1" x="21658"/>
        <item h="1" x="21659"/>
        <item h="1" x="21660"/>
        <item h="1" x="21661"/>
        <item h="1" x="21662"/>
        <item h="1" x="21663"/>
        <item h="1" x="21664"/>
        <item h="1" x="21665"/>
        <item h="1" x="21666"/>
        <item h="1" x="21667"/>
        <item h="1" x="21668"/>
        <item h="1" x="21669"/>
        <item h="1" x="21670"/>
        <item h="1" x="21671"/>
        <item h="1" x="21672"/>
        <item h="1" x="21673"/>
        <item h="1" x="21674"/>
        <item h="1" x="21675"/>
        <item h="1" x="21676"/>
        <item h="1" x="21677"/>
        <item h="1" x="21678"/>
        <item h="1" x="21679"/>
        <item h="1" x="21680"/>
        <item h="1" x="21681"/>
        <item h="1" x="21682"/>
        <item h="1" x="21683"/>
        <item h="1" x="21684"/>
        <item h="1" x="21685"/>
        <item h="1" x="21686"/>
        <item h="1" x="21687"/>
        <item h="1" x="21688"/>
        <item h="1" x="21689"/>
        <item h="1" x="21690"/>
        <item h="1" x="21691"/>
        <item h="1" x="21692"/>
        <item h="1" x="21693"/>
        <item h="1" x="21694"/>
        <item h="1" x="21695"/>
        <item h="1" x="21696"/>
        <item h="1" x="21697"/>
        <item h="1" x="21698"/>
        <item h="1" x="21699"/>
        <item h="1" x="21700"/>
        <item h="1" x="21701"/>
        <item h="1" x="21702"/>
        <item h="1" x="21703"/>
        <item h="1" x="21704"/>
        <item h="1" x="21705"/>
        <item h="1" x="21706"/>
        <item h="1" x="21707"/>
        <item h="1" x="21708"/>
        <item h="1" x="21709"/>
        <item h="1" x="21710"/>
        <item h="1" x="21711"/>
        <item h="1" x="21712"/>
        <item h="1" x="21713"/>
        <item h="1" x="21714"/>
        <item h="1" x="21715"/>
        <item h="1" x="21716"/>
        <item h="1" x="21717"/>
        <item h="1" x="21718"/>
        <item h="1" x="21719"/>
        <item h="1" x="21720"/>
        <item h="1" x="21721"/>
        <item h="1" x="21722"/>
        <item h="1" x="21723"/>
        <item h="1" x="21724"/>
        <item h="1" x="21725"/>
        <item h="1" x="21726"/>
        <item h="1" x="21727"/>
        <item h="1" x="21728"/>
        <item h="1" x="21729"/>
        <item h="1" x="21730"/>
        <item h="1" x="21731"/>
        <item h="1" x="21732"/>
        <item h="1" x="21733"/>
        <item h="1" x="21734"/>
        <item h="1" x="21735"/>
        <item h="1" x="21736"/>
        <item h="1" x="21737"/>
        <item h="1" x="21738"/>
        <item h="1" x="21739"/>
        <item h="1" x="21740"/>
        <item h="1" x="21741"/>
        <item h="1" x="21742"/>
        <item h="1" x="21743"/>
        <item h="1" x="21744"/>
        <item h="1" x="21745"/>
        <item h="1" x="21746"/>
        <item h="1" x="21747"/>
        <item h="1" x="21748"/>
        <item h="1" x="21749"/>
        <item h="1" x="21750"/>
        <item h="1" x="21751"/>
        <item h="1" x="21752"/>
        <item h="1" x="21753"/>
        <item h="1" x="21754"/>
        <item h="1" x="21755"/>
        <item h="1" x="21756"/>
        <item h="1" x="21757"/>
        <item h="1" x="21758"/>
        <item h="1" x="21759"/>
        <item h="1" x="21760"/>
        <item h="1" x="21761"/>
        <item h="1" x="21762"/>
        <item h="1" x="21763"/>
        <item h="1" x="21764"/>
        <item h="1" x="21765"/>
        <item h="1" x="21766"/>
        <item h="1" x="21767"/>
        <item h="1" x="21768"/>
        <item h="1" x="21769"/>
        <item h="1" x="21770"/>
        <item h="1" x="21771"/>
        <item h="1" x="21772"/>
        <item h="1" x="21773"/>
        <item h="1" x="21774"/>
        <item h="1" x="21775"/>
        <item h="1" x="21776"/>
        <item h="1" x="21777"/>
        <item h="1" x="21778"/>
        <item h="1" x="21779"/>
        <item h="1" x="21780"/>
        <item h="1" x="21781"/>
        <item h="1" x="21782"/>
        <item h="1" x="21783"/>
        <item h="1" x="21784"/>
        <item h="1" x="21785"/>
        <item h="1" x="21786"/>
        <item h="1" x="21787"/>
        <item h="1" x="21788"/>
        <item h="1" x="21789"/>
        <item h="1" x="21790"/>
        <item h="1" x="21791"/>
        <item h="1" x="21792"/>
        <item h="1" x="21793"/>
        <item h="1" x="21794"/>
        <item h="1" x="21795"/>
        <item h="1" x="21796"/>
        <item h="1" x="21797"/>
        <item h="1" x="21798"/>
        <item h="1" x="21799"/>
        <item h="1" x="21800"/>
        <item h="1" x="21801"/>
        <item h="1" x="21802"/>
        <item h="1" x="21803"/>
        <item h="1" x="21804"/>
        <item h="1" x="21805"/>
        <item h="1" x="21806"/>
        <item h="1" x="21807"/>
        <item h="1" x="21808"/>
        <item h="1" x="21809"/>
        <item h="1" x="21810"/>
        <item h="1" x="21811"/>
        <item h="1" x="21812"/>
        <item h="1" x="21813"/>
        <item h="1" x="21814"/>
        <item h="1" x="21815"/>
        <item h="1" x="21816"/>
        <item h="1" x="21817"/>
        <item h="1" x="21818"/>
        <item h="1" x="21819"/>
        <item h="1" x="21820"/>
        <item h="1" x="21821"/>
        <item h="1" x="21822"/>
        <item h="1" x="21823"/>
        <item h="1" x="21824"/>
        <item h="1" x="21825"/>
        <item h="1" x="21826"/>
        <item h="1" x="21827"/>
        <item h="1" x="21828"/>
        <item h="1" x="21829"/>
        <item h="1" x="21830"/>
        <item h="1" x="21831"/>
        <item h="1" x="21832"/>
        <item h="1" x="21833"/>
        <item h="1" x="21834"/>
        <item h="1" x="21835"/>
        <item h="1" x="21836"/>
        <item h="1" x="21837"/>
        <item h="1" x="21838"/>
        <item h="1" x="21839"/>
        <item h="1" x="21840"/>
        <item h="1" x="21841"/>
        <item h="1" x="21842"/>
        <item h="1" x="21843"/>
        <item h="1" x="21844"/>
        <item h="1" x="21845"/>
        <item h="1" x="21846"/>
        <item h="1" x="21847"/>
        <item h="1" x="21848"/>
        <item h="1" x="21849"/>
        <item h="1" x="21850"/>
        <item h="1" x="21851"/>
        <item h="1" x="21852"/>
        <item h="1" x="21853"/>
        <item h="1" x="21854"/>
        <item h="1" x="21855"/>
        <item h="1" x="21856"/>
        <item h="1" x="21857"/>
        <item h="1" x="21858"/>
        <item h="1" x="21859"/>
        <item h="1" x="21860"/>
        <item h="1" x="21861"/>
        <item h="1" x="21862"/>
        <item h="1" x="21863"/>
        <item h="1" x="21864"/>
        <item h="1" x="21865"/>
        <item h="1" x="21866"/>
        <item h="1" x="21867"/>
        <item h="1" x="21868"/>
        <item h="1" x="21869"/>
        <item h="1" x="21870"/>
        <item h="1" x="21871"/>
        <item h="1" x="21872"/>
        <item h="1" x="21873"/>
        <item h="1" x="21874"/>
        <item h="1" x="21875"/>
        <item h="1" x="21876"/>
        <item h="1" x="21877"/>
        <item h="1" x="21878"/>
        <item h="1" x="21879"/>
        <item h="1" x="21880"/>
        <item h="1" x="21881"/>
        <item h="1" x="21882"/>
        <item h="1" x="21883"/>
        <item h="1" x="21884"/>
        <item h="1" x="21885"/>
        <item h="1" x="21886"/>
        <item h="1" x="21887"/>
        <item h="1" x="21888"/>
        <item h="1" x="21889"/>
        <item h="1" x="21890"/>
        <item h="1" x="21891"/>
        <item h="1" x="21892"/>
        <item h="1" x="21893"/>
        <item h="1" x="21894"/>
        <item h="1" x="21895"/>
        <item h="1" x="21896"/>
        <item h="1" x="21897"/>
        <item h="1" x="21898"/>
        <item h="1" x="21899"/>
        <item h="1" x="21900"/>
        <item h="1" x="21901"/>
        <item h="1" x="21902"/>
        <item h="1" x="21903"/>
        <item h="1" x="21904"/>
        <item h="1" x="21905"/>
        <item h="1" x="21906"/>
        <item h="1" x="21907"/>
        <item h="1" x="21908"/>
        <item h="1" x="21909"/>
        <item h="1" x="21910"/>
        <item h="1" x="21911"/>
        <item h="1" x="21912"/>
        <item h="1" x="21913"/>
        <item h="1" x="21914"/>
        <item h="1" x="21915"/>
        <item h="1" x="21916"/>
        <item h="1" x="21917"/>
        <item h="1" x="21918"/>
        <item h="1" x="21919"/>
        <item h="1" x="21920"/>
        <item h="1" x="21921"/>
        <item h="1" x="21922"/>
        <item h="1" x="21923"/>
        <item h="1" x="21924"/>
        <item h="1" x="21925"/>
        <item h="1" x="21926"/>
        <item h="1" x="21927"/>
        <item h="1" x="21928"/>
        <item h="1" x="21929"/>
        <item h="1" x="21930"/>
        <item h="1" x="21931"/>
        <item h="1" x="21932"/>
        <item h="1" x="21933"/>
        <item h="1" x="21934"/>
        <item h="1" x="21935"/>
        <item h="1" x="21936"/>
        <item h="1" x="21937"/>
        <item h="1" x="21938"/>
        <item h="1" x="21939"/>
        <item h="1" x="21940"/>
        <item h="1" x="21941"/>
        <item h="1" x="21942"/>
        <item h="1" x="21943"/>
        <item h="1" x="21944"/>
        <item h="1" x="21945"/>
        <item h="1" x="21946"/>
        <item h="1" x="21947"/>
        <item h="1" x="21948"/>
        <item h="1" x="21949"/>
        <item h="1" x="21950"/>
        <item h="1" x="21951"/>
        <item h="1" x="21952"/>
        <item h="1" x="21953"/>
        <item h="1" x="21954"/>
        <item h="1" x="21955"/>
        <item h="1" x="21956"/>
        <item h="1" x="21957"/>
        <item h="1" x="21958"/>
        <item h="1" x="21959"/>
        <item h="1" x="21960"/>
        <item h="1" x="21961"/>
        <item h="1" x="21962"/>
        <item h="1" x="21963"/>
        <item h="1" x="21964"/>
        <item h="1" x="21965"/>
        <item h="1" x="21966"/>
        <item h="1" x="21967"/>
        <item h="1" x="21968"/>
        <item h="1" x="21969"/>
        <item h="1" x="21970"/>
        <item h="1" x="21971"/>
        <item h="1" x="21972"/>
        <item h="1" x="21973"/>
        <item h="1" x="21974"/>
        <item h="1" x="21975"/>
        <item h="1" x="21976"/>
        <item h="1" x="21977"/>
        <item h="1" x="21978"/>
        <item h="1" x="21979"/>
        <item h="1" x="21980"/>
        <item h="1" x="21981"/>
        <item h="1" x="21982"/>
        <item h="1" x="21983"/>
        <item h="1" x="21984"/>
        <item h="1" x="21985"/>
        <item h="1" x="21986"/>
        <item h="1" x="21987"/>
        <item h="1" x="21988"/>
        <item h="1" x="21989"/>
        <item h="1" x="21990"/>
        <item h="1" x="21991"/>
        <item h="1" x="21992"/>
        <item h="1" x="21993"/>
        <item h="1" x="21994"/>
        <item h="1" x="21995"/>
        <item h="1" x="21996"/>
        <item h="1" x="21997"/>
        <item h="1" x="21998"/>
        <item h="1" x="21999"/>
        <item h="1" x="22000"/>
        <item h="1" x="22001"/>
        <item h="1" x="22002"/>
        <item h="1" x="22003"/>
        <item h="1" x="22004"/>
        <item h="1" x="22005"/>
        <item h="1" x="22006"/>
        <item h="1" x="22007"/>
        <item h="1" x="22008"/>
        <item h="1" x="22009"/>
        <item h="1" x="22010"/>
        <item h="1" x="22011"/>
        <item h="1" x="22012"/>
        <item h="1" x="22013"/>
        <item h="1" x="22014"/>
        <item h="1" x="22015"/>
        <item h="1" x="22016"/>
        <item h="1" x="22017"/>
        <item h="1" x="22018"/>
        <item h="1" x="22019"/>
        <item h="1" x="22020"/>
        <item h="1" x="22021"/>
        <item h="1" x="22022"/>
        <item h="1" x="22023"/>
        <item h="1" x="22024"/>
        <item h="1" x="22025"/>
        <item h="1" x="22026"/>
        <item h="1" x="22027"/>
        <item h="1" x="22028"/>
        <item h="1" x="22029"/>
        <item h="1" x="22030"/>
        <item h="1" x="22031"/>
        <item h="1" x="22032"/>
        <item h="1" x="22033"/>
        <item h="1" x="22034"/>
        <item h="1" x="22035"/>
        <item h="1" x="22036"/>
        <item h="1" x="22037"/>
        <item h="1" x="22038"/>
        <item h="1" x="22039"/>
        <item h="1" x="22040"/>
        <item h="1" x="22041"/>
        <item h="1" x="22042"/>
        <item h="1" x="22043"/>
        <item h="1" x="22044"/>
        <item h="1" x="22045"/>
        <item h="1" x="22046"/>
        <item h="1" x="22047"/>
        <item h="1" x="22048"/>
        <item h="1" x="22049"/>
        <item h="1" x="22050"/>
        <item h="1" x="22051"/>
        <item h="1" x="22052"/>
        <item h="1" x="22053"/>
        <item h="1" x="22054"/>
        <item h="1" x="22055"/>
        <item h="1" x="22056"/>
        <item h="1" x="22057"/>
        <item h="1" x="22058"/>
        <item h="1" x="22059"/>
        <item h="1" x="22060"/>
        <item h="1" x="22061"/>
        <item h="1" x="22062"/>
        <item h="1" x="22063"/>
        <item h="1" x="22064"/>
        <item h="1" x="22065"/>
        <item h="1" x="22066"/>
        <item h="1" x="22067"/>
        <item h="1" x="22068"/>
        <item h="1" x="22069"/>
        <item h="1" x="22070"/>
        <item h="1" x="22071"/>
        <item h="1" x="22072"/>
        <item h="1" x="22073"/>
        <item h="1" x="22074"/>
        <item h="1" x="22075"/>
        <item h="1" x="22076"/>
        <item h="1" x="22077"/>
        <item h="1" x="22078"/>
        <item h="1" x="22079"/>
        <item h="1" x="22080"/>
        <item h="1" x="22081"/>
        <item h="1" x="22082"/>
        <item h="1" x="22083"/>
        <item h="1" x="22084"/>
        <item h="1" x="22085"/>
        <item h="1" x="22086"/>
        <item h="1" x="22087"/>
        <item h="1" x="22088"/>
        <item h="1" x="22089"/>
        <item h="1" x="22090"/>
        <item h="1" x="22091"/>
        <item h="1" x="22092"/>
        <item h="1" x="22093"/>
        <item h="1" x="22094"/>
        <item h="1" x="22095"/>
        <item h="1" x="22096"/>
        <item h="1" x="22097"/>
        <item h="1" x="22098"/>
        <item h="1" x="22099"/>
        <item h="1" x="22100"/>
        <item h="1" x="22101"/>
        <item h="1" x="22102"/>
        <item h="1" x="22103"/>
        <item h="1" x="22104"/>
        <item h="1" x="22105"/>
        <item h="1" x="22106"/>
        <item h="1" x="22107"/>
        <item h="1" x="22108"/>
        <item h="1" x="22109"/>
        <item h="1" x="22110"/>
        <item h="1" x="22111"/>
        <item h="1" x="22112"/>
        <item h="1" x="22113"/>
        <item h="1" x="22114"/>
        <item h="1" x="22115"/>
        <item h="1" x="22116"/>
        <item h="1" x="22117"/>
        <item h="1" x="22118"/>
        <item h="1" x="22119"/>
        <item h="1" x="22120"/>
        <item h="1" x="22121"/>
        <item h="1" x="22122"/>
        <item h="1" x="22123"/>
        <item h="1" x="22124"/>
        <item h="1" x="22125"/>
        <item h="1" x="22126"/>
        <item h="1" x="22127"/>
        <item h="1" x="22128"/>
        <item h="1" x="22129"/>
        <item h="1" x="22130"/>
        <item h="1" x="22131"/>
        <item h="1" x="22132"/>
        <item h="1" x="22133"/>
        <item h="1" x="22134"/>
        <item h="1" x="22135"/>
        <item h="1" x="22136"/>
        <item h="1" x="22137"/>
        <item h="1" x="22138"/>
        <item h="1" x="22139"/>
        <item h="1" x="22140"/>
        <item h="1" x="22141"/>
        <item h="1" x="22142"/>
        <item h="1" x="22143"/>
        <item h="1" x="22144"/>
        <item h="1" x="22145"/>
        <item h="1" x="22146"/>
        <item h="1" x="22147"/>
        <item h="1" x="22148"/>
        <item h="1" x="22149"/>
        <item h="1" x="22150"/>
        <item h="1" x="22151"/>
        <item h="1" x="22152"/>
        <item h="1" x="22153"/>
        <item h="1" x="22154"/>
        <item h="1" x="22155"/>
        <item h="1" x="22156"/>
        <item h="1" x="22157"/>
        <item h="1" x="22158"/>
        <item h="1" x="22159"/>
        <item h="1" x="22160"/>
        <item h="1" x="22161"/>
        <item h="1" x="22162"/>
        <item h="1" x="22163"/>
        <item h="1" x="22164"/>
        <item h="1" x="22165"/>
        <item h="1" x="22166"/>
        <item h="1" x="22167"/>
        <item h="1" x="22168"/>
        <item h="1" x="22169"/>
        <item h="1" x="22170"/>
        <item h="1" x="22171"/>
        <item h="1" x="22172"/>
        <item h="1" x="22173"/>
        <item h="1" x="22174"/>
        <item h="1" x="22175"/>
        <item h="1" x="22176"/>
        <item h="1" x="22177"/>
        <item h="1" x="22178"/>
        <item h="1" x="22179"/>
        <item h="1" x="22180"/>
        <item h="1" x="22181"/>
        <item h="1" x="22182"/>
        <item h="1" x="22183"/>
        <item h="1" x="22184"/>
        <item h="1" x="22185"/>
        <item h="1" x="22186"/>
        <item h="1" x="22187"/>
        <item h="1" x="22188"/>
        <item h="1" x="22189"/>
        <item h="1" x="22190"/>
        <item h="1" x="22191"/>
        <item h="1" x="22192"/>
        <item h="1" x="22193"/>
        <item h="1" x="22194"/>
        <item h="1" x="22195"/>
        <item h="1" x="22196"/>
        <item h="1" x="22197"/>
        <item h="1" x="22198"/>
        <item h="1" x="22199"/>
        <item h="1" x="22200"/>
        <item h="1" x="22201"/>
        <item h="1" x="22202"/>
        <item h="1" x="22203"/>
        <item h="1" x="22204"/>
        <item h="1" x="22205"/>
        <item h="1" x="22206"/>
        <item h="1" x="22207"/>
        <item h="1" x="22208"/>
        <item h="1" x="22209"/>
        <item h="1" x="22210"/>
        <item h="1" x="22211"/>
        <item h="1" x="22212"/>
        <item h="1" x="22213"/>
        <item h="1" x="22214"/>
        <item h="1" x="22215"/>
        <item h="1" x="22216"/>
        <item h="1" x="22217"/>
        <item h="1" x="22218"/>
        <item h="1" x="22219"/>
        <item h="1" x="22220"/>
        <item h="1" x="22221"/>
        <item h="1" x="22222"/>
        <item h="1" x="22223"/>
        <item h="1" x="22224"/>
        <item h="1" x="22225"/>
        <item h="1" x="22226"/>
        <item h="1" x="22227"/>
        <item h="1" x="22228"/>
        <item h="1" x="22229"/>
        <item h="1" x="22230"/>
        <item h="1" x="22231"/>
        <item h="1" x="22232"/>
        <item h="1" x="22233"/>
        <item h="1" x="22234"/>
        <item h="1" x="22235"/>
        <item h="1" x="22236"/>
        <item h="1" x="22237"/>
        <item h="1" x="22238"/>
        <item h="1" x="22239"/>
        <item h="1" x="22240"/>
        <item h="1" x="22241"/>
        <item h="1" x="22242"/>
        <item h="1" x="22243"/>
        <item h="1" x="22244"/>
        <item h="1" x="22245"/>
        <item h="1" x="22246"/>
        <item h="1" x="22247"/>
        <item h="1" x="22248"/>
        <item h="1" x="22249"/>
        <item h="1" x="22250"/>
        <item h="1" x="22251"/>
        <item h="1" x="22252"/>
        <item h="1" x="22253"/>
        <item h="1" x="22254"/>
        <item h="1" x="22255"/>
        <item h="1" x="22256"/>
        <item h="1" x="22257"/>
        <item h="1" x="22258"/>
        <item h="1" x="22259"/>
        <item h="1" x="22260"/>
        <item h="1" x="22261"/>
        <item h="1" x="22262"/>
        <item h="1" x="22263"/>
        <item h="1" x="22264"/>
        <item h="1" x="22265"/>
        <item h="1" x="22266"/>
        <item h="1" x="22267"/>
        <item h="1" x="22268"/>
        <item h="1" x="22269"/>
        <item h="1" x="22270"/>
        <item h="1" x="22271"/>
        <item h="1" x="22272"/>
        <item h="1" x="22273"/>
        <item h="1" x="22274"/>
        <item h="1" x="22275"/>
        <item h="1" x="22276"/>
        <item h="1" x="22277"/>
        <item h="1" x="22278"/>
        <item h="1" x="22279"/>
        <item h="1" x="22280"/>
        <item h="1" x="22281"/>
        <item h="1" x="22282"/>
        <item h="1" x="22283"/>
        <item h="1" x="22284"/>
        <item h="1" x="22285"/>
        <item h="1" x="22286"/>
        <item h="1" x="22287"/>
        <item h="1" x="22288"/>
        <item h="1" x="22289"/>
        <item h="1" x="22290"/>
        <item h="1" x="22291"/>
        <item h="1" x="22292"/>
        <item h="1" x="22293"/>
        <item h="1" x="22294"/>
        <item h="1" x="22295"/>
        <item h="1" x="22296"/>
        <item h="1" x="22297"/>
        <item h="1" x="22298"/>
        <item h="1" x="22299"/>
        <item h="1" x="22300"/>
        <item h="1" x="22301"/>
        <item h="1" x="22302"/>
        <item h="1" x="22303"/>
        <item h="1" x="22304"/>
        <item h="1" x="22305"/>
        <item h="1" x="22306"/>
        <item h="1" x="22307"/>
        <item h="1" x="22308"/>
        <item h="1" x="22309"/>
        <item h="1" x="22310"/>
        <item h="1" x="22311"/>
        <item h="1" x="22312"/>
        <item h="1" x="22313"/>
        <item h="1" x="22314"/>
        <item h="1" x="22315"/>
        <item h="1" x="22316"/>
        <item h="1" x="22317"/>
        <item h="1" x="22318"/>
        <item h="1" x="22319"/>
        <item h="1" x="22320"/>
        <item h="1" x="22321"/>
        <item h="1" x="22322"/>
        <item h="1" x="22323"/>
        <item h="1" x="22324"/>
        <item h="1" x="22325"/>
        <item h="1" x="22326"/>
        <item h="1" x="22327"/>
        <item h="1" x="22328"/>
        <item h="1" x="22329"/>
        <item h="1" x="22330"/>
        <item h="1" x="22331"/>
        <item h="1" x="22332"/>
        <item h="1" x="22333"/>
        <item h="1" x="22334"/>
        <item h="1" x="22335"/>
        <item h="1" x="22336"/>
        <item h="1" x="22337"/>
        <item h="1" x="22338"/>
        <item h="1" x="22339"/>
        <item h="1" x="22340"/>
        <item h="1" x="22341"/>
        <item h="1" x="22342"/>
        <item h="1" x="22343"/>
        <item h="1" x="22344"/>
        <item h="1" x="22345"/>
        <item h="1" x="22346"/>
        <item h="1" x="22347"/>
        <item h="1" x="22348"/>
        <item h="1" x="22349"/>
        <item h="1" x="22350"/>
        <item h="1" x="22351"/>
        <item h="1" x="22352"/>
        <item h="1" x="22353"/>
        <item h="1" x="22354"/>
        <item h="1" x="22355"/>
        <item h="1" x="22356"/>
        <item h="1" x="22357"/>
        <item h="1" x="22358"/>
        <item h="1" x="22359"/>
        <item h="1" x="22360"/>
        <item h="1" x="22361"/>
        <item h="1" x="22362"/>
        <item h="1" x="22363"/>
        <item h="1" x="22364"/>
        <item h="1" x="22365"/>
        <item h="1" x="22366"/>
        <item h="1" x="22367"/>
        <item h="1" x="22368"/>
        <item h="1" x="22369"/>
        <item h="1" x="22370"/>
        <item h="1" x="22371"/>
        <item h="1" x="22372"/>
        <item h="1" x="22373"/>
        <item h="1" x="22374"/>
        <item h="1" x="22375"/>
        <item h="1" x="22376"/>
        <item h="1" x="22377"/>
        <item h="1" x="22378"/>
        <item h="1" x="22379"/>
        <item h="1" x="22380"/>
        <item h="1" x="22381"/>
        <item h="1" x="22382"/>
        <item h="1" x="22383"/>
        <item h="1" x="22384"/>
        <item h="1" x="22385"/>
        <item h="1" x="22386"/>
        <item h="1" x="22387"/>
        <item h="1" x="22388"/>
        <item h="1" x="22389"/>
        <item h="1" x="22390"/>
        <item h="1" x="22391"/>
        <item h="1" x="22392"/>
        <item h="1" x="22393"/>
        <item h="1" x="22394"/>
        <item h="1" x="22395"/>
        <item h="1" x="22396"/>
        <item h="1" x="22397"/>
        <item h="1" x="22398"/>
        <item h="1" x="22399"/>
        <item h="1" x="22400"/>
        <item h="1" x="22401"/>
        <item h="1" x="22402"/>
        <item h="1" x="22403"/>
        <item h="1" x="22404"/>
        <item h="1" x="22405"/>
        <item h="1" x="22406"/>
        <item h="1" x="22407"/>
        <item h="1" x="22408"/>
        <item h="1" x="22409"/>
        <item h="1" x="22410"/>
        <item h="1" x="22411"/>
        <item h="1" x="22412"/>
        <item h="1" x="22413"/>
        <item h="1" x="22414"/>
        <item h="1" x="22415"/>
        <item h="1" x="22416"/>
        <item h="1" x="22417"/>
        <item h="1" x="22418"/>
        <item h="1" x="22419"/>
        <item h="1" x="22420"/>
        <item h="1" x="22421"/>
        <item h="1" x="22422"/>
        <item h="1" x="22423"/>
        <item h="1" x="22424"/>
        <item h="1" x="22425"/>
        <item h="1" x="22426"/>
        <item h="1" x="22427"/>
        <item h="1" x="22428"/>
        <item h="1" x="22429"/>
        <item h="1" x="22430"/>
        <item h="1" x="22431"/>
        <item h="1" x="22432"/>
        <item h="1" x="22433"/>
        <item h="1" x="22434"/>
        <item h="1" x="22435"/>
        <item h="1" x="22436"/>
        <item h="1" x="22437"/>
        <item h="1" x="22438"/>
        <item h="1" x="22439"/>
        <item h="1" x="22440"/>
        <item h="1" x="22441"/>
        <item h="1" x="22442"/>
        <item h="1" x="22443"/>
        <item h="1" x="22444"/>
        <item h="1" x="22445"/>
        <item h="1" x="22446"/>
        <item h="1" x="22447"/>
        <item h="1" x="22448"/>
        <item h="1" x="22449"/>
        <item h="1" x="22450"/>
        <item h="1" x="22451"/>
        <item h="1" x="22452"/>
        <item h="1" x="22453"/>
        <item h="1" x="22454"/>
        <item h="1" x="22455"/>
        <item h="1" x="22456"/>
        <item h="1" x="22457"/>
        <item h="1" x="22458"/>
        <item h="1" x="22459"/>
        <item h="1" x="22460"/>
        <item h="1" x="22461"/>
        <item h="1" x="22462"/>
        <item h="1" x="22463"/>
        <item h="1" x="22464"/>
        <item h="1" x="22465"/>
        <item h="1" x="22466"/>
        <item h="1" x="22467"/>
        <item h="1" x="22468"/>
        <item h="1" x="22469"/>
        <item h="1" x="22470"/>
        <item h="1" x="22471"/>
        <item h="1" x="22472"/>
        <item h="1" x="22473"/>
        <item h="1" x="22474"/>
        <item h="1" x="22475"/>
        <item h="1" x="22476"/>
        <item h="1" x="22477"/>
        <item h="1" x="22478"/>
        <item h="1" x="22479"/>
        <item h="1" x="22480"/>
        <item h="1" x="22481"/>
        <item h="1" x="22482"/>
        <item h="1" x="22483"/>
        <item h="1" x="22484"/>
        <item h="1" x="22485"/>
        <item h="1" x="22486"/>
        <item h="1" x="22487"/>
        <item h="1" x="22488"/>
        <item h="1" x="22489"/>
        <item h="1" x="22490"/>
        <item h="1" x="22491"/>
        <item h="1" x="22492"/>
        <item h="1" x="22493"/>
        <item h="1" x="22494"/>
        <item h="1" x="22495"/>
        <item h="1" x="22496"/>
        <item h="1" x="22497"/>
        <item h="1" x="22498"/>
        <item h="1" x="22499"/>
        <item h="1" x="22500"/>
        <item h="1" x="22501"/>
        <item h="1" x="22502"/>
        <item h="1" x="22503"/>
        <item h="1" x="22504"/>
        <item h="1" x="22505"/>
        <item h="1" x="22506"/>
        <item h="1" x="22507"/>
        <item h="1" x="22508"/>
        <item h="1" x="22509"/>
        <item h="1" x="22510"/>
        <item h="1" x="22511"/>
        <item h="1" x="22512"/>
        <item h="1" x="22513"/>
        <item h="1" x="22514"/>
        <item h="1" x="22515"/>
        <item h="1" x="22516"/>
        <item h="1" x="22517"/>
        <item h="1" x="22518"/>
        <item h="1" x="22519"/>
        <item h="1" x="22520"/>
        <item h="1" x="22521"/>
        <item h="1" x="22522"/>
        <item h="1" x="22523"/>
        <item h="1" x="22524"/>
        <item h="1" x="22525"/>
        <item h="1" x="22526"/>
        <item h="1" x="22527"/>
        <item h="1" x="22528"/>
        <item h="1" x="22529"/>
        <item h="1" x="22530"/>
        <item h="1" x="22531"/>
        <item h="1" x="22532"/>
        <item h="1" x="22533"/>
        <item h="1" x="22534"/>
        <item h="1" x="22535"/>
        <item h="1" x="22536"/>
        <item h="1" x="22537"/>
        <item h="1" x="22538"/>
        <item h="1" x="22539"/>
        <item h="1" x="22540"/>
        <item h="1" x="22541"/>
        <item h="1" x="22542"/>
        <item h="1" x="22543"/>
        <item h="1" x="22544"/>
        <item h="1" x="22545"/>
        <item h="1" x="22546"/>
        <item h="1" x="22547"/>
        <item h="1" x="22548"/>
        <item h="1" x="22549"/>
        <item h="1" x="22550"/>
        <item h="1" x="22551"/>
        <item h="1" x="22552"/>
        <item h="1" x="22553"/>
        <item h="1" x="22554"/>
        <item h="1" x="22555"/>
        <item h="1" x="22556"/>
        <item h="1" x="22557"/>
        <item h="1" x="22558"/>
        <item h="1" x="22559"/>
        <item h="1" x="22560"/>
        <item h="1" x="22561"/>
        <item h="1" x="22562"/>
        <item h="1" x="22563"/>
        <item h="1" x="22564"/>
        <item h="1" x="22565"/>
        <item h="1" x="22566"/>
        <item h="1" x="22567"/>
        <item h="1" x="22568"/>
        <item h="1" x="22569"/>
        <item h="1" x="22570"/>
        <item h="1" x="22571"/>
        <item h="1" x="22572"/>
        <item h="1" x="22573"/>
        <item h="1" x="22574"/>
        <item h="1" x="22575"/>
        <item h="1" x="22576"/>
        <item h="1" x="22577"/>
        <item h="1" x="22578"/>
        <item h="1" x="22579"/>
        <item h="1" x="22580"/>
        <item h="1" x="22581"/>
        <item h="1" x="22582"/>
        <item h="1" x="22583"/>
        <item h="1" x="22584"/>
        <item h="1" x="22585"/>
        <item h="1" x="22586"/>
        <item h="1" x="22587"/>
        <item h="1" x="22588"/>
        <item h="1" x="22589"/>
        <item h="1" x="22590"/>
        <item h="1" x="22591"/>
        <item h="1" x="22592"/>
        <item h="1" x="22593"/>
        <item h="1" x="22594"/>
        <item h="1" x="22595"/>
        <item h="1" x="22596"/>
        <item h="1" x="22597"/>
        <item h="1" x="22598"/>
        <item h="1" x="22599"/>
        <item h="1" x="22600"/>
        <item h="1" x="22601"/>
        <item h="1" x="22602"/>
        <item h="1" x="22603"/>
        <item h="1" x="22604"/>
        <item h="1" x="22605"/>
        <item h="1" x="22606"/>
        <item h="1" x="22607"/>
        <item h="1" x="22608"/>
        <item h="1" x="22609"/>
        <item h="1" x="22610"/>
        <item h="1" x="22611"/>
        <item h="1" x="22612"/>
        <item h="1" x="22613"/>
        <item h="1" x="22614"/>
        <item h="1" x="22615"/>
        <item h="1" x="22616"/>
        <item h="1" x="22617"/>
        <item h="1" x="22618"/>
        <item h="1" x="22619"/>
        <item h="1" x="22620"/>
        <item h="1" x="22621"/>
        <item h="1" x="22622"/>
        <item h="1" x="22623"/>
        <item h="1" x="22624"/>
        <item h="1" x="22625"/>
        <item h="1" x="22626"/>
        <item h="1" x="22627"/>
        <item h="1" x="22628"/>
        <item h="1" x="22629"/>
        <item h="1" x="22630"/>
        <item h="1" x="22631"/>
        <item h="1" x="22632"/>
        <item h="1" x="22633"/>
        <item h="1" x="22634"/>
        <item h="1" x="22635"/>
        <item h="1" x="22636"/>
        <item h="1" x="22637"/>
        <item h="1" x="22638"/>
        <item h="1" x="22639"/>
        <item h="1" x="22640"/>
        <item h="1" x="22641"/>
        <item h="1" x="22642"/>
        <item h="1" x="22643"/>
        <item h="1" x="22644"/>
        <item h="1" x="22645"/>
        <item h="1" x="22646"/>
        <item h="1" x="22647"/>
        <item h="1" x="22648"/>
        <item h="1" x="22649"/>
        <item h="1" x="22650"/>
        <item h="1" x="22651"/>
        <item h="1" x="22652"/>
        <item h="1" x="22653"/>
        <item h="1" x="22654"/>
        <item h="1" x="22655"/>
        <item h="1" x="22656"/>
        <item h="1" x="22657"/>
        <item h="1" x="22658"/>
        <item h="1" x="22659"/>
        <item h="1" x="22660"/>
        <item h="1" x="22661"/>
        <item h="1" x="22662"/>
        <item h="1" x="22663"/>
        <item h="1" x="22664"/>
        <item h="1" x="22665"/>
        <item h="1" x="22666"/>
        <item h="1" x="22667"/>
        <item h="1" x="22668"/>
        <item h="1" x="22669"/>
        <item h="1" x="22670"/>
        <item h="1" x="22671"/>
        <item h="1" x="22672"/>
        <item h="1" x="22673"/>
        <item h="1" x="22674"/>
        <item h="1" x="22675"/>
        <item h="1" x="22676"/>
        <item h="1" x="22677"/>
        <item h="1" x="22678"/>
        <item h="1" x="22679"/>
        <item h="1" x="22680"/>
        <item h="1" x="22681"/>
        <item h="1" x="22682"/>
        <item h="1" x="22683"/>
        <item h="1" x="22684"/>
        <item h="1" x="22685"/>
        <item h="1" x="22686"/>
        <item h="1" x="22687"/>
        <item h="1" x="22688"/>
        <item h="1" x="22689"/>
        <item h="1" x="22690"/>
        <item h="1" x="22691"/>
        <item h="1" x="22692"/>
        <item h="1" x="22693"/>
        <item h="1" x="22694"/>
        <item h="1" x="22695"/>
        <item h="1" x="22696"/>
        <item h="1" x="22697"/>
        <item h="1" x="22698"/>
        <item h="1" x="22699"/>
        <item h="1" x="22700"/>
        <item h="1" x="22701"/>
        <item h="1" x="22702"/>
        <item h="1" x="22703"/>
        <item h="1" x="22704"/>
        <item h="1" x="22705"/>
        <item h="1" x="22706"/>
        <item h="1" x="22707"/>
        <item h="1" x="22708"/>
        <item h="1" x="22709"/>
        <item h="1" x="22710"/>
        <item h="1" x="22711"/>
        <item h="1" x="22712"/>
        <item h="1" x="22713"/>
        <item h="1" x="22714"/>
        <item h="1" x="22715"/>
        <item h="1" x="22716"/>
        <item h="1" x="22717"/>
        <item h="1" x="22718"/>
        <item h="1" x="22719"/>
        <item h="1" x="22720"/>
        <item h="1" x="22721"/>
        <item h="1" x="22722"/>
        <item h="1" x="22723"/>
        <item h="1" x="22724"/>
        <item h="1" x="22725"/>
        <item h="1" x="22726"/>
        <item h="1" x="22727"/>
        <item h="1" x="22728"/>
        <item h="1" x="22729"/>
        <item h="1" x="22730"/>
        <item h="1" x="22731"/>
        <item h="1" x="22732"/>
        <item h="1" x="22733"/>
        <item h="1" x="22734"/>
        <item h="1" x="22735"/>
        <item h="1" x="22736"/>
        <item h="1" x="22737"/>
        <item h="1" x="22738"/>
        <item h="1" x="22739"/>
        <item h="1" x="22740"/>
        <item h="1" x="22741"/>
        <item h="1" x="22742"/>
        <item h="1" x="22743"/>
        <item h="1" x="22744"/>
        <item h="1" x="22745"/>
        <item h="1" x="22746"/>
        <item h="1" x="22747"/>
        <item h="1" x="22748"/>
        <item h="1" x="22749"/>
        <item h="1" x="22750"/>
        <item h="1" x="22751"/>
        <item h="1" x="22752"/>
        <item h="1" x="22753"/>
        <item h="1" x="22754"/>
        <item h="1" x="22755"/>
        <item h="1" x="22756"/>
        <item h="1" x="22757"/>
        <item h="1" x="22758"/>
        <item h="1" x="22759"/>
        <item h="1" x="22760"/>
        <item h="1" x="22761"/>
        <item h="1" x="22762"/>
        <item h="1" x="22763"/>
        <item h="1" x="22764"/>
        <item h="1" x="22765"/>
        <item h="1" x="22766"/>
        <item h="1" x="22767"/>
        <item h="1" x="22768"/>
        <item h="1" x="22769"/>
        <item h="1" x="22770"/>
        <item h="1" x="22771"/>
        <item h="1" x="22772"/>
        <item h="1" x="22773"/>
        <item h="1" x="22774"/>
        <item h="1" x="22775"/>
        <item h="1" x="22776"/>
        <item h="1" x="22777"/>
        <item h="1" x="22778"/>
        <item h="1" x="22779"/>
        <item h="1" x="22780"/>
        <item h="1" x="22781"/>
        <item h="1" x="22782"/>
        <item h="1" x="22783"/>
        <item h="1" x="22784"/>
        <item h="1" x="22785"/>
        <item h="1" x="22786"/>
        <item h="1" x="22787"/>
        <item h="1" x="22788"/>
        <item h="1" x="22789"/>
        <item h="1" x="22790"/>
        <item h="1" x="22791"/>
        <item h="1" x="22792"/>
        <item h="1" x="22793"/>
        <item h="1" x="22794"/>
        <item h="1" x="22795"/>
        <item h="1" x="22796"/>
        <item h="1" x="22797"/>
        <item h="1" x="22798"/>
        <item h="1" x="22799"/>
        <item h="1" x="22800"/>
        <item h="1" x="22801"/>
        <item h="1" x="22802"/>
        <item h="1" x="22803"/>
        <item h="1" x="22804"/>
        <item h="1" x="22805"/>
        <item h="1" x="22806"/>
        <item h="1" x="22807"/>
        <item h="1" x="22808"/>
        <item h="1" x="22809"/>
        <item h="1" x="22810"/>
        <item h="1" x="22811"/>
        <item h="1" x="22812"/>
        <item h="1" x="22813"/>
        <item h="1" x="22814"/>
        <item h="1" x="22815"/>
        <item h="1" x="22816"/>
        <item h="1" x="22817"/>
        <item h="1" x="22818"/>
        <item h="1" x="22819"/>
        <item h="1" x="22820"/>
        <item h="1" x="22821"/>
        <item h="1" x="22822"/>
        <item h="1" x="22823"/>
        <item h="1" x="22824"/>
        <item h="1" x="22825"/>
        <item h="1" x="22826"/>
        <item h="1" x="22827"/>
        <item h="1" x="22828"/>
        <item h="1" x="22829"/>
        <item h="1" x="22830"/>
        <item h="1" x="22831"/>
        <item h="1" x="22832"/>
        <item h="1" x="22833"/>
        <item h="1" x="22834"/>
        <item h="1" x="22835"/>
        <item h="1" x="22836"/>
        <item h="1" x="22837"/>
        <item h="1" x="22838"/>
        <item h="1" x="22839"/>
        <item h="1" x="22840"/>
        <item h="1" x="22841"/>
        <item h="1" x="22842"/>
        <item h="1" x="22843"/>
        <item h="1" x="22844"/>
        <item h="1" x="22845"/>
        <item h="1" x="22846"/>
        <item h="1" x="22847"/>
        <item h="1" x="22848"/>
        <item h="1" x="22849"/>
        <item h="1" x="22850"/>
        <item h="1" x="22851"/>
        <item h="1" x="22852"/>
        <item h="1" x="22853"/>
        <item h="1" x="22854"/>
        <item h="1" x="22855"/>
        <item h="1" x="22856"/>
        <item h="1" x="22857"/>
        <item h="1" x="22858"/>
        <item h="1" x="22859"/>
        <item h="1" x="22860"/>
        <item h="1" x="22861"/>
        <item h="1" x="22862"/>
        <item h="1" x="22863"/>
        <item h="1" x="22864"/>
        <item h="1" x="22865"/>
        <item h="1" x="22866"/>
        <item h="1" x="22867"/>
        <item h="1" x="22868"/>
        <item h="1" x="22869"/>
        <item h="1" x="22870"/>
        <item h="1" x="22871"/>
        <item h="1" x="22872"/>
        <item h="1" x="22873"/>
        <item h="1" x="22874"/>
        <item h="1" x="22875"/>
        <item h="1" x="22876"/>
        <item h="1" x="22877"/>
        <item h="1" x="22878"/>
        <item h="1" x="22879"/>
        <item h="1" x="22880"/>
        <item h="1" x="22881"/>
        <item h="1" x="22882"/>
        <item h="1" x="22883"/>
        <item h="1" x="22884"/>
        <item h="1" x="22885"/>
        <item h="1" x="22886"/>
        <item h="1" x="22887"/>
        <item h="1" x="22888"/>
        <item h="1" x="22889"/>
        <item h="1" x="22890"/>
        <item h="1" x="22891"/>
        <item h="1" x="22892"/>
        <item h="1" x="22893"/>
        <item h="1" x="22894"/>
        <item h="1" x="22895"/>
        <item h="1" x="22896"/>
        <item h="1" x="22897"/>
        <item h="1" x="22898"/>
        <item h="1" x="22899"/>
        <item h="1" x="22900"/>
        <item h="1" x="22901"/>
        <item h="1" x="22902"/>
        <item h="1" x="22903"/>
        <item h="1" x="22904"/>
        <item h="1" x="22905"/>
        <item h="1" x="22906"/>
        <item h="1" x="22907"/>
        <item h="1" x="22908"/>
        <item h="1" x="22909"/>
        <item h="1" x="22910"/>
        <item h="1" x="22911"/>
        <item h="1" x="22912"/>
        <item h="1" x="22913"/>
        <item h="1" x="22914"/>
        <item h="1" x="22915"/>
        <item h="1" x="22916"/>
        <item h="1" x="22917"/>
        <item h="1" x="22918"/>
        <item h="1" x="22919"/>
        <item h="1" x="22920"/>
        <item h="1" x="22921"/>
        <item h="1" x="22922"/>
        <item h="1" x="22923"/>
        <item h="1" x="22924"/>
        <item h="1" x="22925"/>
        <item h="1" x="22926"/>
        <item h="1" x="22927"/>
        <item h="1" x="22928"/>
        <item h="1" x="22929"/>
        <item h="1" x="22930"/>
        <item h="1" x="22931"/>
        <item h="1" x="22932"/>
        <item h="1" x="22933"/>
        <item h="1" x="22934"/>
        <item h="1" x="22935"/>
        <item h="1" x="22936"/>
        <item h="1" x="22937"/>
        <item h="1" x="22938"/>
        <item h="1" x="22939"/>
        <item h="1" x="22940"/>
        <item h="1" x="22941"/>
        <item h="1" x="22942"/>
        <item h="1" x="22943"/>
        <item h="1" x="22944"/>
        <item h="1" x="22945"/>
        <item h="1" x="22946"/>
        <item h="1" x="22947"/>
        <item h="1" x="22948"/>
        <item h="1" x="22949"/>
        <item h="1" x="22950"/>
        <item h="1" x="22951"/>
        <item h="1" x="22952"/>
        <item h="1" x="22953"/>
        <item h="1" x="22954"/>
        <item h="1" x="22955"/>
        <item h="1" x="22956"/>
        <item h="1" x="22957"/>
        <item h="1" x="22958"/>
        <item h="1" x="22959"/>
        <item h="1" x="22960"/>
        <item h="1" x="22961"/>
        <item h="1" x="22962"/>
        <item h="1" x="22963"/>
        <item h="1" x="22964"/>
        <item h="1" x="22965"/>
        <item h="1" x="22966"/>
        <item h="1" x="22967"/>
        <item h="1" x="22968"/>
        <item h="1" x="22969"/>
        <item h="1" x="22970"/>
        <item h="1" x="22971"/>
        <item h="1" x="22972"/>
        <item h="1" x="22973"/>
        <item h="1" x="22974"/>
        <item h="1" x="22975"/>
        <item h="1" x="22976"/>
        <item h="1" x="22977"/>
        <item h="1" x="22978"/>
        <item h="1" x="22979"/>
        <item h="1" x="22980"/>
        <item h="1" x="22981"/>
        <item h="1" x="22982"/>
        <item h="1" x="22983"/>
        <item h="1" x="22984"/>
        <item h="1" x="22985"/>
        <item h="1" x="22986"/>
        <item h="1" x="22987"/>
        <item h="1" x="22988"/>
        <item h="1" x="22989"/>
        <item h="1" x="22990"/>
        <item h="1" x="22991"/>
        <item h="1" x="22992"/>
        <item h="1" x="22993"/>
        <item h="1" x="22994"/>
        <item h="1" x="22995"/>
        <item h="1" x="22996"/>
        <item h="1" x="22997"/>
        <item h="1" x="22998"/>
        <item h="1" x="22999"/>
        <item h="1" x="23000"/>
        <item h="1" x="23001"/>
        <item h="1" x="23002"/>
        <item h="1" x="23003"/>
        <item h="1" x="23004"/>
        <item h="1" x="23005"/>
        <item h="1" x="23006"/>
        <item h="1" x="23007"/>
        <item h="1" x="23008"/>
        <item h="1" x="23009"/>
        <item h="1" x="23010"/>
        <item h="1" x="23011"/>
        <item h="1" x="23012"/>
        <item h="1" x="23013"/>
        <item h="1" x="23014"/>
        <item h="1" x="23015"/>
        <item h="1" x="23016"/>
        <item h="1" x="23017"/>
        <item h="1" x="23018"/>
        <item h="1" x="23019"/>
        <item h="1" x="23020"/>
        <item h="1" x="23021"/>
        <item h="1" x="23022"/>
        <item h="1" x="23023"/>
        <item h="1" x="23024"/>
        <item h="1" x="23025"/>
        <item h="1" x="23026"/>
        <item h="1" x="23027"/>
        <item h="1" x="23028"/>
        <item h="1" x="23029"/>
        <item h="1" x="23030"/>
        <item h="1" x="23031"/>
        <item h="1" x="23032"/>
        <item h="1" x="23033"/>
        <item h="1" x="23034"/>
        <item h="1" x="23035"/>
        <item h="1" x="23036"/>
        <item h="1" x="23037"/>
        <item h="1" x="23038"/>
        <item h="1" x="23039"/>
        <item h="1" x="23040"/>
        <item h="1" x="23041"/>
        <item h="1" x="23042"/>
        <item h="1" x="23043"/>
        <item h="1" x="23044"/>
        <item h="1" x="23045"/>
        <item h="1" x="23046"/>
        <item h="1" x="23047"/>
        <item h="1" x="23048"/>
        <item h="1" x="23049"/>
        <item h="1" x="23050"/>
        <item h="1" x="23051"/>
        <item h="1" x="23052"/>
        <item h="1" x="23053"/>
        <item h="1" x="23054"/>
        <item h="1" x="23055"/>
        <item h="1" x="23056"/>
        <item h="1" x="23057"/>
        <item h="1" x="23058"/>
        <item h="1" x="23059"/>
        <item h="1" x="23060"/>
        <item h="1" x="23061"/>
        <item h="1" x="23062"/>
        <item h="1" x="23063"/>
        <item h="1" x="23064"/>
        <item h="1" x="23065"/>
        <item h="1" x="23066"/>
        <item h="1" x="23067"/>
        <item h="1" x="23068"/>
        <item h="1" x="23069"/>
        <item h="1" x="23070"/>
        <item h="1" x="23071"/>
        <item h="1" x="23072"/>
        <item h="1" x="23073"/>
        <item h="1" x="23074"/>
        <item h="1" x="23075"/>
        <item h="1" x="23076"/>
        <item h="1" x="23077"/>
        <item h="1" x="23078"/>
        <item h="1" x="23079"/>
        <item h="1" x="23080"/>
        <item h="1" x="23081"/>
        <item h="1" x="23082"/>
        <item h="1" x="23083"/>
        <item h="1" x="23084"/>
        <item h="1" x="23085"/>
        <item h="1" x="23086"/>
        <item h="1" x="23087"/>
        <item h="1" x="23088"/>
        <item h="1" x="23089"/>
        <item h="1" x="23090"/>
        <item h="1" x="23091"/>
        <item h="1" x="23092"/>
        <item h="1" x="23093"/>
        <item h="1" x="23094"/>
        <item h="1" x="23095"/>
        <item h="1" x="23096"/>
        <item h="1" x="23097"/>
        <item h="1" x="23098"/>
        <item h="1" x="23099"/>
        <item h="1" x="23100"/>
        <item h="1" x="23101"/>
        <item h="1" x="23102"/>
        <item h="1" x="23103"/>
        <item h="1" x="23104"/>
        <item h="1" x="23105"/>
        <item h="1" x="23106"/>
        <item h="1" x="23107"/>
        <item h="1" x="23108"/>
        <item h="1" x="23109"/>
        <item h="1" x="23110"/>
        <item h="1" x="23111"/>
        <item h="1" x="23112"/>
        <item h="1" x="23113"/>
        <item h="1" x="23114"/>
        <item h="1" x="23115"/>
        <item h="1" x="23116"/>
        <item h="1" x="23117"/>
        <item h="1" x="23118"/>
        <item h="1" x="23119"/>
        <item h="1" x="23120"/>
        <item h="1" x="23121"/>
        <item h="1" x="23122"/>
        <item h="1" x="23123"/>
        <item h="1" x="23124"/>
        <item h="1" x="23125"/>
        <item h="1" x="23126"/>
        <item h="1" x="23127"/>
        <item h="1" x="23128"/>
        <item h="1" x="23129"/>
        <item h="1" x="23130"/>
        <item h="1" x="23131"/>
        <item h="1" x="23132"/>
        <item h="1" x="23133"/>
        <item h="1" x="23134"/>
        <item h="1" x="23135"/>
        <item h="1" x="23136"/>
        <item h="1" x="23137"/>
        <item h="1" x="23138"/>
        <item h="1" x="23139"/>
        <item h="1" x="23140"/>
        <item h="1" x="23141"/>
        <item h="1" x="23142"/>
        <item h="1" x="23143"/>
        <item h="1" x="23144"/>
        <item h="1" x="23145"/>
        <item h="1" x="23146"/>
        <item h="1" x="23147"/>
        <item h="1" x="23148"/>
        <item h="1" x="23149"/>
        <item h="1" x="23150"/>
        <item h="1" x="23151"/>
        <item h="1" x="23152"/>
        <item h="1" x="23153"/>
        <item h="1" x="23154"/>
        <item h="1" x="23155"/>
        <item h="1" x="23156"/>
        <item h="1" x="23157"/>
        <item h="1" x="23158"/>
        <item h="1" x="23159"/>
        <item h="1" x="23160"/>
        <item h="1" x="23161"/>
        <item h="1" x="23162"/>
        <item h="1" x="23163"/>
        <item h="1" x="23164"/>
        <item h="1" x="23165"/>
        <item h="1" x="23166"/>
        <item h="1" x="23167"/>
        <item h="1" x="23168"/>
        <item h="1" x="23169"/>
        <item h="1" x="23170"/>
        <item h="1" x="23171"/>
        <item h="1" x="23172"/>
        <item h="1" x="23173"/>
        <item h="1" x="23174"/>
        <item h="1" x="23175"/>
        <item h="1" x="23176"/>
        <item h="1" x="23177"/>
        <item h="1" x="23178"/>
        <item h="1" x="23179"/>
        <item h="1" x="23180"/>
        <item h="1" x="23181"/>
        <item h="1" x="23182"/>
        <item h="1" x="23183"/>
        <item h="1" x="23184"/>
        <item h="1" x="23185"/>
        <item h="1" x="23186"/>
        <item h="1" x="23187"/>
        <item h="1" x="23188"/>
        <item h="1" x="23189"/>
        <item h="1" x="23190"/>
        <item h="1" x="23191"/>
        <item h="1" x="23192"/>
        <item h="1" x="23193"/>
        <item h="1" x="23194"/>
        <item h="1" x="23195"/>
        <item h="1" x="23196"/>
        <item h="1" x="23197"/>
        <item h="1" x="23198"/>
        <item h="1" x="23199"/>
        <item h="1" x="23200"/>
        <item h="1" x="23201"/>
        <item h="1" x="23202"/>
        <item h="1" x="23203"/>
        <item h="1" x="23204"/>
        <item h="1" x="23205"/>
        <item h="1" x="23206"/>
        <item h="1" x="23207"/>
        <item h="1" x="23208"/>
        <item h="1" x="23209"/>
        <item h="1" x="23210"/>
        <item h="1" x="23211"/>
        <item h="1" x="23212"/>
        <item h="1" x="23213"/>
        <item h="1" x="23214"/>
        <item h="1" x="23215"/>
        <item h="1" x="23216"/>
        <item h="1" x="23217"/>
        <item h="1" x="23218"/>
        <item h="1" x="23219"/>
        <item h="1" x="23220"/>
        <item h="1" x="23221"/>
        <item h="1" x="23222"/>
        <item h="1" x="23223"/>
        <item h="1" x="23224"/>
        <item h="1" x="23225"/>
        <item h="1" x="23226"/>
        <item h="1" x="23227"/>
        <item h="1" x="23228"/>
        <item h="1" x="23229"/>
        <item h="1" x="23230"/>
        <item h="1" x="23231"/>
        <item h="1" x="23232"/>
        <item h="1" x="23233"/>
        <item h="1" x="23234"/>
        <item h="1" x="23235"/>
        <item h="1" x="23236"/>
        <item h="1" x="23237"/>
        <item h="1" x="23238"/>
        <item h="1" x="23239"/>
        <item h="1" x="23240"/>
        <item h="1" x="23241"/>
        <item h="1" x="23242"/>
        <item h="1" x="23243"/>
        <item h="1" x="23244"/>
        <item h="1" x="23245"/>
        <item h="1" x="23246"/>
        <item h="1" x="23247"/>
        <item h="1" x="23248"/>
        <item h="1" x="23249"/>
        <item h="1" x="23250"/>
        <item h="1" x="23251"/>
        <item h="1" x="23252"/>
        <item h="1" x="23253"/>
        <item h="1" x="23254"/>
        <item h="1" x="23255"/>
        <item h="1" x="23256"/>
        <item h="1" x="23257"/>
        <item h="1" x="23258"/>
        <item h="1" x="23259"/>
        <item h="1" x="23260"/>
        <item h="1" x="23261"/>
        <item h="1" x="23262"/>
        <item h="1" x="23263"/>
        <item h="1" x="23264"/>
        <item h="1" x="23265"/>
        <item h="1" x="23266"/>
        <item h="1" x="23267"/>
        <item h="1" x="23268"/>
        <item h="1" x="23269"/>
        <item h="1" x="23270"/>
        <item h="1" x="23271"/>
        <item h="1" x="23272"/>
        <item h="1" x="23273"/>
        <item h="1" x="23274"/>
        <item h="1" x="23275"/>
        <item h="1" x="23276"/>
        <item h="1" x="23277"/>
        <item h="1" x="23278"/>
        <item h="1" x="23279"/>
        <item h="1" x="23280"/>
        <item h="1" x="23281"/>
        <item h="1" x="23282"/>
        <item h="1" x="23283"/>
        <item h="1" x="23284"/>
        <item h="1" x="23285"/>
        <item h="1" x="23286"/>
        <item h="1" x="23287"/>
        <item h="1" x="23288"/>
        <item h="1" x="23289"/>
        <item h="1" x="23290"/>
        <item h="1" x="23291"/>
        <item h="1" x="23292"/>
        <item h="1" x="23293"/>
        <item h="1" x="23294"/>
        <item h="1" x="23295"/>
        <item h="1" x="23296"/>
        <item h="1" x="23297"/>
        <item h="1" x="23298"/>
        <item h="1" x="23299"/>
        <item h="1" x="23300"/>
        <item h="1" x="23301"/>
        <item h="1" x="23302"/>
        <item h="1" x="23303"/>
        <item h="1" x="23304"/>
        <item h="1" x="23305"/>
        <item h="1" x="23306"/>
        <item h="1" x="23307"/>
        <item h="1" x="23308"/>
        <item h="1" x="23309"/>
        <item h="1" x="23310"/>
        <item h="1" x="23311"/>
        <item h="1" x="23312"/>
        <item h="1" x="23313"/>
        <item h="1" x="23314"/>
        <item h="1" x="23315"/>
        <item h="1" x="23316"/>
        <item h="1" x="23317"/>
        <item h="1" x="23318"/>
        <item h="1" x="23319"/>
        <item h="1" x="23320"/>
        <item h="1" x="23321"/>
        <item h="1" x="23322"/>
        <item h="1" x="23323"/>
        <item h="1" x="23324"/>
        <item h="1" x="23325"/>
        <item h="1" x="23326"/>
        <item h="1" x="23327"/>
        <item h="1" x="23328"/>
        <item h="1" x="23329"/>
        <item h="1" x="23330"/>
        <item h="1" x="23331"/>
        <item h="1" x="23332"/>
        <item h="1" x="23333"/>
        <item h="1" x="23334"/>
        <item h="1" x="23335"/>
        <item h="1" x="23336"/>
        <item h="1" x="23337"/>
        <item h="1" x="23338"/>
        <item h="1" x="23339"/>
        <item h="1" x="23340"/>
        <item h="1" x="23341"/>
        <item h="1" x="23342"/>
        <item h="1" x="23343"/>
        <item h="1" x="23344"/>
        <item h="1" x="23345"/>
        <item h="1" x="23346"/>
        <item h="1" x="23347"/>
        <item h="1" x="23348"/>
        <item h="1" x="23349"/>
        <item h="1" x="23350"/>
        <item h="1" x="23351"/>
        <item h="1" x="23352"/>
        <item h="1" x="23353"/>
        <item h="1" x="23354"/>
        <item h="1" x="23355"/>
        <item h="1" x="23356"/>
        <item h="1" x="23357"/>
        <item h="1" x="23358"/>
        <item h="1" x="23359"/>
        <item h="1" x="23360"/>
        <item h="1" x="23361"/>
        <item h="1" x="23362"/>
        <item h="1" x="23363"/>
        <item h="1" x="23364"/>
        <item h="1" x="23365"/>
        <item h="1" x="23366"/>
        <item h="1" x="23367"/>
        <item h="1" x="23368"/>
        <item h="1" x="23369"/>
        <item h="1" x="23370"/>
        <item h="1" x="23371"/>
        <item h="1" x="23372"/>
        <item h="1" x="23373"/>
        <item h="1" x="23374"/>
        <item h="1" x="23375"/>
        <item h="1" x="23376"/>
        <item h="1" x="23377"/>
        <item h="1" x="23378"/>
        <item h="1" x="23379"/>
        <item h="1" x="23380"/>
        <item h="1" x="23381"/>
        <item h="1" x="23382"/>
        <item h="1" x="23383"/>
        <item h="1" x="23384"/>
        <item h="1" x="23385"/>
        <item h="1" x="23386"/>
        <item h="1" x="23387"/>
        <item h="1" x="23388"/>
        <item h="1" x="23389"/>
        <item h="1" x="23390"/>
        <item h="1" x="23391"/>
        <item h="1" x="23392"/>
        <item h="1" x="23393"/>
        <item h="1" x="23394"/>
        <item h="1" x="23395"/>
        <item h="1" x="23396"/>
        <item h="1" x="23397"/>
        <item h="1" x="23398"/>
        <item h="1" x="23399"/>
        <item h="1" x="23400"/>
        <item h="1" x="23401"/>
        <item h="1" x="23402"/>
        <item h="1" x="23403"/>
        <item h="1" x="23404"/>
        <item h="1" x="23405"/>
        <item h="1" x="23406"/>
        <item h="1" x="23407"/>
        <item h="1" x="23408"/>
        <item h="1" x="23409"/>
        <item h="1" x="23410"/>
        <item h="1" x="23411"/>
        <item h="1" x="23412"/>
        <item h="1" x="23413"/>
        <item h="1" x="23414"/>
        <item h="1" x="23415"/>
        <item h="1" x="23416"/>
        <item h="1" x="23417"/>
        <item h="1" x="23418"/>
        <item h="1" x="23419"/>
        <item h="1" x="23420"/>
        <item h="1" x="23421"/>
        <item h="1" x="23422"/>
        <item h="1" x="23423"/>
        <item h="1" x="23424"/>
        <item h="1" x="23425"/>
        <item h="1" x="23426"/>
        <item h="1" x="23427"/>
        <item h="1" x="23428"/>
        <item h="1" x="23429"/>
        <item h="1" x="23430"/>
        <item h="1" x="23431"/>
        <item h="1" x="23432"/>
        <item h="1" x="23433"/>
        <item h="1" x="23434"/>
        <item h="1" x="23435"/>
        <item h="1" x="23436"/>
        <item h="1" x="23437"/>
        <item h="1" x="23438"/>
        <item h="1" x="23439"/>
        <item h="1" x="23440"/>
        <item h="1" x="23441"/>
        <item h="1" x="23442"/>
        <item h="1" x="23443"/>
        <item h="1" x="23444"/>
        <item h="1" x="23445"/>
        <item h="1" x="23446"/>
        <item h="1" x="23447"/>
        <item h="1" x="23448"/>
        <item h="1" x="23449"/>
        <item h="1" x="23450"/>
        <item h="1" x="23451"/>
        <item h="1" x="23452"/>
        <item h="1" x="23453"/>
        <item h="1" x="23454"/>
        <item h="1" x="23455"/>
        <item h="1" x="23456"/>
        <item h="1" x="23457"/>
        <item h="1" x="23458"/>
        <item h="1" x="23459"/>
        <item h="1" x="23460"/>
        <item h="1" x="23461"/>
        <item h="1" x="23462"/>
        <item h="1" x="23463"/>
        <item h="1" x="23464"/>
        <item h="1" x="23465"/>
        <item h="1" x="23466"/>
        <item h="1" x="23467"/>
        <item h="1" x="23468"/>
        <item h="1" x="23469"/>
        <item h="1" x="23470"/>
        <item h="1" x="23471"/>
        <item h="1" x="23472"/>
        <item h="1" x="23473"/>
        <item h="1" x="23474"/>
        <item h="1" x="23475"/>
        <item h="1" x="23476"/>
        <item h="1" x="23477"/>
        <item h="1" x="23478"/>
        <item h="1" x="23479"/>
        <item h="1" x="23480"/>
        <item h="1" x="23481"/>
        <item h="1" x="23482"/>
        <item h="1" x="23483"/>
        <item h="1" x="23484"/>
        <item h="1" x="23485"/>
        <item h="1" x="23486"/>
        <item h="1" x="23487"/>
        <item h="1" x="23488"/>
        <item h="1" x="23489"/>
        <item h="1" x="23490"/>
        <item h="1" x="23491"/>
        <item h="1" x="23492"/>
        <item h="1" x="23493"/>
        <item h="1" x="23494"/>
        <item h="1" x="23495"/>
        <item h="1" x="23496"/>
        <item h="1" x="23497"/>
        <item h="1" x="23498"/>
        <item h="1" x="23499"/>
        <item h="1" x="23500"/>
        <item h="1" x="23501"/>
        <item h="1" x="23502"/>
        <item h="1" x="23503"/>
        <item h="1" x="23504"/>
        <item h="1" x="23505"/>
        <item h="1" x="23506"/>
        <item h="1" x="23507"/>
        <item h="1" x="23508"/>
        <item h="1" x="23509"/>
        <item h="1" x="23510"/>
        <item h="1" x="23511"/>
        <item h="1" x="23512"/>
        <item h="1" x="23513"/>
        <item h="1" x="23514"/>
        <item h="1" x="23515"/>
        <item h="1" x="23516"/>
        <item h="1" x="23517"/>
        <item h="1" x="23518"/>
        <item h="1" x="23519"/>
        <item h="1" x="23520"/>
        <item h="1" x="23521"/>
        <item h="1" x="23522"/>
        <item h="1" x="23523"/>
        <item h="1" x="23524"/>
        <item h="1" x="23525"/>
        <item h="1" x="23526"/>
        <item h="1" x="23527"/>
        <item h="1" x="23528"/>
        <item h="1" x="23529"/>
        <item h="1" x="23530"/>
        <item h="1" x="23531"/>
        <item h="1" x="23532"/>
        <item h="1" x="23533"/>
        <item h="1" x="23534"/>
        <item h="1" x="23535"/>
        <item h="1" x="23536"/>
        <item h="1" x="23537"/>
        <item h="1" x="23538"/>
        <item h="1" x="23539"/>
        <item h="1" x="23540"/>
        <item h="1" x="23541"/>
        <item h="1" x="23542"/>
        <item h="1" x="23543"/>
        <item h="1" x="23544"/>
        <item h="1" x="23545"/>
        <item h="1" x="23546"/>
        <item h="1" x="23547"/>
        <item h="1" x="23548"/>
        <item h="1" x="23549"/>
        <item h="1" x="23550"/>
        <item h="1" x="23551"/>
        <item h="1" x="23552"/>
        <item h="1" x="23553"/>
        <item h="1" x="23554"/>
        <item h="1" x="23555"/>
        <item h="1" x="23556"/>
        <item h="1" x="23557"/>
        <item h="1" x="23558"/>
        <item h="1" x="23559"/>
        <item h="1" x="23560"/>
        <item h="1" x="23561"/>
        <item h="1" x="23562"/>
        <item h="1" x="23563"/>
        <item h="1" x="23564"/>
        <item h="1" x="23565"/>
        <item h="1" x="23566"/>
        <item h="1" x="23567"/>
        <item h="1" x="23568"/>
        <item h="1" x="23569"/>
        <item h="1" x="23570"/>
        <item h="1" x="23571"/>
        <item h="1" x="23572"/>
        <item h="1" x="23573"/>
        <item h="1" x="23574"/>
        <item h="1" x="23575"/>
        <item h="1" x="23576"/>
        <item h="1" x="23577"/>
        <item h="1" x="23578"/>
        <item h="1" x="23579"/>
        <item h="1" x="23580"/>
        <item h="1" x="23581"/>
        <item h="1" x="23582"/>
        <item h="1" x="23583"/>
        <item h="1" x="23584"/>
        <item h="1" x="23585"/>
        <item h="1" x="23586"/>
        <item h="1" x="23587"/>
        <item h="1" x="23588"/>
        <item h="1" x="23589"/>
        <item h="1" x="23590"/>
        <item h="1" x="23591"/>
        <item h="1" x="23592"/>
        <item h="1" x="23593"/>
        <item h="1" x="23594"/>
        <item h="1" x="23595"/>
        <item h="1" x="23596"/>
        <item h="1" x="23597"/>
        <item h="1" x="23598"/>
        <item h="1" x="23599"/>
        <item h="1" x="23600"/>
        <item h="1" x="23601"/>
        <item h="1" x="23602"/>
        <item h="1" x="23603"/>
        <item h="1" x="23604"/>
        <item h="1" x="23605"/>
        <item h="1" x="23606"/>
        <item h="1" x="23607"/>
        <item h="1" x="23608"/>
        <item h="1" x="23609"/>
        <item h="1" x="23610"/>
        <item h="1" x="23611"/>
        <item h="1" x="23612"/>
        <item h="1" x="23613"/>
        <item h="1" x="23614"/>
        <item h="1" x="23615"/>
        <item h="1" x="23616"/>
        <item h="1" x="23617"/>
        <item h="1" x="23618"/>
        <item h="1" x="23619"/>
        <item h="1" x="23620"/>
        <item h="1" x="23621"/>
        <item h="1" x="23622"/>
        <item h="1" x="23623"/>
        <item h="1" x="23624"/>
        <item h="1" x="23625"/>
        <item h="1" x="23626"/>
        <item h="1" x="23627"/>
        <item h="1" x="23628"/>
        <item h="1" x="23629"/>
        <item h="1" x="23630"/>
        <item h="1" x="23631"/>
        <item h="1" x="23632"/>
        <item h="1" x="23633"/>
        <item h="1" x="23634"/>
        <item h="1" x="23635"/>
        <item h="1" x="23636"/>
        <item h="1" x="23637"/>
        <item h="1" x="23638"/>
        <item h="1" x="23639"/>
        <item h="1" x="23640"/>
        <item h="1" x="23641"/>
        <item h="1" x="23642"/>
        <item h="1" x="23643"/>
        <item h="1" x="23644"/>
        <item h="1" x="23645"/>
        <item h="1" x="23646"/>
        <item h="1" x="23647"/>
        <item h="1" x="23648"/>
        <item h="1" x="23649"/>
        <item h="1" x="23650"/>
        <item h="1" x="23651"/>
        <item h="1" x="23652"/>
        <item h="1" x="23653"/>
        <item h="1" x="23654"/>
        <item h="1" x="23655"/>
        <item h="1" x="23656"/>
        <item h="1" x="23657"/>
        <item h="1" x="23658"/>
        <item h="1" x="23659"/>
        <item h="1" x="23660"/>
        <item h="1" x="23661"/>
        <item h="1" x="23662"/>
        <item h="1" x="23663"/>
        <item h="1" x="23664"/>
        <item h="1" x="23665"/>
        <item h="1" x="23666"/>
        <item h="1" x="23667"/>
        <item h="1" x="23668"/>
        <item h="1" x="23669"/>
        <item h="1" x="23670"/>
        <item h="1" x="23671"/>
        <item h="1" x="23672"/>
        <item h="1" x="23673"/>
        <item h="1" x="23674"/>
        <item h="1" x="23675"/>
        <item h="1" x="23676"/>
        <item h="1" x="23677"/>
        <item h="1" x="23678"/>
        <item h="1" x="23679"/>
        <item h="1" x="23680"/>
        <item h="1" x="23681"/>
        <item h="1" x="23682"/>
        <item h="1" x="23683"/>
        <item h="1" x="23684"/>
        <item h="1" x="23685"/>
        <item h="1" x="23686"/>
        <item h="1" x="23687"/>
        <item h="1" x="23688"/>
        <item h="1" x="23689"/>
        <item h="1" x="23690"/>
        <item h="1" x="23691"/>
        <item h="1" x="23692"/>
        <item h="1" x="23693"/>
        <item h="1" x="23694"/>
        <item h="1" x="23695"/>
        <item h="1" x="23696"/>
        <item h="1" x="23697"/>
        <item h="1" x="23698"/>
        <item h="1" x="23699"/>
        <item h="1" x="23700"/>
        <item h="1" x="23701"/>
        <item h="1" x="23702"/>
        <item h="1" x="23703"/>
        <item h="1" x="23704"/>
        <item h="1" x="23705"/>
        <item h="1" x="23706"/>
        <item h="1" x="23707"/>
        <item h="1" x="23708"/>
        <item h="1" x="23709"/>
        <item h="1" x="23710"/>
        <item h="1" x="23711"/>
        <item h="1" x="23712"/>
        <item h="1" x="23713"/>
        <item h="1" x="23714"/>
        <item h="1" x="23715"/>
        <item h="1" x="23716"/>
        <item h="1" x="23717"/>
        <item h="1" x="23718"/>
        <item h="1" x="23719"/>
        <item h="1" x="23720"/>
        <item h="1" x="23721"/>
        <item h="1" x="23722"/>
        <item h="1" x="23723"/>
        <item h="1" x="23724"/>
        <item h="1" x="23725"/>
        <item h="1" x="23726"/>
        <item h="1" x="23727"/>
        <item h="1" x="23728"/>
        <item h="1" x="23729"/>
        <item h="1" x="23730"/>
        <item h="1" x="23731"/>
        <item h="1" x="23732"/>
        <item h="1" x="23733"/>
        <item h="1" x="23734"/>
        <item h="1" x="23735"/>
        <item h="1" x="23736"/>
        <item h="1" x="23737"/>
        <item h="1" x="23738"/>
        <item h="1" x="23739"/>
        <item h="1" x="23740"/>
        <item h="1" x="23741"/>
        <item h="1" x="23742"/>
        <item h="1" x="23743"/>
        <item h="1" x="23744"/>
        <item h="1" x="23745"/>
        <item h="1" x="23746"/>
        <item h="1" x="23747"/>
        <item h="1" x="23748"/>
        <item h="1" x="23749"/>
        <item h="1" x="23750"/>
        <item h="1" x="23751"/>
        <item h="1" x="23752"/>
        <item h="1" x="23753"/>
        <item h="1" x="23754"/>
        <item h="1" x="23755"/>
        <item h="1" x="23756"/>
        <item h="1" x="23757"/>
        <item h="1" x="23758"/>
        <item h="1" x="23759"/>
        <item h="1" x="23760"/>
        <item h="1" x="23761"/>
        <item h="1" x="23762"/>
        <item h="1" x="23763"/>
        <item h="1" x="23764"/>
        <item h="1" x="23765"/>
        <item h="1" x="23766"/>
        <item h="1" x="23767"/>
        <item h="1" x="23768"/>
        <item h="1" x="23769"/>
        <item h="1" x="23770"/>
        <item h="1" x="23771"/>
        <item h="1" x="23772"/>
        <item h="1" x="23773"/>
        <item h="1" x="23774"/>
        <item h="1" x="23775"/>
        <item h="1" x="23776"/>
        <item h="1" x="23777"/>
        <item h="1" x="23778"/>
        <item h="1" x="23779"/>
        <item h="1" x="23780"/>
        <item h="1" x="23781"/>
        <item h="1" x="23782"/>
        <item h="1" x="23783"/>
        <item h="1" x="23784"/>
        <item h="1" x="23785"/>
        <item h="1" x="23786"/>
        <item h="1" x="23787"/>
        <item h="1" x="23788"/>
        <item h="1" x="23789"/>
        <item h="1" x="23790"/>
        <item h="1" x="23791"/>
        <item h="1" x="23792"/>
        <item h="1" x="23793"/>
        <item h="1" x="23794"/>
        <item h="1" x="23795"/>
        <item h="1" x="23796"/>
        <item h="1" x="23797"/>
        <item h="1" x="23798"/>
        <item h="1" x="23799"/>
        <item h="1" x="23800"/>
        <item h="1" x="23801"/>
        <item h="1" x="23802"/>
        <item h="1" x="23803"/>
        <item h="1" x="23804"/>
        <item h="1" x="23805"/>
        <item h="1" x="23806"/>
        <item h="1" x="23807"/>
        <item h="1" x="23808"/>
        <item h="1" x="23809"/>
        <item h="1" x="23810"/>
        <item h="1" x="23811"/>
        <item h="1" x="23812"/>
        <item h="1" x="23813"/>
        <item h="1" x="23814"/>
        <item h="1" x="23815"/>
        <item h="1" x="23816"/>
        <item h="1" x="23817"/>
        <item h="1" x="23818"/>
        <item h="1" x="23819"/>
        <item h="1" x="23820"/>
        <item h="1" x="23821"/>
        <item h="1" x="23822"/>
        <item h="1" x="23823"/>
        <item h="1" x="23824"/>
        <item h="1" x="23825"/>
        <item h="1" x="23826"/>
        <item h="1" x="23827"/>
        <item h="1" x="23828"/>
        <item h="1" x="23829"/>
        <item h="1" x="23830"/>
        <item h="1" x="23831"/>
        <item h="1" x="23832"/>
        <item h="1" x="23833"/>
        <item h="1" x="23834"/>
        <item h="1" x="23835"/>
        <item h="1" x="23836"/>
        <item h="1" x="23837"/>
        <item h="1" x="23838"/>
        <item h="1" x="23839"/>
        <item h="1" x="23840"/>
        <item h="1" x="23841"/>
        <item h="1" x="23842"/>
        <item h="1" x="23843"/>
        <item h="1" x="23844"/>
        <item h="1" x="23845"/>
        <item h="1" x="23846"/>
        <item h="1" x="23847"/>
        <item h="1" x="23848"/>
        <item h="1" x="23849"/>
        <item h="1" x="23850"/>
        <item h="1" x="23851"/>
        <item h="1" x="23852"/>
        <item h="1" x="23853"/>
        <item h="1" x="23854"/>
        <item h="1" x="23855"/>
        <item h="1" x="23856"/>
        <item h="1" x="23857"/>
        <item h="1" x="23858"/>
        <item h="1" x="23859"/>
        <item h="1" x="23860"/>
        <item h="1" x="23861"/>
        <item h="1" x="23862"/>
        <item h="1" x="23863"/>
        <item h="1" x="23864"/>
        <item h="1" x="23865"/>
        <item h="1" x="23866"/>
        <item h="1" x="23867"/>
        <item h="1" x="23868"/>
        <item h="1" x="23869"/>
        <item h="1" x="23870"/>
        <item h="1" x="23871"/>
        <item h="1" x="23872"/>
        <item h="1" x="23873"/>
        <item h="1" x="23874"/>
        <item h="1" x="23875"/>
        <item h="1" x="23876"/>
        <item h="1" x="23877"/>
        <item h="1" x="23878"/>
        <item h="1" x="23879"/>
        <item h="1" x="23880"/>
        <item h="1" x="23881"/>
        <item h="1" x="23882"/>
        <item h="1" x="23883"/>
        <item h="1" x="23884"/>
        <item h="1" x="23885"/>
        <item h="1" x="23886"/>
        <item h="1" x="23887"/>
        <item h="1" x="23888"/>
        <item h="1" x="23889"/>
        <item h="1" x="23890"/>
        <item h="1" x="23891"/>
        <item h="1" x="23892"/>
        <item h="1" x="23893"/>
        <item h="1" x="23894"/>
        <item h="1" x="23895"/>
        <item h="1" x="23896"/>
        <item h="1" x="23897"/>
        <item h="1" x="23898"/>
        <item h="1" x="23899"/>
        <item h="1" x="23900"/>
        <item h="1" x="23901"/>
        <item h="1" x="23902"/>
        <item h="1" x="23903"/>
        <item h="1" x="23904"/>
        <item h="1" x="23905"/>
        <item h="1" x="23906"/>
        <item h="1" x="23907"/>
        <item h="1" x="23908"/>
        <item h="1" x="23909"/>
        <item h="1" x="23910"/>
        <item h="1" x="23911"/>
        <item h="1" x="23912"/>
        <item h="1" x="23913"/>
        <item h="1" x="23914"/>
        <item h="1" x="23915"/>
        <item h="1" x="23916"/>
        <item h="1" x="23917"/>
        <item h="1" x="23918"/>
        <item h="1" x="23919"/>
        <item h="1" x="23920"/>
        <item h="1" x="23921"/>
        <item h="1" x="23922"/>
        <item h="1" x="23923"/>
        <item h="1" x="23924"/>
        <item h="1" x="23925"/>
        <item h="1" x="23926"/>
        <item h="1" x="23927"/>
        <item h="1" x="23928"/>
        <item h="1" x="23929"/>
        <item h="1" x="23930"/>
        <item h="1" x="23931"/>
        <item h="1" x="23932"/>
        <item h="1" x="23933"/>
        <item h="1" x="23934"/>
        <item h="1" x="23935"/>
        <item h="1" x="23936"/>
        <item h="1" x="23937"/>
        <item h="1" x="23938"/>
        <item h="1" x="23939"/>
        <item h="1" x="23940"/>
        <item h="1" x="23941"/>
        <item h="1" x="23942"/>
        <item h="1" x="23943"/>
        <item h="1" x="23944"/>
        <item h="1" x="23945"/>
        <item h="1" x="23946"/>
        <item h="1" x="23947"/>
        <item h="1" x="23948"/>
        <item h="1" x="23949"/>
        <item h="1" x="23950"/>
        <item h="1" x="23951"/>
        <item h="1" x="23952"/>
        <item h="1" x="23953"/>
        <item h="1" x="23954"/>
        <item h="1" x="23955"/>
        <item h="1" x="23956"/>
        <item h="1" x="23957"/>
        <item h="1" x="23958"/>
        <item h="1" x="23959"/>
        <item h="1" x="23960"/>
        <item h="1" x="23961"/>
        <item h="1" x="23962"/>
        <item h="1" x="23963"/>
        <item h="1" x="23964"/>
        <item h="1" x="23965"/>
        <item h="1" x="23966"/>
        <item h="1" x="23967"/>
        <item h="1" x="23968"/>
        <item h="1" x="23969"/>
        <item h="1" x="23970"/>
        <item h="1" x="23971"/>
        <item h="1" x="23972"/>
        <item h="1" x="23973"/>
        <item h="1" x="23974"/>
        <item h="1" x="23975"/>
        <item h="1" x="23976"/>
        <item h="1" x="23977"/>
        <item h="1" x="23978"/>
        <item h="1" x="23979"/>
        <item h="1" x="23980"/>
        <item h="1" x="23981"/>
        <item h="1" x="23982"/>
        <item h="1" x="23983"/>
        <item h="1" x="23984"/>
        <item h="1" x="23985"/>
        <item h="1" x="23986"/>
        <item h="1" x="23987"/>
        <item h="1" x="23988"/>
        <item h="1" x="23989"/>
        <item h="1" x="23990"/>
        <item h="1" x="23991"/>
        <item h="1" x="23992"/>
        <item h="1" x="23993"/>
        <item h="1" x="23994"/>
        <item h="1" x="23995"/>
        <item h="1" x="23996"/>
        <item h="1" x="23997"/>
        <item h="1" x="23998"/>
        <item h="1" x="23999"/>
        <item h="1" x="24000"/>
        <item h="1" x="24001"/>
        <item h="1" x="24002"/>
        <item h="1" x="24003"/>
        <item h="1" x="24004"/>
        <item h="1" x="24005"/>
        <item h="1" x="24006"/>
        <item h="1" x="24007"/>
        <item h="1" x="24008"/>
        <item h="1" x="24009"/>
        <item h="1" x="24010"/>
        <item h="1" x="24011"/>
        <item h="1" x="24012"/>
        <item h="1" x="24013"/>
        <item h="1" x="24014"/>
        <item h="1" x="24015"/>
        <item h="1" x="24016"/>
        <item h="1" x="24017"/>
        <item h="1" x="24018"/>
        <item h="1" x="24019"/>
        <item h="1" x="24020"/>
        <item h="1" x="24021"/>
        <item h="1" x="24022"/>
        <item h="1" x="24023"/>
        <item h="1" x="24024"/>
        <item h="1" x="24025"/>
        <item h="1" x="24026"/>
        <item h="1" x="24027"/>
        <item h="1" x="24028"/>
        <item h="1" x="24029"/>
        <item h="1" x="24030"/>
        <item h="1" x="24031"/>
        <item h="1" x="24032"/>
        <item h="1" x="24033"/>
        <item h="1" x="24034"/>
        <item h="1" x="24035"/>
        <item h="1" x="24036"/>
        <item h="1" x="24037"/>
        <item h="1" x="24038"/>
        <item h="1" x="24039"/>
        <item h="1" x="24040"/>
        <item h="1" x="24041"/>
        <item h="1" x="24042"/>
        <item h="1" x="24043"/>
        <item h="1" x="24044"/>
        <item h="1" x="24045"/>
        <item h="1" x="24046"/>
        <item h="1" x="24047"/>
        <item h="1" x="24048"/>
        <item h="1" x="24049"/>
        <item h="1" x="24050"/>
        <item h="1" x="24051"/>
        <item h="1" x="24052"/>
        <item h="1" x="24053"/>
        <item h="1" x="24054"/>
        <item h="1" x="24055"/>
        <item h="1" x="24056"/>
        <item h="1" x="24057"/>
        <item h="1" x="24058"/>
        <item h="1" x="24059"/>
        <item h="1" x="24060"/>
        <item h="1" x="24061"/>
        <item h="1" x="24062"/>
        <item h="1" x="24063"/>
        <item h="1" x="24064"/>
        <item h="1" x="24065"/>
        <item h="1" x="24066"/>
        <item h="1" x="24067"/>
        <item h="1" x="24068"/>
        <item h="1" x="24069"/>
        <item h="1" x="24070"/>
        <item h="1" x="24071"/>
        <item h="1" x="24072"/>
        <item h="1" x="24073"/>
        <item h="1" x="24074"/>
        <item h="1" x="24075"/>
        <item h="1" x="24076"/>
        <item h="1" x="24077"/>
        <item h="1" x="24078"/>
        <item h="1" x="24079"/>
        <item h="1" x="24080"/>
        <item h="1" x="24081"/>
        <item h="1" x="24082"/>
        <item h="1" x="24083"/>
        <item h="1" x="24084"/>
        <item h="1" x="24085"/>
        <item h="1" x="24086"/>
        <item h="1" x="24087"/>
        <item h="1" x="24088"/>
        <item h="1" x="24089"/>
        <item h="1" x="24090"/>
        <item h="1" x="24091"/>
        <item h="1" x="24092"/>
        <item h="1" x="24093"/>
        <item h="1" x="24094"/>
        <item h="1" x="24095"/>
        <item h="1" x="24096"/>
        <item h="1" x="24097"/>
        <item h="1" x="24098"/>
        <item h="1" x="24099"/>
        <item h="1" x="24100"/>
        <item h="1" x="24101"/>
        <item h="1" x="24102"/>
        <item h="1" x="24103"/>
        <item h="1" x="24104"/>
        <item h="1" x="24105"/>
        <item h="1" x="24106"/>
        <item h="1" x="24107"/>
        <item h="1" x="24108"/>
        <item h="1" x="24109"/>
        <item h="1" x="24110"/>
        <item h="1" x="24111"/>
        <item h="1" x="24112"/>
        <item h="1" x="24113"/>
        <item h="1" x="24114"/>
        <item h="1" x="24115"/>
        <item h="1" x="24116"/>
        <item h="1" x="24117"/>
        <item h="1" x="24118"/>
        <item h="1" x="24119"/>
        <item h="1" x="24120"/>
        <item h="1" x="24121"/>
        <item h="1" x="24122"/>
        <item h="1" x="24123"/>
        <item h="1" x="24124"/>
        <item h="1" x="24125"/>
        <item h="1" x="24126"/>
        <item h="1" x="24127"/>
        <item h="1" x="24128"/>
        <item h="1" x="24129"/>
        <item h="1" x="24130"/>
        <item h="1" x="24131"/>
        <item h="1" x="24132"/>
        <item h="1" x="24133"/>
        <item h="1" x="24134"/>
        <item h="1" x="24135"/>
        <item h="1" x="24136"/>
        <item h="1" x="24137"/>
        <item h="1" x="24138"/>
        <item h="1" x="24139"/>
        <item h="1" x="24140"/>
        <item h="1" x="24141"/>
        <item h="1" x="24142"/>
        <item h="1" x="24143"/>
        <item h="1" x="24144"/>
        <item h="1" x="24145"/>
        <item h="1" x="24146"/>
        <item h="1" x="24147"/>
        <item h="1" x="24148"/>
        <item h="1" x="24149"/>
        <item h="1" x="24150"/>
        <item h="1" x="24151"/>
        <item h="1" x="24152"/>
        <item h="1" x="24153"/>
        <item h="1" x="24154"/>
        <item h="1" x="24155"/>
        <item h="1" x="24156"/>
        <item h="1" x="24157"/>
        <item h="1" x="24158"/>
        <item h="1" x="24159"/>
        <item h="1" x="24160"/>
        <item h="1" x="24161"/>
        <item h="1" x="24162"/>
        <item h="1" x="24163"/>
        <item h="1" x="24164"/>
        <item h="1" x="24165"/>
        <item h="1" x="24166"/>
        <item h="1" x="24167"/>
        <item h="1" x="24168"/>
        <item h="1" x="24169"/>
        <item h="1" x="24170"/>
        <item h="1" x="24171"/>
        <item h="1" x="24172"/>
        <item h="1" x="24173"/>
        <item h="1" x="24174"/>
        <item h="1" x="24175"/>
        <item h="1" x="24176"/>
        <item h="1" x="24177"/>
        <item h="1" x="24178"/>
        <item h="1" x="24179"/>
        <item h="1" x="24180"/>
        <item h="1" x="24181"/>
        <item h="1" x="24182"/>
        <item h="1" x="24183"/>
        <item h="1" x="24184"/>
        <item h="1" x="24185"/>
        <item h="1" x="24186"/>
        <item h="1" x="24187"/>
        <item h="1" x="24188"/>
        <item h="1" x="24189"/>
        <item h="1" x="24190"/>
        <item h="1" x="24191"/>
        <item h="1" x="24192"/>
        <item h="1" x="24193"/>
        <item h="1" x="24194"/>
        <item h="1" x="24195"/>
        <item h="1" x="24196"/>
        <item h="1" x="24197"/>
        <item h="1" x="24198"/>
        <item h="1" x="24199"/>
        <item h="1" x="24200"/>
        <item h="1" x="24201"/>
        <item h="1" x="24202"/>
        <item h="1" x="24203"/>
        <item h="1" x="24204"/>
        <item h="1" x="24205"/>
        <item h="1" x="24206"/>
        <item h="1" x="24207"/>
        <item h="1" x="24208"/>
        <item h="1" x="24209"/>
        <item h="1" x="24210"/>
        <item h="1" x="24211"/>
        <item h="1" x="24212"/>
        <item h="1" x="24213"/>
        <item h="1" x="24214"/>
        <item h="1" x="24215"/>
        <item h="1" x="24216"/>
        <item h="1" x="24217"/>
        <item h="1" x="24218"/>
        <item h="1" x="24219"/>
        <item h="1" x="24220"/>
        <item h="1" x="24221"/>
        <item h="1" x="24222"/>
        <item h="1" x="24223"/>
        <item h="1" x="24224"/>
        <item h="1" x="24225"/>
        <item h="1" x="24226"/>
        <item h="1" x="24227"/>
        <item h="1" x="24228"/>
        <item h="1" x="24229"/>
        <item h="1" x="24230"/>
        <item h="1" x="24231"/>
        <item h="1" x="24232"/>
        <item h="1" x="24233"/>
        <item h="1" x="24234"/>
        <item h="1" x="24235"/>
        <item h="1" x="24236"/>
        <item h="1" x="24237"/>
        <item h="1" x="24238"/>
        <item h="1" x="24239"/>
        <item h="1" x="24240"/>
        <item h="1" x="24241"/>
        <item h="1" x="24242"/>
        <item h="1" x="24243"/>
        <item h="1" x="24244"/>
        <item h="1" x="24245"/>
        <item h="1" x="24246"/>
        <item h="1" x="24247"/>
        <item h="1" x="24248"/>
        <item h="1" x="24249"/>
        <item h="1" x="24250"/>
        <item h="1" x="24251"/>
        <item h="1" x="24252"/>
        <item h="1" x="24253"/>
        <item h="1" x="24254"/>
        <item h="1" x="24255"/>
        <item h="1" x="24256"/>
        <item h="1" x="24257"/>
        <item h="1" x="24258"/>
        <item h="1" x="24259"/>
        <item h="1" x="24260"/>
        <item h="1" x="24261"/>
        <item h="1" x="24262"/>
        <item h="1" x="24263"/>
        <item h="1" x="24264"/>
        <item h="1" x="24265"/>
        <item h="1" x="24266"/>
        <item h="1" x="24267"/>
        <item h="1" x="24268"/>
        <item h="1" x="24269"/>
        <item h="1" x="24270"/>
        <item h="1" x="24271"/>
        <item h="1" x="24272"/>
        <item h="1" x="24273"/>
        <item h="1" x="24274"/>
        <item h="1" x="24275"/>
        <item h="1" x="24276"/>
        <item h="1" x="24277"/>
        <item h="1" x="24278"/>
        <item h="1" x="24279"/>
        <item h="1" x="24280"/>
        <item h="1" x="24281"/>
        <item h="1" x="24282"/>
        <item h="1" x="24283"/>
        <item h="1" x="24284"/>
        <item h="1" x="24285"/>
        <item h="1" x="24286"/>
        <item h="1" x="24287"/>
        <item h="1" x="24288"/>
        <item h="1" x="24289"/>
        <item h="1" x="24290"/>
        <item h="1" x="24291"/>
        <item h="1" x="24292"/>
        <item h="1" x="24293"/>
        <item h="1" x="24294"/>
        <item h="1" x="24295"/>
        <item h="1" x="24296"/>
        <item h="1" x="24297"/>
        <item h="1" x="24298"/>
        <item h="1" x="24299"/>
        <item h="1" x="24300"/>
        <item h="1" x="24301"/>
        <item h="1" x="24302"/>
        <item h="1" x="24303"/>
        <item h="1" x="24304"/>
        <item h="1" x="24305"/>
        <item h="1" x="24306"/>
        <item h="1" x="24307"/>
        <item h="1" x="24308"/>
        <item h="1" x="24309"/>
        <item h="1" x="24310"/>
        <item h="1" x="24311"/>
        <item h="1" x="24312"/>
        <item h="1" x="24313"/>
        <item h="1" x="24314"/>
        <item h="1" x="24315"/>
        <item h="1" x="24316"/>
        <item h="1" x="24317"/>
        <item h="1" x="24318"/>
        <item h="1" x="24319"/>
        <item h="1" x="24320"/>
        <item h="1" x="24321"/>
        <item h="1" x="24322"/>
        <item h="1" x="24323"/>
        <item h="1" x="24324"/>
        <item h="1" x="24325"/>
        <item h="1" x="24326"/>
        <item h="1" x="24327"/>
        <item h="1" x="24328"/>
        <item h="1" x="24329"/>
        <item h="1" x="24330"/>
        <item h="1" x="24331"/>
        <item h="1" x="24332"/>
        <item h="1" x="24333"/>
        <item h="1" x="24334"/>
        <item h="1" x="24335"/>
        <item h="1" x="24336"/>
        <item h="1" x="24337"/>
        <item h="1" x="24338"/>
        <item h="1" x="24339"/>
        <item h="1" x="24340"/>
        <item h="1" x="24341"/>
        <item h="1" x="24342"/>
        <item h="1" x="24343"/>
        <item h="1" x="24344"/>
        <item h="1" x="24345"/>
        <item h="1" x="24346"/>
        <item h="1" x="24347"/>
        <item h="1" x="24348"/>
        <item h="1" x="24349"/>
        <item h="1" x="24350"/>
        <item h="1" x="24351"/>
        <item h="1" x="24352"/>
        <item h="1" x="24353"/>
        <item h="1" x="24354"/>
        <item h="1" x="24355"/>
        <item h="1" x="24356"/>
        <item h="1" x="24357"/>
        <item h="1" x="24358"/>
        <item h="1" x="24359"/>
        <item h="1" x="24360"/>
        <item h="1" x="24361"/>
        <item h="1" x="24362"/>
        <item h="1" x="24363"/>
        <item h="1" x="24364"/>
        <item h="1" x="24365"/>
        <item h="1" x="24366"/>
        <item h="1" x="24367"/>
        <item h="1" x="24368"/>
        <item h="1" x="24369"/>
        <item h="1" x="24370"/>
        <item h="1" x="24371"/>
        <item h="1" x="24372"/>
        <item h="1" x="24373"/>
        <item h="1" x="24374"/>
        <item h="1" x="24375"/>
        <item h="1" x="24376"/>
        <item h="1" x="24377"/>
        <item h="1" x="24378"/>
        <item h="1" x="24379"/>
        <item h="1" x="24380"/>
        <item h="1" x="24381"/>
        <item h="1" x="24382"/>
        <item h="1" x="24383"/>
        <item h="1" x="24384"/>
        <item h="1" x="24385"/>
        <item h="1" x="24386"/>
        <item h="1" x="24387"/>
        <item h="1" x="24388"/>
        <item h="1" x="24389"/>
        <item h="1" x="24390"/>
        <item h="1" x="24391"/>
        <item h="1" x="24392"/>
        <item h="1" x="24393"/>
        <item h="1" x="24394"/>
        <item h="1" x="24395"/>
        <item h="1" x="24396"/>
        <item h="1" x="24397"/>
        <item h="1" x="24398"/>
        <item h="1" x="24399"/>
        <item h="1" x="24400"/>
        <item h="1" x="24401"/>
        <item h="1" x="24402"/>
        <item h="1" x="24403"/>
        <item h="1" x="24404"/>
        <item h="1" x="24405"/>
        <item h="1" x="24406"/>
        <item h="1" x="24407"/>
        <item h="1" x="24408"/>
        <item h="1" x="24409"/>
        <item h="1" x="24410"/>
        <item h="1" x="24411"/>
        <item h="1" x="24412"/>
        <item h="1" x="24413"/>
        <item h="1" x="24414"/>
        <item h="1" x="24415"/>
        <item h="1" x="24416"/>
        <item h="1" x="24417"/>
        <item h="1" x="24418"/>
        <item h="1" x="24419"/>
        <item h="1" x="24420"/>
        <item h="1" x="24421"/>
        <item h="1" x="24422"/>
        <item h="1" x="24423"/>
        <item h="1" x="24424"/>
        <item h="1" x="24425"/>
        <item h="1" x="24426"/>
        <item h="1" x="24427"/>
        <item h="1" x="24428"/>
        <item h="1" x="24429"/>
        <item h="1" x="24430"/>
        <item h="1" x="24431"/>
        <item h="1" x="24432"/>
        <item h="1" x="24433"/>
        <item h="1" x="24434"/>
        <item h="1" x="24435"/>
        <item h="1" x="24436"/>
        <item h="1" x="24437"/>
        <item h="1" x="24438"/>
        <item h="1" x="24439"/>
        <item h="1" x="24440"/>
        <item h="1" x="24441"/>
        <item h="1" x="24442"/>
        <item h="1" x="24443"/>
        <item h="1" x="24444"/>
        <item h="1" x="24445"/>
        <item h="1" x="24446"/>
        <item h="1" x="24447"/>
        <item h="1" x="24448"/>
        <item h="1" x="24449"/>
        <item h="1" x="24450"/>
        <item h="1" x="24451"/>
        <item h="1" x="24452"/>
        <item h="1" x="24453"/>
        <item h="1" x="24454"/>
        <item h="1" x="24455"/>
        <item h="1" x="24456"/>
        <item h="1" x="24457"/>
        <item h="1" x="24458"/>
        <item h="1" x="24459"/>
        <item h="1" x="24460"/>
        <item h="1" x="24461"/>
        <item h="1" x="24462"/>
        <item h="1" x="24463"/>
        <item h="1" x="24464"/>
        <item h="1" x="24465"/>
        <item h="1" x="24466"/>
        <item h="1" x="24467"/>
        <item h="1" x="24468"/>
        <item h="1" x="24469"/>
        <item h="1" x="24470"/>
        <item h="1" x="24471"/>
        <item h="1" x="24472"/>
        <item h="1" x="24473"/>
        <item h="1" x="24474"/>
        <item h="1" x="24475"/>
        <item h="1" x="24476"/>
        <item h="1" x="24477"/>
        <item h="1" x="24478"/>
        <item h="1" x="24479"/>
        <item h="1" x="24480"/>
        <item h="1" x="24481"/>
        <item h="1" x="24482"/>
        <item h="1" x="24483"/>
        <item h="1" x="24484"/>
        <item h="1" x="24485"/>
        <item h="1" x="24486"/>
        <item h="1" x="24487"/>
        <item h="1" x="24488"/>
        <item h="1" x="24489"/>
        <item h="1" x="24490"/>
        <item h="1" x="24491"/>
        <item h="1" x="24492"/>
        <item h="1" x="24493"/>
        <item h="1" x="24494"/>
        <item h="1" x="24495"/>
        <item h="1" x="24496"/>
        <item h="1" x="24497"/>
        <item h="1" x="24498"/>
        <item h="1" x="24499"/>
        <item h="1" x="24500"/>
        <item h="1" x="24501"/>
        <item h="1" x="24502"/>
        <item h="1" x="24503"/>
        <item h="1" x="24504"/>
        <item h="1" x="24505"/>
        <item h="1" x="24506"/>
        <item h="1" x="24507"/>
        <item h="1" x="24508"/>
        <item h="1" x="24509"/>
        <item h="1" x="24510"/>
        <item h="1" x="24511"/>
        <item h="1" x="24512"/>
        <item h="1" x="24513"/>
        <item h="1" x="24514"/>
        <item h="1" x="24515"/>
        <item h="1" x="24516"/>
        <item h="1" x="24517"/>
        <item h="1" x="24518"/>
        <item h="1" x="24519"/>
        <item h="1" x="24520"/>
        <item h="1" x="24521"/>
        <item h="1" x="24522"/>
        <item h="1" x="24523"/>
        <item h="1" x="24524"/>
        <item h="1" x="24525"/>
        <item h="1" x="24526"/>
        <item h="1" x="24527"/>
        <item h="1" x="24528"/>
        <item h="1" x="24529"/>
        <item h="1" x="24530"/>
        <item h="1" x="24531"/>
        <item h="1" x="24532"/>
        <item h="1" x="24533"/>
        <item h="1" x="24534"/>
        <item h="1" x="24535"/>
        <item h="1" x="24536"/>
        <item h="1" x="24537"/>
        <item h="1" x="24538"/>
        <item h="1" x="24539"/>
        <item h="1" x="24540"/>
        <item h="1" x="24541"/>
        <item h="1" x="24542"/>
        <item h="1" x="24543"/>
        <item h="1" x="24544"/>
        <item h="1" x="24545"/>
        <item h="1" x="24546"/>
        <item h="1" x="24547"/>
        <item h="1" x="24548"/>
        <item h="1" x="24549"/>
        <item h="1" x="24550"/>
        <item h="1" x="24551"/>
        <item h="1" x="24552"/>
        <item h="1" x="24553"/>
        <item h="1" x="24554"/>
        <item h="1" x="24555"/>
        <item h="1" x="24556"/>
        <item h="1" x="24557"/>
        <item h="1" x="24558"/>
        <item h="1" x="24559"/>
        <item h="1" x="24560"/>
        <item h="1" x="24561"/>
        <item h="1" x="24562"/>
        <item h="1" x="24563"/>
        <item h="1" x="24564"/>
        <item h="1" x="24565"/>
        <item h="1" x="24566"/>
        <item h="1" x="24567"/>
        <item h="1" x="24568"/>
        <item h="1" x="24569"/>
        <item h="1" x="24570"/>
        <item h="1" x="24571"/>
        <item h="1" x="24572"/>
        <item h="1" x="24573"/>
        <item h="1" x="24574"/>
        <item h="1" x="24575"/>
        <item h="1" x="24576"/>
        <item h="1" x="24577"/>
        <item h="1" x="24578"/>
        <item h="1" x="24579"/>
        <item h="1" x="24580"/>
        <item h="1" x="24581"/>
        <item h="1" x="24582"/>
        <item h="1" x="24583"/>
        <item h="1" x="24584"/>
        <item h="1" x="24585"/>
        <item h="1" x="24586"/>
        <item h="1" x="24587"/>
        <item h="1" x="24588"/>
        <item h="1" x="24589"/>
        <item h="1" x="24590"/>
        <item h="1" x="24591"/>
        <item h="1" x="24592"/>
        <item h="1" x="24593"/>
        <item h="1" x="24594"/>
        <item h="1" x="24595"/>
        <item h="1" x="24596"/>
        <item h="1" x="24597"/>
        <item h="1" x="24598"/>
        <item h="1" x="24599"/>
        <item h="1" x="24600"/>
        <item h="1" x="24601"/>
        <item h="1" x="24602"/>
        <item h="1" x="24603"/>
        <item h="1" x="24604"/>
        <item h="1" x="24605"/>
        <item h="1" x="24606"/>
        <item h="1" x="24607"/>
        <item h="1" x="24608"/>
        <item h="1" x="24609"/>
        <item h="1" x="24610"/>
        <item h="1" x="24611"/>
        <item h="1" x="24612"/>
        <item h="1" x="24613"/>
        <item h="1" x="24614"/>
        <item h="1" x="24615"/>
        <item h="1" x="24616"/>
        <item h="1" x="24617"/>
        <item h="1" x="24618"/>
        <item h="1" x="24619"/>
        <item h="1" x="24620"/>
        <item h="1" x="24621"/>
        <item h="1" x="24622"/>
        <item h="1" x="24623"/>
        <item h="1" x="24624"/>
        <item h="1" x="24625"/>
        <item h="1" x="24626"/>
        <item h="1" x="24627"/>
        <item h="1" x="24628"/>
        <item h="1" x="24629"/>
        <item h="1" x="24630"/>
        <item h="1" x="24631"/>
        <item h="1" x="24632"/>
        <item h="1" x="24633"/>
        <item h="1" x="24634"/>
        <item h="1" x="24635"/>
        <item h="1" x="24636"/>
        <item h="1" x="24637"/>
        <item h="1" x="24638"/>
        <item h="1" x="24639"/>
        <item h="1" x="24640"/>
        <item h="1" x="24641"/>
        <item h="1" x="24642"/>
        <item h="1" x="24643"/>
        <item h="1" x="24644"/>
        <item h="1" x="24645"/>
        <item h="1" x="24646"/>
        <item h="1" x="24647"/>
        <item h="1" x="24648"/>
        <item h="1" x="24649"/>
        <item h="1" x="24650"/>
        <item h="1" x="24651"/>
        <item h="1" x="24652"/>
        <item h="1" x="24653"/>
        <item h="1" x="24654"/>
        <item h="1" x="24655"/>
        <item h="1" x="24656"/>
        <item h="1" x="24657"/>
        <item h="1" x="24658"/>
        <item h="1" x="24659"/>
        <item h="1" x="24660"/>
        <item h="1" x="24661"/>
        <item h="1" x="24662"/>
        <item h="1" x="24663"/>
        <item h="1" x="24664"/>
        <item h="1" x="24665"/>
        <item h="1" x="24666"/>
        <item h="1" x="24667"/>
        <item h="1" x="24668"/>
        <item h="1" x="24669"/>
        <item h="1" x="24670"/>
        <item h="1" x="24671"/>
        <item h="1" x="24672"/>
        <item h="1" x="24673"/>
        <item h="1" x="24674"/>
        <item h="1" x="24675"/>
        <item h="1" x="24676"/>
        <item h="1" x="24677"/>
        <item h="1" x="24678"/>
        <item h="1" x="24679"/>
        <item h="1" x="24680"/>
        <item h="1" x="24681"/>
        <item h="1" x="24682"/>
        <item h="1" x="24683"/>
        <item h="1" x="24684"/>
        <item h="1" x="24685"/>
        <item h="1" x="24686"/>
        <item h="1" x="24687"/>
        <item h="1" x="24688"/>
        <item h="1" x="24689"/>
        <item h="1" x="24690"/>
        <item h="1" x="24691"/>
        <item h="1" x="24692"/>
        <item h="1" x="24693"/>
        <item h="1" x="24694"/>
        <item h="1" x="24695"/>
        <item h="1" x="24696"/>
        <item h="1" x="24697"/>
        <item h="1" x="24698"/>
        <item h="1" x="24699"/>
        <item h="1" x="24700"/>
        <item h="1" x="24701"/>
        <item h="1" x="24702"/>
        <item h="1" x="24703"/>
        <item h="1" x="24704"/>
        <item h="1" x="24705"/>
        <item h="1" x="24706"/>
        <item h="1" x="24707"/>
        <item h="1" x="24708"/>
        <item h="1" x="24709"/>
        <item h="1" x="24710"/>
        <item h="1" x="24711"/>
        <item h="1" x="24712"/>
        <item h="1" x="24713"/>
        <item h="1" x="24714"/>
        <item h="1" x="24715"/>
        <item h="1" x="24716"/>
        <item h="1" x="24717"/>
        <item h="1" x="24718"/>
        <item h="1" x="24719"/>
        <item h="1" x="24720"/>
        <item h="1" x="24721"/>
        <item h="1" x="24722"/>
        <item h="1" x="24723"/>
        <item h="1" x="24724"/>
        <item h="1" x="24725"/>
        <item h="1" x="24726"/>
        <item h="1" x="24727"/>
        <item h="1" x="24728"/>
        <item h="1" x="24729"/>
        <item h="1" x="24730"/>
        <item h="1" x="24731"/>
        <item h="1" x="24732"/>
        <item h="1" x="24733"/>
        <item t="default"/>
      </items>
    </pivotField>
  </pivotFields>
  <rowFields count="1">
    <field x="6"/>
  </rowFields>
  <rowItems count="12">
    <i>
      <x/>
    </i>
    <i>
      <x v="1"/>
    </i>
    <i>
      <x v="2"/>
    </i>
    <i>
      <x v="3"/>
    </i>
    <i>
      <x v="4"/>
    </i>
    <i>
      <x v="5"/>
    </i>
    <i>
      <x v="6"/>
    </i>
    <i>
      <x v="7"/>
    </i>
    <i>
      <x v="8"/>
    </i>
    <i>
      <x v="9"/>
    </i>
    <i>
      <x v="10"/>
    </i>
    <i t="grand">
      <x/>
    </i>
  </rowItems>
  <colItems count="1">
    <i/>
  </colItems>
  <pageFields count="1">
    <pageField fld="7" hier="-1"/>
  </pageFields>
  <dataFields count="1">
    <dataField name="Count of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6EE00C-8D18-4ABA-ADCE-B7260E3156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Week">
  <location ref="F3:G13" firstHeaderRow="1" firstDataRow="1" firstDataCol="1"/>
  <pivotFields count="9">
    <pivotField showAll="0"/>
    <pivotField showAll="0"/>
    <pivotField dataField="1" showAll="0"/>
    <pivotField showAll="0"/>
    <pivotField axis="axisRow" numFmtId="14" showAll="0">
      <items count="39">
        <item x="0"/>
        <item m="1" x="3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axis="axisRow" showAll="0">
      <items count="24735">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sd="0" x="481"/>
        <item sd="0" x="482"/>
        <item sd="0" x="483"/>
        <item sd="0" x="484"/>
        <item sd="0" x="485"/>
        <item sd="0" x="486"/>
        <item sd="0" x="487"/>
        <item sd="0" x="488"/>
        <item sd="0" x="489"/>
        <item sd="0" x="490"/>
        <item sd="0" x="491"/>
        <item sd="0" x="492"/>
        <item sd="0" x="493"/>
        <item sd="0" x="494"/>
        <item sd="0" x="495"/>
        <item sd="0" x="496"/>
        <item sd="0" x="497"/>
        <item sd="0" x="498"/>
        <item sd="0" x="499"/>
        <item sd="0" x="500"/>
        <item sd="0" x="501"/>
        <item sd="0" x="502"/>
        <item sd="0" x="503"/>
        <item sd="0" x="504"/>
        <item sd="0" x="505"/>
        <item sd="0" x="506"/>
        <item sd="0" x="507"/>
        <item sd="0" x="508"/>
        <item sd="0" x="509"/>
        <item sd="0" x="510"/>
        <item sd="0" x="511"/>
        <item sd="0" x="512"/>
        <item sd="0" x="513"/>
        <item sd="0" x="514"/>
        <item sd="0" x="515"/>
        <item sd="0" x="516"/>
        <item sd="0" x="517"/>
        <item sd="0" x="518"/>
        <item sd="0" x="519"/>
        <item sd="0" x="520"/>
        <item sd="0" x="521"/>
        <item sd="0" x="522"/>
        <item sd="0" x="523"/>
        <item sd="0" x="524"/>
        <item sd="0" x="525"/>
        <item sd="0" x="526"/>
        <item sd="0" x="527"/>
        <item sd="0" x="528"/>
        <item sd="0" x="529"/>
        <item sd="0" x="530"/>
        <item sd="0" x="531"/>
        <item sd="0" x="532"/>
        <item sd="0" x="533"/>
        <item sd="0" x="534"/>
        <item sd="0" x="535"/>
        <item sd="0" x="536"/>
        <item sd="0" x="537"/>
        <item sd="0" x="538"/>
        <item sd="0" x="539"/>
        <item sd="0" x="540"/>
        <item sd="0" x="541"/>
        <item sd="0" x="542"/>
        <item sd="0" x="543"/>
        <item sd="0" x="544"/>
        <item sd="0" x="545"/>
        <item sd="0" x="546"/>
        <item sd="0" x="547"/>
        <item sd="0" x="548"/>
        <item sd="0" x="549"/>
        <item sd="0" x="550"/>
        <item sd="0" x="551"/>
        <item sd="0" x="552"/>
        <item sd="0" x="553"/>
        <item sd="0" x="554"/>
        <item sd="0" x="555"/>
        <item sd="0" x="556"/>
        <item sd="0" x="557"/>
        <item sd="0" x="558"/>
        <item sd="0" x="559"/>
        <item sd="0" x="560"/>
        <item sd="0" x="561"/>
        <item sd="0" x="562"/>
        <item sd="0" x="563"/>
        <item sd="0" x="564"/>
        <item sd="0" x="565"/>
        <item sd="0" x="566"/>
        <item sd="0" x="567"/>
        <item sd="0" x="568"/>
        <item sd="0" x="569"/>
        <item sd="0" x="570"/>
        <item sd="0" x="571"/>
        <item sd="0" x="572"/>
        <item sd="0" x="573"/>
        <item sd="0" x="574"/>
        <item sd="0" x="575"/>
        <item sd="0" x="576"/>
        <item sd="0" x="577"/>
        <item sd="0" x="578"/>
        <item sd="0" x="579"/>
        <item sd="0" x="580"/>
        <item sd="0" x="581"/>
        <item sd="0" x="582"/>
        <item sd="0" x="583"/>
        <item sd="0" x="584"/>
        <item sd="0" x="585"/>
        <item sd="0" x="586"/>
        <item sd="0" x="587"/>
        <item sd="0" x="588"/>
        <item sd="0" x="589"/>
        <item sd="0" x="590"/>
        <item sd="0" x="591"/>
        <item sd="0" x="592"/>
        <item sd="0" x="593"/>
        <item sd="0" x="594"/>
        <item sd="0" x="595"/>
        <item sd="0" x="596"/>
        <item sd="0" x="597"/>
        <item sd="0" x="598"/>
        <item sd="0" x="599"/>
        <item sd="0" x="600"/>
        <item sd="0" x="601"/>
        <item sd="0" x="602"/>
        <item sd="0" x="603"/>
        <item sd="0" x="604"/>
        <item sd="0" x="605"/>
        <item sd="0" x="606"/>
        <item sd="0" x="607"/>
        <item sd="0" x="608"/>
        <item sd="0" x="609"/>
        <item sd="0" x="610"/>
        <item sd="0" x="611"/>
        <item sd="0" x="612"/>
        <item sd="0" x="613"/>
        <item sd="0" x="614"/>
        <item sd="0" x="615"/>
        <item sd="0" x="616"/>
        <item sd="0" x="617"/>
        <item sd="0" x="618"/>
        <item sd="0" x="619"/>
        <item sd="0" x="620"/>
        <item sd="0" x="621"/>
        <item sd="0" x="622"/>
        <item sd="0" x="623"/>
        <item sd="0" x="624"/>
        <item sd="0" x="625"/>
        <item sd="0" x="626"/>
        <item sd="0" x="627"/>
        <item sd="0" x="628"/>
        <item sd="0" x="629"/>
        <item sd="0" x="630"/>
        <item sd="0" x="631"/>
        <item sd="0" x="632"/>
        <item sd="0" x="633"/>
        <item sd="0" x="634"/>
        <item sd="0" x="635"/>
        <item sd="0" x="636"/>
        <item sd="0" x="637"/>
        <item sd="0" x="638"/>
        <item sd="0" x="639"/>
        <item sd="0" x="640"/>
        <item sd="0" x="641"/>
        <item sd="0" x="642"/>
        <item sd="0" x="643"/>
        <item sd="0" x="644"/>
        <item sd="0" x="645"/>
        <item sd="0" x="646"/>
        <item sd="0" x="647"/>
        <item sd="0" x="648"/>
        <item sd="0" x="649"/>
        <item sd="0" x="650"/>
        <item sd="0" x="651"/>
        <item sd="0" x="652"/>
        <item sd="0" x="653"/>
        <item sd="0" x="654"/>
        <item sd="0" x="655"/>
        <item sd="0" x="656"/>
        <item sd="0" x="657"/>
        <item sd="0" x="658"/>
        <item sd="0" x="659"/>
        <item sd="0" x="660"/>
        <item sd="0" x="661"/>
        <item sd="0" x="662"/>
        <item sd="0" x="663"/>
        <item sd="0" x="664"/>
        <item sd="0" x="665"/>
        <item sd="0" x="666"/>
        <item sd="0" x="667"/>
        <item sd="0" x="668"/>
        <item sd="0" x="669"/>
        <item sd="0" x="670"/>
        <item sd="0" x="671"/>
        <item sd="0" x="672"/>
        <item sd="0" x="673"/>
        <item sd="0" x="674"/>
        <item sd="0" x="675"/>
        <item sd="0" x="676"/>
        <item sd="0" x="677"/>
        <item sd="0" x="678"/>
        <item sd="0" x="679"/>
        <item sd="0" x="680"/>
        <item sd="0" x="681"/>
        <item sd="0" x="682"/>
        <item sd="0" x="683"/>
        <item sd="0" x="684"/>
        <item sd="0" x="685"/>
        <item sd="0" x="686"/>
        <item sd="0" x="687"/>
        <item sd="0" x="688"/>
        <item sd="0" x="689"/>
        <item sd="0" x="690"/>
        <item sd="0" x="691"/>
        <item sd="0" x="692"/>
        <item sd="0" x="693"/>
        <item sd="0" x="694"/>
        <item sd="0" x="695"/>
        <item sd="0" x="696"/>
        <item sd="0" x="697"/>
        <item sd="0" x="698"/>
        <item sd="0" x="699"/>
        <item sd="0" x="700"/>
        <item sd="0" x="701"/>
        <item sd="0" x="702"/>
        <item sd="0" x="703"/>
        <item sd="0" x="704"/>
        <item sd="0" x="705"/>
        <item sd="0" x="706"/>
        <item sd="0" x="707"/>
        <item sd="0" x="708"/>
        <item sd="0" x="709"/>
        <item sd="0" x="710"/>
        <item sd="0" x="711"/>
        <item sd="0" x="712"/>
        <item sd="0" x="713"/>
        <item sd="0" x="714"/>
        <item sd="0" x="715"/>
        <item sd="0" x="716"/>
        <item sd="0" x="717"/>
        <item sd="0" x="718"/>
        <item sd="0" x="719"/>
        <item sd="0" x="720"/>
        <item sd="0" x="721"/>
        <item sd="0" x="722"/>
        <item sd="0" x="723"/>
        <item sd="0" x="724"/>
        <item sd="0" x="725"/>
        <item sd="0" x="726"/>
        <item sd="0" x="727"/>
        <item sd="0" x="728"/>
        <item sd="0" x="729"/>
        <item sd="0" x="730"/>
        <item sd="0" x="731"/>
        <item sd="0" x="732"/>
        <item sd="0" x="733"/>
        <item sd="0" x="734"/>
        <item sd="0" x="735"/>
        <item sd="0" x="736"/>
        <item sd="0" x="737"/>
        <item sd="0" x="738"/>
        <item sd="0" x="739"/>
        <item sd="0" x="740"/>
        <item sd="0" x="741"/>
        <item sd="0" x="742"/>
        <item sd="0" x="743"/>
        <item sd="0" x="744"/>
        <item sd="0" x="745"/>
        <item sd="0" x="746"/>
        <item sd="0" x="747"/>
        <item sd="0" x="748"/>
        <item sd="0" x="749"/>
        <item sd="0" x="750"/>
        <item sd="0" x="751"/>
        <item sd="0" x="752"/>
        <item sd="0" x="753"/>
        <item sd="0" x="754"/>
        <item sd="0" x="755"/>
        <item sd="0" x="756"/>
        <item sd="0" x="757"/>
        <item sd="0" x="758"/>
        <item sd="0" x="759"/>
        <item sd="0" x="760"/>
        <item sd="0" x="761"/>
        <item sd="0" x="762"/>
        <item sd="0" x="763"/>
        <item sd="0" x="764"/>
        <item sd="0" x="765"/>
        <item sd="0" x="766"/>
        <item sd="0" x="767"/>
        <item sd="0" x="768"/>
        <item sd="0" x="769"/>
        <item sd="0" x="770"/>
        <item sd="0" x="771"/>
        <item sd="0" x="772"/>
        <item sd="0" x="773"/>
        <item sd="0" x="774"/>
        <item sd="0" x="775"/>
        <item sd="0" x="776"/>
        <item sd="0" x="777"/>
        <item sd="0" x="778"/>
        <item sd="0" x="779"/>
        <item sd="0" x="780"/>
        <item sd="0" x="781"/>
        <item sd="0" x="782"/>
        <item sd="0" x="783"/>
        <item sd="0" x="784"/>
        <item sd="0" x="785"/>
        <item sd="0" x="786"/>
        <item sd="0" x="787"/>
        <item sd="0" x="788"/>
        <item sd="0" x="789"/>
        <item sd="0" x="790"/>
        <item sd="0" x="791"/>
        <item sd="0" x="792"/>
        <item sd="0" x="793"/>
        <item sd="0" x="794"/>
        <item sd="0" x="795"/>
        <item sd="0" x="796"/>
        <item sd="0" x="797"/>
        <item sd="0" x="798"/>
        <item sd="0" x="799"/>
        <item sd="0" x="800"/>
        <item sd="0" x="801"/>
        <item sd="0" x="802"/>
        <item sd="0" x="803"/>
        <item sd="0" x="804"/>
        <item sd="0" x="805"/>
        <item sd="0" x="806"/>
        <item sd="0" x="807"/>
        <item sd="0" x="808"/>
        <item sd="0" x="809"/>
        <item sd="0" x="810"/>
        <item sd="0" x="811"/>
        <item sd="0" x="812"/>
        <item sd="0" x="813"/>
        <item sd="0" x="814"/>
        <item sd="0" x="815"/>
        <item sd="0" x="816"/>
        <item sd="0" x="817"/>
        <item sd="0" x="818"/>
        <item sd="0" x="819"/>
        <item sd="0" x="820"/>
        <item sd="0" x="821"/>
        <item sd="0" x="822"/>
        <item sd="0" x="823"/>
        <item sd="0" x="824"/>
        <item sd="0" x="825"/>
        <item sd="0" x="826"/>
        <item sd="0" x="827"/>
        <item sd="0" x="828"/>
        <item sd="0" x="829"/>
        <item sd="0" x="830"/>
        <item sd="0" x="831"/>
        <item sd="0" x="832"/>
        <item sd="0" x="833"/>
        <item sd="0" x="834"/>
        <item sd="0" x="835"/>
        <item sd="0" x="836"/>
        <item sd="0" x="837"/>
        <item sd="0" x="838"/>
        <item sd="0" x="839"/>
        <item sd="0" x="840"/>
        <item sd="0" x="841"/>
        <item sd="0" x="842"/>
        <item sd="0" x="843"/>
        <item sd="0" x="844"/>
        <item sd="0" x="845"/>
        <item sd="0" x="846"/>
        <item sd="0" x="847"/>
        <item sd="0" x="848"/>
        <item sd="0" x="849"/>
        <item sd="0" x="850"/>
        <item sd="0" x="851"/>
        <item sd="0" x="852"/>
        <item sd="0" x="853"/>
        <item sd="0" x="854"/>
        <item sd="0" x="855"/>
        <item sd="0" x="856"/>
        <item sd="0" x="857"/>
        <item sd="0" x="858"/>
        <item sd="0" x="859"/>
        <item sd="0" x="860"/>
        <item sd="0" x="861"/>
        <item sd="0" x="862"/>
        <item sd="0" x="863"/>
        <item sd="0" x="864"/>
        <item sd="0" x="865"/>
        <item sd="0" x="866"/>
        <item sd="0" x="867"/>
        <item sd="0" x="868"/>
        <item sd="0" x="869"/>
        <item sd="0" x="870"/>
        <item sd="0" x="871"/>
        <item sd="0" x="872"/>
        <item sd="0" x="873"/>
        <item sd="0" x="874"/>
        <item sd="0" x="875"/>
        <item sd="0" x="876"/>
        <item sd="0" x="877"/>
        <item sd="0" x="878"/>
        <item sd="0" x="879"/>
        <item sd="0" x="880"/>
        <item sd="0" x="881"/>
        <item sd="0" x="882"/>
        <item sd="0" x="883"/>
        <item sd="0" x="884"/>
        <item sd="0" x="885"/>
        <item sd="0" x="886"/>
        <item sd="0" x="887"/>
        <item sd="0" x="888"/>
        <item sd="0" x="889"/>
        <item sd="0" x="890"/>
        <item sd="0" x="891"/>
        <item sd="0" x="892"/>
        <item sd="0" x="893"/>
        <item sd="0" x="894"/>
        <item sd="0" x="895"/>
        <item sd="0" x="896"/>
        <item sd="0" x="897"/>
        <item sd="0" x="898"/>
        <item sd="0" x="899"/>
        <item sd="0" x="900"/>
        <item sd="0" x="901"/>
        <item sd="0" x="902"/>
        <item sd="0" x="903"/>
        <item sd="0" x="904"/>
        <item sd="0" x="905"/>
        <item sd="0" x="906"/>
        <item sd="0" x="907"/>
        <item sd="0" x="908"/>
        <item sd="0" x="909"/>
        <item sd="0" x="910"/>
        <item sd="0" x="911"/>
        <item sd="0" x="912"/>
        <item sd="0" x="913"/>
        <item sd="0" x="914"/>
        <item sd="0" x="915"/>
        <item sd="0" x="916"/>
        <item sd="0" x="917"/>
        <item sd="0" x="918"/>
        <item sd="0" x="919"/>
        <item sd="0" x="920"/>
        <item sd="0" x="921"/>
        <item sd="0" x="922"/>
        <item sd="0" x="923"/>
        <item sd="0" x="924"/>
        <item sd="0" x="925"/>
        <item sd="0" x="926"/>
        <item sd="0" x="927"/>
        <item sd="0" x="928"/>
        <item sd="0" x="929"/>
        <item sd="0" x="930"/>
        <item sd="0" x="931"/>
        <item sd="0" x="932"/>
        <item sd="0" x="933"/>
        <item sd="0" x="934"/>
        <item sd="0" x="935"/>
        <item sd="0" x="936"/>
        <item sd="0" x="937"/>
        <item sd="0" x="938"/>
        <item sd="0" x="939"/>
        <item sd="0" x="940"/>
        <item sd="0" x="941"/>
        <item sd="0" x="942"/>
        <item sd="0" x="943"/>
        <item sd="0" x="944"/>
        <item sd="0" x="945"/>
        <item sd="0" x="946"/>
        <item sd="0" x="947"/>
        <item sd="0" x="948"/>
        <item sd="0" x="949"/>
        <item sd="0" x="950"/>
        <item sd="0" x="951"/>
        <item sd="0" x="952"/>
        <item sd="0" x="953"/>
        <item sd="0" x="954"/>
        <item sd="0" x="955"/>
        <item sd="0" x="956"/>
        <item sd="0" x="957"/>
        <item sd="0" x="958"/>
        <item sd="0" x="959"/>
        <item sd="0" x="960"/>
        <item sd="0" x="961"/>
        <item sd="0" x="962"/>
        <item sd="0" x="963"/>
        <item sd="0" x="964"/>
        <item sd="0" x="965"/>
        <item sd="0" x="966"/>
        <item sd="0" x="967"/>
        <item sd="0" x="968"/>
        <item sd="0" x="969"/>
        <item sd="0" x="970"/>
        <item sd="0" x="971"/>
        <item sd="0" x="972"/>
        <item sd="0" x="973"/>
        <item sd="0" x="974"/>
        <item sd="0" x="975"/>
        <item sd="0" x="976"/>
        <item sd="0" x="977"/>
        <item sd="0" x="978"/>
        <item sd="0" x="979"/>
        <item sd="0" x="980"/>
        <item sd="0" x="981"/>
        <item sd="0" x="982"/>
        <item sd="0" x="983"/>
        <item sd="0" x="984"/>
        <item sd="0" x="985"/>
        <item sd="0" x="986"/>
        <item sd="0" x="987"/>
        <item sd="0" x="988"/>
        <item sd="0" x="989"/>
        <item sd="0" x="990"/>
        <item sd="0" x="991"/>
        <item sd="0" x="992"/>
        <item sd="0" x="993"/>
        <item sd="0" x="994"/>
        <item sd="0" x="995"/>
        <item sd="0" x="996"/>
        <item sd="0" x="997"/>
        <item sd="0" x="998"/>
        <item sd="0" x="999"/>
        <item sd="0" x="1000"/>
        <item sd="0" x="1001"/>
        <item sd="0" x="1002"/>
        <item sd="0" x="1003"/>
        <item sd="0" x="1004"/>
        <item sd="0" x="1005"/>
        <item sd="0" x="1006"/>
        <item sd="0" x="1007"/>
        <item sd="0" x="1008"/>
        <item sd="0" x="1009"/>
        <item sd="0" x="1010"/>
        <item sd="0" x="1011"/>
        <item sd="0" x="1012"/>
        <item sd="0" x="1013"/>
        <item sd="0" x="1014"/>
        <item sd="0" x="1015"/>
        <item sd="0" x="1016"/>
        <item sd="0" x="1017"/>
        <item sd="0" x="1018"/>
        <item sd="0" x="1019"/>
        <item sd="0" x="1020"/>
        <item sd="0" x="1021"/>
        <item sd="0" x="1022"/>
        <item sd="0" x="1023"/>
        <item sd="0" x="1024"/>
        <item sd="0" x="1025"/>
        <item sd="0" x="1026"/>
        <item sd="0" x="1027"/>
        <item sd="0" x="1028"/>
        <item sd="0" x="1029"/>
        <item sd="0" x="1030"/>
        <item sd="0" x="1031"/>
        <item sd="0" x="1032"/>
        <item sd="0" x="1033"/>
        <item sd="0" x="1034"/>
        <item sd="0" x="1035"/>
        <item sd="0" x="1036"/>
        <item sd="0" x="1037"/>
        <item sd="0" x="1038"/>
        <item sd="0" x="1039"/>
        <item sd="0" x="1040"/>
        <item sd="0" x="1041"/>
        <item sd="0" x="1042"/>
        <item sd="0" x="1043"/>
        <item sd="0" x="1044"/>
        <item sd="0" x="1045"/>
        <item sd="0" x="1046"/>
        <item sd="0" x="1047"/>
        <item sd="0" x="1048"/>
        <item sd="0" x="1049"/>
        <item sd="0" x="1050"/>
        <item sd="0" x="1051"/>
        <item sd="0" x="1052"/>
        <item sd="0" x="1053"/>
        <item sd="0" x="1054"/>
        <item sd="0" x="1055"/>
        <item sd="0" x="1056"/>
        <item sd="0" x="1057"/>
        <item sd="0" x="1058"/>
        <item sd="0" x="1059"/>
        <item sd="0" x="1060"/>
        <item sd="0" x="1061"/>
        <item sd="0" x="1062"/>
        <item sd="0" x="1063"/>
        <item sd="0" x="1064"/>
        <item sd="0" x="1065"/>
        <item sd="0" x="1066"/>
        <item sd="0" x="1067"/>
        <item sd="0" x="1068"/>
        <item sd="0" x="1069"/>
        <item sd="0" x="1070"/>
        <item sd="0" x="1071"/>
        <item sd="0" x="1072"/>
        <item sd="0" x="1073"/>
        <item sd="0" x="1074"/>
        <item sd="0" x="1075"/>
        <item sd="0" x="1076"/>
        <item sd="0" x="1077"/>
        <item sd="0" x="1078"/>
        <item sd="0" x="1079"/>
        <item sd="0" x="1080"/>
        <item sd="0" x="1081"/>
        <item sd="0" x="1082"/>
        <item sd="0" x="1083"/>
        <item sd="0" x="1084"/>
        <item sd="0" x="1085"/>
        <item sd="0" x="1086"/>
        <item sd="0" x="1087"/>
        <item sd="0" x="1088"/>
        <item sd="0" x="1089"/>
        <item sd="0" x="1090"/>
        <item sd="0" x="1091"/>
        <item sd="0" x="1092"/>
        <item sd="0" x="1093"/>
        <item sd="0" x="1094"/>
        <item sd="0" x="1095"/>
        <item sd="0" x="1096"/>
        <item sd="0" x="1097"/>
        <item sd="0" x="1098"/>
        <item sd="0" x="1099"/>
        <item sd="0" x="1100"/>
        <item sd="0" x="1101"/>
        <item sd="0" x="1102"/>
        <item sd="0" x="1103"/>
        <item sd="0" x="1104"/>
        <item sd="0" x="1105"/>
        <item sd="0" x="1106"/>
        <item sd="0" x="1107"/>
        <item sd="0" x="1108"/>
        <item sd="0" x="1109"/>
        <item sd="0" x="1110"/>
        <item sd="0" x="1111"/>
        <item sd="0" x="1112"/>
        <item sd="0" x="1113"/>
        <item sd="0" x="1114"/>
        <item sd="0" x="1115"/>
        <item sd="0" x="1116"/>
        <item sd="0" x="1117"/>
        <item sd="0" x="1118"/>
        <item sd="0" x="1119"/>
        <item sd="0" x="1120"/>
        <item sd="0" x="1121"/>
        <item sd="0" x="1122"/>
        <item sd="0" x="1123"/>
        <item sd="0" x="1124"/>
        <item sd="0" x="1125"/>
        <item sd="0" x="1126"/>
        <item sd="0" x="1127"/>
        <item sd="0" x="1128"/>
        <item sd="0" x="1129"/>
        <item sd="0" x="1130"/>
        <item sd="0" x="1131"/>
        <item sd="0" x="1132"/>
        <item sd="0" x="1133"/>
        <item sd="0" x="1134"/>
        <item sd="0" x="1135"/>
        <item sd="0" x="1136"/>
        <item sd="0" x="1137"/>
        <item sd="0" x="1138"/>
        <item sd="0" x="1139"/>
        <item sd="0" x="1140"/>
        <item sd="0" x="1141"/>
        <item sd="0" x="1142"/>
        <item sd="0" x="1143"/>
        <item sd="0" x="1144"/>
        <item sd="0" x="1145"/>
        <item sd="0" x="1146"/>
        <item sd="0" x="1147"/>
        <item sd="0" x="1148"/>
        <item sd="0" x="1149"/>
        <item sd="0" x="1150"/>
        <item sd="0" x="1151"/>
        <item sd="0" x="1152"/>
        <item sd="0" x="1153"/>
        <item sd="0" x="1154"/>
        <item sd="0" x="1155"/>
        <item sd="0" x="1156"/>
        <item sd="0" x="1157"/>
        <item sd="0" x="1158"/>
        <item sd="0" x="1159"/>
        <item sd="0" x="1160"/>
        <item sd="0" x="1161"/>
        <item sd="0" x="1162"/>
        <item sd="0" x="1163"/>
        <item sd="0" x="1164"/>
        <item sd="0" x="1165"/>
        <item sd="0" x="1166"/>
        <item sd="0" x="1167"/>
        <item sd="0" x="1168"/>
        <item sd="0" x="1169"/>
        <item sd="0" x="1170"/>
        <item sd="0" x="1171"/>
        <item sd="0" x="1172"/>
        <item sd="0" x="1173"/>
        <item sd="0" x="1174"/>
        <item sd="0" x="1175"/>
        <item sd="0" x="1176"/>
        <item sd="0" x="1177"/>
        <item sd="0" x="1178"/>
        <item sd="0" x="1179"/>
        <item sd="0" x="1180"/>
        <item sd="0" x="1181"/>
        <item sd="0" x="1182"/>
        <item sd="0" x="1183"/>
        <item sd="0" x="1184"/>
        <item sd="0" x="1185"/>
        <item sd="0" x="1186"/>
        <item sd="0" x="1187"/>
        <item sd="0" x="1188"/>
        <item sd="0" x="1189"/>
        <item sd="0" x="1190"/>
        <item sd="0" x="1191"/>
        <item sd="0" x="1192"/>
        <item sd="0" x="1193"/>
        <item sd="0" x="1194"/>
        <item sd="0" x="1195"/>
        <item sd="0" x="1196"/>
        <item sd="0" x="1197"/>
        <item sd="0" x="1198"/>
        <item sd="0" x="1199"/>
        <item sd="0" x="1200"/>
        <item sd="0" x="1201"/>
        <item sd="0" x="1202"/>
        <item sd="0" x="1203"/>
        <item sd="0" x="1204"/>
        <item sd="0" x="1205"/>
        <item sd="0" x="1206"/>
        <item sd="0" x="1207"/>
        <item sd="0" x="1208"/>
        <item sd="0" x="1209"/>
        <item sd="0" x="1210"/>
        <item sd="0" x="1211"/>
        <item sd="0" x="1212"/>
        <item sd="0" x="1213"/>
        <item sd="0" x="1214"/>
        <item sd="0" x="1215"/>
        <item sd="0" x="1216"/>
        <item sd="0" x="1217"/>
        <item sd="0" x="1218"/>
        <item sd="0" x="1219"/>
        <item sd="0" x="1220"/>
        <item sd="0" x="1221"/>
        <item sd="0" x="1222"/>
        <item sd="0" x="1223"/>
        <item sd="0" x="1224"/>
        <item sd="0" x="1225"/>
        <item sd="0" x="1226"/>
        <item sd="0" x="1227"/>
        <item sd="0" x="1228"/>
        <item sd="0" x="1229"/>
        <item sd="0" x="1230"/>
        <item sd="0" x="1231"/>
        <item sd="0" x="1232"/>
        <item sd="0" x="1233"/>
        <item sd="0" x="1234"/>
        <item sd="0" x="1235"/>
        <item sd="0" x="1236"/>
        <item sd="0" x="1237"/>
        <item sd="0" x="1238"/>
        <item sd="0" x="1239"/>
        <item sd="0" x="1240"/>
        <item sd="0" x="1241"/>
        <item sd="0" x="1242"/>
        <item sd="0" x="1243"/>
        <item sd="0" x="1244"/>
        <item sd="0" x="1245"/>
        <item sd="0" x="1246"/>
        <item sd="0" x="1247"/>
        <item sd="0" x="1248"/>
        <item sd="0" x="1249"/>
        <item sd="0" x="1250"/>
        <item sd="0" x="1251"/>
        <item sd="0" x="1252"/>
        <item sd="0" x="1253"/>
        <item sd="0" x="1254"/>
        <item sd="0" x="1255"/>
        <item sd="0" x="1256"/>
        <item sd="0" x="1257"/>
        <item sd="0" x="1258"/>
        <item sd="0" x="1259"/>
        <item sd="0" x="1260"/>
        <item sd="0" x="1261"/>
        <item sd="0" x="1262"/>
        <item sd="0" x="1263"/>
        <item sd="0" x="1264"/>
        <item sd="0" x="1265"/>
        <item sd="0" x="1266"/>
        <item sd="0" x="1267"/>
        <item sd="0" x="1268"/>
        <item sd="0" x="1269"/>
        <item sd="0" x="1270"/>
        <item sd="0" x="1271"/>
        <item sd="0" x="1272"/>
        <item sd="0" x="1273"/>
        <item sd="0" x="1274"/>
        <item sd="0" x="1275"/>
        <item sd="0" x="1276"/>
        <item sd="0" x="1277"/>
        <item sd="0" x="1278"/>
        <item sd="0" x="1279"/>
        <item sd="0" x="1280"/>
        <item sd="0" x="1281"/>
        <item sd="0" x="1282"/>
        <item sd="0" x="1283"/>
        <item sd="0" x="1284"/>
        <item sd="0" x="1285"/>
        <item sd="0" x="1286"/>
        <item sd="0" x="1287"/>
        <item sd="0" x="1288"/>
        <item sd="0" x="1289"/>
        <item sd="0" x="1290"/>
        <item sd="0" x="1291"/>
        <item sd="0" x="1292"/>
        <item sd="0" x="1293"/>
        <item sd="0" x="1294"/>
        <item sd="0" x="1295"/>
        <item sd="0" x="1296"/>
        <item sd="0" x="1297"/>
        <item sd="0" x="1298"/>
        <item sd="0" x="1299"/>
        <item sd="0" x="1300"/>
        <item sd="0" x="1301"/>
        <item sd="0" x="1302"/>
        <item sd="0" x="1303"/>
        <item sd="0" x="1304"/>
        <item sd="0" x="1305"/>
        <item sd="0" x="1306"/>
        <item sd="0" x="1307"/>
        <item sd="0" x="1308"/>
        <item sd="0" x="1309"/>
        <item sd="0" x="1310"/>
        <item sd="0" x="1311"/>
        <item sd="0" x="1312"/>
        <item sd="0" x="1313"/>
        <item sd="0" x="1314"/>
        <item sd="0" x="1315"/>
        <item sd="0" x="1316"/>
        <item sd="0" x="1317"/>
        <item sd="0" x="1318"/>
        <item sd="0" x="1319"/>
        <item sd="0" x="1320"/>
        <item sd="0" x="1321"/>
        <item sd="0" x="1322"/>
        <item sd="0" x="1323"/>
        <item sd="0" x="1324"/>
        <item sd="0" x="1325"/>
        <item sd="0" x="1326"/>
        <item sd="0" x="1327"/>
        <item sd="0" x="1328"/>
        <item sd="0" x="1329"/>
        <item sd="0" x="1330"/>
        <item sd="0" x="1331"/>
        <item sd="0" x="1332"/>
        <item sd="0" x="1333"/>
        <item sd="0" x="1334"/>
        <item sd="0" x="1335"/>
        <item sd="0" x="1336"/>
        <item sd="0" x="1337"/>
        <item sd="0" x="1338"/>
        <item sd="0" x="1339"/>
        <item sd="0" x="1340"/>
        <item sd="0" x="1341"/>
        <item sd="0" x="1342"/>
        <item sd="0" x="1343"/>
        <item sd="0" x="1344"/>
        <item sd="0" x="1345"/>
        <item sd="0" x="1346"/>
        <item sd="0" x="1347"/>
        <item sd="0" x="1348"/>
        <item sd="0" x="1349"/>
        <item sd="0" x="1350"/>
        <item sd="0" x="1351"/>
        <item sd="0" x="1352"/>
        <item sd="0" x="1353"/>
        <item sd="0" x="1354"/>
        <item sd="0" x="1355"/>
        <item sd="0" x="1356"/>
        <item sd="0" x="1357"/>
        <item sd="0" x="1358"/>
        <item sd="0" x="1359"/>
        <item sd="0" x="1360"/>
        <item sd="0" x="1361"/>
        <item sd="0" x="1362"/>
        <item sd="0" x="1363"/>
        <item sd="0" x="1364"/>
        <item sd="0" x="1365"/>
        <item sd="0" x="1366"/>
        <item sd="0" x="1367"/>
        <item sd="0" x="1368"/>
        <item sd="0" x="1369"/>
        <item sd="0" x="1370"/>
        <item sd="0" x="1371"/>
        <item sd="0" x="1372"/>
        <item sd="0" x="1373"/>
        <item sd="0" x="1374"/>
        <item sd="0" x="1375"/>
        <item sd="0" x="1376"/>
        <item sd="0" x="1377"/>
        <item sd="0" x="1378"/>
        <item sd="0" x="1379"/>
        <item sd="0" x="1380"/>
        <item sd="0" x="1381"/>
        <item sd="0" x="1382"/>
        <item sd="0" x="1383"/>
        <item sd="0" x="1384"/>
        <item sd="0" x="1385"/>
        <item sd="0" x="1386"/>
        <item sd="0" x="1387"/>
        <item sd="0" x="1388"/>
        <item sd="0" x="1389"/>
        <item sd="0" x="1390"/>
        <item sd="0" x="1391"/>
        <item sd="0" x="1392"/>
        <item sd="0" x="1393"/>
        <item sd="0" x="1394"/>
        <item sd="0" x="1395"/>
        <item sd="0" x="1396"/>
        <item sd="0" x="1397"/>
        <item sd="0" x="1398"/>
        <item sd="0" x="1399"/>
        <item sd="0" x="1400"/>
        <item sd="0" x="1401"/>
        <item sd="0" x="1402"/>
        <item sd="0" x="1403"/>
        <item sd="0" x="1404"/>
        <item sd="0" x="1405"/>
        <item sd="0" x="1406"/>
        <item sd="0" x="1407"/>
        <item sd="0" x="1408"/>
        <item sd="0" x="1409"/>
        <item sd="0" x="1410"/>
        <item sd="0" x="1411"/>
        <item sd="0" x="1412"/>
        <item sd="0" x="1413"/>
        <item sd="0" x="1414"/>
        <item sd="0" x="1415"/>
        <item sd="0" x="1416"/>
        <item sd="0" x="1417"/>
        <item sd="0" x="1418"/>
        <item sd="0" x="1419"/>
        <item sd="0" x="1420"/>
        <item sd="0" x="1421"/>
        <item sd="0" x="1422"/>
        <item sd="0" x="1423"/>
        <item sd="0" x="1424"/>
        <item sd="0" x="1425"/>
        <item sd="0" x="1426"/>
        <item sd="0" x="1427"/>
        <item sd="0" x="1428"/>
        <item sd="0" x="1429"/>
        <item sd="0" x="1430"/>
        <item sd="0" x="1431"/>
        <item sd="0" x="1432"/>
        <item sd="0" x="1433"/>
        <item sd="0" x="1434"/>
        <item sd="0" x="1435"/>
        <item sd="0" x="1436"/>
        <item sd="0" x="1437"/>
        <item sd="0" x="1438"/>
        <item sd="0" x="1439"/>
        <item sd="0" x="1440"/>
        <item sd="0" x="1441"/>
        <item sd="0" x="1442"/>
        <item sd="0" x="1443"/>
        <item sd="0" x="1444"/>
        <item sd="0" x="1445"/>
        <item sd="0" x="1446"/>
        <item sd="0" x="1447"/>
        <item sd="0" x="1448"/>
        <item sd="0" x="1449"/>
        <item sd="0" x="1450"/>
        <item sd="0" x="1451"/>
        <item sd="0" x="1452"/>
        <item sd="0" x="1453"/>
        <item sd="0" x="1454"/>
        <item sd="0" x="1455"/>
        <item sd="0" x="1456"/>
        <item sd="0" x="1457"/>
        <item sd="0" x="1458"/>
        <item sd="0" x="1459"/>
        <item sd="0" x="1460"/>
        <item sd="0" x="1461"/>
        <item sd="0" x="1462"/>
        <item sd="0" x="1463"/>
        <item sd="0" x="1464"/>
        <item sd="0" x="1465"/>
        <item sd="0" x="1466"/>
        <item sd="0" x="1467"/>
        <item sd="0" x="1468"/>
        <item sd="0" x="1469"/>
        <item sd="0" x="1470"/>
        <item sd="0" x="1471"/>
        <item sd="0" x="1472"/>
        <item sd="0" x="1473"/>
        <item sd="0" x="1474"/>
        <item sd="0" x="1475"/>
        <item sd="0" x="1476"/>
        <item sd="0" x="1477"/>
        <item sd="0" x="1478"/>
        <item sd="0" x="1479"/>
        <item sd="0" x="1480"/>
        <item sd="0" x="1481"/>
        <item sd="0" x="1482"/>
        <item sd="0" x="1483"/>
        <item sd="0" x="1484"/>
        <item sd="0" x="1485"/>
        <item sd="0" x="1486"/>
        <item sd="0" x="1487"/>
        <item sd="0" x="1488"/>
        <item sd="0" x="1489"/>
        <item sd="0" x="1490"/>
        <item sd="0" x="1491"/>
        <item sd="0" x="1492"/>
        <item sd="0" x="1493"/>
        <item sd="0" x="1494"/>
        <item sd="0" x="1495"/>
        <item sd="0" x="1496"/>
        <item sd="0" x="1497"/>
        <item sd="0" x="1498"/>
        <item sd="0" x="1499"/>
        <item sd="0" x="1500"/>
        <item sd="0" x="1501"/>
        <item sd="0" x="1502"/>
        <item sd="0" x="1503"/>
        <item sd="0" x="1504"/>
        <item sd="0" x="1505"/>
        <item sd="0" x="1506"/>
        <item sd="0" x="1507"/>
        <item sd="0" x="1508"/>
        <item sd="0" x="1509"/>
        <item sd="0" x="1510"/>
        <item sd="0" x="1511"/>
        <item sd="0" x="1512"/>
        <item sd="0" x="1513"/>
        <item sd="0" x="1514"/>
        <item sd="0" x="1515"/>
        <item sd="0" x="1516"/>
        <item sd="0" x="1517"/>
        <item sd="0" x="1518"/>
        <item sd="0" x="1519"/>
        <item sd="0" x="1520"/>
        <item sd="0" x="1521"/>
        <item sd="0" x="1522"/>
        <item sd="0" x="1523"/>
        <item sd="0" x="1524"/>
        <item sd="0" x="1525"/>
        <item sd="0" x="1526"/>
        <item sd="0" x="1527"/>
        <item sd="0" x="1528"/>
        <item sd="0" x="1529"/>
        <item sd="0" x="1530"/>
        <item sd="0" x="1531"/>
        <item sd="0" x="1532"/>
        <item sd="0" x="1533"/>
        <item sd="0" x="1534"/>
        <item sd="0" x="1535"/>
        <item sd="0" x="1536"/>
        <item sd="0" x="1537"/>
        <item sd="0" x="1538"/>
        <item sd="0" x="1539"/>
        <item sd="0" x="1540"/>
        <item sd="0" x="1541"/>
        <item sd="0" x="1542"/>
        <item sd="0" x="1543"/>
        <item sd="0" x="1544"/>
        <item sd="0" x="1545"/>
        <item sd="0" x="1546"/>
        <item sd="0" x="1547"/>
        <item sd="0" x="1548"/>
        <item sd="0" x="1549"/>
        <item sd="0" x="1550"/>
        <item sd="0" x="1551"/>
        <item sd="0" x="1552"/>
        <item sd="0" x="1553"/>
        <item sd="0" x="1554"/>
        <item sd="0" x="1555"/>
        <item sd="0" x="1556"/>
        <item sd="0" x="1557"/>
        <item sd="0" x="1558"/>
        <item sd="0" x="1559"/>
        <item sd="0" x="1560"/>
        <item sd="0" x="1561"/>
        <item sd="0" x="1562"/>
        <item sd="0" x="1563"/>
        <item sd="0" x="1564"/>
        <item sd="0" x="1565"/>
        <item sd="0" x="1566"/>
        <item sd="0" x="1567"/>
        <item sd="0" x="1568"/>
        <item sd="0" x="1569"/>
        <item sd="0" x="1570"/>
        <item sd="0" x="1571"/>
        <item sd="0" x="1572"/>
        <item sd="0" x="1573"/>
        <item sd="0" x="1574"/>
        <item sd="0" x="1575"/>
        <item sd="0" x="1576"/>
        <item sd="0" x="1577"/>
        <item sd="0" x="1578"/>
        <item sd="0" x="1579"/>
        <item sd="0" x="1580"/>
        <item sd="0" x="1581"/>
        <item sd="0" x="1582"/>
        <item sd="0" x="1583"/>
        <item sd="0" x="1584"/>
        <item sd="0" x="1585"/>
        <item sd="0" x="1586"/>
        <item sd="0" x="1587"/>
        <item sd="0" x="1588"/>
        <item sd="0" x="1589"/>
        <item sd="0" x="1590"/>
        <item sd="0" x="1591"/>
        <item sd="0" x="1592"/>
        <item sd="0" x="1593"/>
        <item sd="0" x="1594"/>
        <item sd="0" x="1595"/>
        <item sd="0" x="1596"/>
        <item sd="0" x="1597"/>
        <item sd="0" x="1598"/>
        <item sd="0" x="1599"/>
        <item sd="0" x="1600"/>
        <item sd="0" x="1601"/>
        <item sd="0" x="1602"/>
        <item sd="0" x="1603"/>
        <item sd="0" x="1604"/>
        <item sd="0" x="1605"/>
        <item sd="0" x="1606"/>
        <item sd="0" x="1607"/>
        <item sd="0" x="1608"/>
        <item sd="0" x="1609"/>
        <item sd="0" x="1610"/>
        <item sd="0" x="1611"/>
        <item sd="0" x="1612"/>
        <item sd="0" x="1613"/>
        <item sd="0" x="1614"/>
        <item sd="0" x="1615"/>
        <item sd="0" x="1616"/>
        <item sd="0" x="1617"/>
        <item sd="0" x="1618"/>
        <item sd="0" x="1619"/>
        <item sd="0" x="1620"/>
        <item sd="0" x="1621"/>
        <item sd="0" x="1622"/>
        <item sd="0" x="1623"/>
        <item sd="0" x="1624"/>
        <item sd="0" x="1625"/>
        <item sd="0" x="1626"/>
        <item sd="0" x="1627"/>
        <item sd="0" x="1628"/>
        <item sd="0" x="1629"/>
        <item sd="0" x="1630"/>
        <item sd="0" x="1631"/>
        <item sd="0" x="1632"/>
        <item sd="0" x="1633"/>
        <item sd="0" x="1634"/>
        <item sd="0" x="1635"/>
        <item sd="0" x="1636"/>
        <item sd="0" x="1637"/>
        <item sd="0" x="1638"/>
        <item sd="0" x="1639"/>
        <item sd="0" x="1640"/>
        <item sd="0" x="1641"/>
        <item sd="0" x="1642"/>
        <item sd="0" x="1643"/>
        <item sd="0" x="1644"/>
        <item sd="0" x="1645"/>
        <item sd="0" x="1646"/>
        <item sd="0" x="1647"/>
        <item sd="0" x="1648"/>
        <item sd="0" x="1649"/>
        <item sd="0" x="1650"/>
        <item sd="0" x="1651"/>
        <item sd="0" x="1652"/>
        <item sd="0" x="1653"/>
        <item sd="0" x="1654"/>
        <item sd="0" x="1655"/>
        <item sd="0" x="1656"/>
        <item sd="0" x="1657"/>
        <item sd="0" x="1658"/>
        <item sd="0" x="1659"/>
        <item sd="0" x="1660"/>
        <item sd="0" x="1661"/>
        <item sd="0" x="1662"/>
        <item sd="0" x="1663"/>
        <item sd="0" x="1664"/>
        <item sd="0" x="1665"/>
        <item sd="0" x="1666"/>
        <item sd="0" x="1667"/>
        <item sd="0" x="1668"/>
        <item sd="0" x="1669"/>
        <item sd="0" x="1670"/>
        <item sd="0" x="1671"/>
        <item sd="0" x="1672"/>
        <item sd="0" x="1673"/>
        <item sd="0" x="1674"/>
        <item sd="0" x="1675"/>
        <item sd="0" x="1676"/>
        <item sd="0" x="1677"/>
        <item sd="0" x="1678"/>
        <item sd="0" x="1679"/>
        <item sd="0" x="1680"/>
        <item sd="0" x="1681"/>
        <item sd="0" x="1682"/>
        <item sd="0" x="1683"/>
        <item sd="0" x="1684"/>
        <item sd="0" x="1685"/>
        <item sd="0" x="1686"/>
        <item sd="0" x="1687"/>
        <item sd="0" x="1688"/>
        <item sd="0" x="1689"/>
        <item sd="0" x="1690"/>
        <item sd="0" x="1691"/>
        <item sd="0" x="1692"/>
        <item sd="0" x="1693"/>
        <item sd="0" x="1694"/>
        <item sd="0" x="1695"/>
        <item sd="0" x="1696"/>
        <item sd="0" x="1697"/>
        <item sd="0" x="1698"/>
        <item sd="0" x="1699"/>
        <item sd="0" x="1700"/>
        <item sd="0" x="1701"/>
        <item sd="0" x="1702"/>
        <item sd="0" x="1703"/>
        <item sd="0" x="1704"/>
        <item sd="0" x="1705"/>
        <item sd="0" x="1706"/>
        <item sd="0" x="1707"/>
        <item sd="0" x="1708"/>
        <item sd="0" x="1709"/>
        <item sd="0" x="1710"/>
        <item sd="0" x="1711"/>
        <item sd="0" x="1712"/>
        <item sd="0" x="1713"/>
        <item sd="0" x="1714"/>
        <item sd="0" x="1715"/>
        <item sd="0" x="1716"/>
        <item sd="0" x="1717"/>
        <item sd="0" x="1718"/>
        <item sd="0" x="1719"/>
        <item sd="0" x="1720"/>
        <item sd="0" x="1721"/>
        <item sd="0" x="1722"/>
        <item sd="0" x="1723"/>
        <item sd="0" x="1724"/>
        <item sd="0" x="1725"/>
        <item sd="0" x="1726"/>
        <item sd="0" x="1727"/>
        <item sd="0" x="1728"/>
        <item sd="0" x="1729"/>
        <item sd="0" x="1730"/>
        <item sd="0" x="1731"/>
        <item sd="0" x="1732"/>
        <item sd="0" x="1733"/>
        <item sd="0" x="1734"/>
        <item sd="0" x="1735"/>
        <item sd="0" x="1736"/>
        <item sd="0" x="1737"/>
        <item sd="0" x="1738"/>
        <item sd="0" x="1739"/>
        <item sd="0" x="1740"/>
        <item sd="0" x="1741"/>
        <item sd="0" x="1742"/>
        <item sd="0" x="1743"/>
        <item sd="0" x="1744"/>
        <item sd="0" x="1745"/>
        <item sd="0" x="1746"/>
        <item sd="0" x="1747"/>
        <item sd="0" x="1748"/>
        <item sd="0" x="1749"/>
        <item sd="0" x="1750"/>
        <item sd="0" x="1751"/>
        <item sd="0" x="1752"/>
        <item sd="0" x="1753"/>
        <item sd="0" x="1754"/>
        <item sd="0" x="1755"/>
        <item sd="0" x="1756"/>
        <item sd="0" x="1757"/>
        <item sd="0" x="1758"/>
        <item sd="0" x="1759"/>
        <item sd="0" x="1760"/>
        <item sd="0" x="1761"/>
        <item sd="0" x="1762"/>
        <item sd="0" x="1763"/>
        <item sd="0" x="1764"/>
        <item sd="0" x="1765"/>
        <item sd="0" x="1766"/>
        <item sd="0" x="1767"/>
        <item sd="0" x="1768"/>
        <item sd="0" x="1769"/>
        <item sd="0" x="1770"/>
        <item sd="0" x="1771"/>
        <item sd="0" x="1772"/>
        <item sd="0" x="1773"/>
        <item sd="0" x="1774"/>
        <item sd="0" x="1775"/>
        <item sd="0" x="1776"/>
        <item sd="0" x="1777"/>
        <item sd="0" x="1778"/>
        <item sd="0" x="1779"/>
        <item sd="0" x="1780"/>
        <item sd="0" x="1781"/>
        <item sd="0" x="1782"/>
        <item sd="0" x="1783"/>
        <item sd="0" x="1784"/>
        <item sd="0" x="1785"/>
        <item sd="0" x="1786"/>
        <item sd="0" x="1787"/>
        <item sd="0" x="1788"/>
        <item sd="0" x="1789"/>
        <item sd="0" x="1790"/>
        <item sd="0" x="1791"/>
        <item sd="0" x="1792"/>
        <item sd="0" x="1793"/>
        <item sd="0" x="1794"/>
        <item sd="0" x="1795"/>
        <item sd="0" x="1796"/>
        <item sd="0" x="1797"/>
        <item sd="0" x="1798"/>
        <item sd="0" x="1799"/>
        <item sd="0" x="1800"/>
        <item sd="0" x="1801"/>
        <item sd="0" x="1802"/>
        <item sd="0" x="1803"/>
        <item sd="0" x="1804"/>
        <item sd="0" x="1805"/>
        <item sd="0" x="1806"/>
        <item sd="0" x="1807"/>
        <item sd="0" x="1808"/>
        <item sd="0" x="1809"/>
        <item sd="0" x="1810"/>
        <item sd="0" x="1811"/>
        <item sd="0" x="1812"/>
        <item sd="0" x="1813"/>
        <item sd="0" x="1814"/>
        <item sd="0" x="1815"/>
        <item sd="0" x="1816"/>
        <item sd="0" x="1817"/>
        <item sd="0" x="1818"/>
        <item sd="0" x="1819"/>
        <item sd="0" x="1820"/>
        <item sd="0" x="1821"/>
        <item sd="0" x="1822"/>
        <item sd="0" x="1823"/>
        <item sd="0" x="1824"/>
        <item sd="0" x="1825"/>
        <item sd="0" x="1826"/>
        <item sd="0" x="1827"/>
        <item sd="0" x="1828"/>
        <item sd="0" x="1829"/>
        <item sd="0" x="1830"/>
        <item sd="0" x="1831"/>
        <item sd="0" x="1832"/>
        <item sd="0" x="1833"/>
        <item sd="0" x="1834"/>
        <item sd="0" x="1835"/>
        <item sd="0" x="1836"/>
        <item sd="0" x="1837"/>
        <item sd="0" x="1838"/>
        <item sd="0" x="1839"/>
        <item sd="0" x="1840"/>
        <item sd="0" x="1841"/>
        <item sd="0" x="1842"/>
        <item sd="0" x="1843"/>
        <item sd="0" x="1844"/>
        <item sd="0" x="1845"/>
        <item sd="0" x="1846"/>
        <item sd="0" x="1847"/>
        <item sd="0" x="1848"/>
        <item sd="0" x="1849"/>
        <item sd="0" x="1850"/>
        <item sd="0" x="1851"/>
        <item sd="0" x="1852"/>
        <item sd="0" x="1853"/>
        <item sd="0" x="1854"/>
        <item sd="0" x="1855"/>
        <item sd="0" x="1856"/>
        <item sd="0" x="1857"/>
        <item sd="0" x="1858"/>
        <item sd="0" x="1859"/>
        <item sd="0" x="1860"/>
        <item sd="0" x="1861"/>
        <item sd="0" x="1862"/>
        <item sd="0" x="1863"/>
        <item sd="0" x="1864"/>
        <item sd="0" x="1865"/>
        <item sd="0" x="1866"/>
        <item sd="0" x="1867"/>
        <item sd="0" x="1868"/>
        <item sd="0" x="1869"/>
        <item sd="0" x="1870"/>
        <item sd="0" x="1871"/>
        <item sd="0" x="1872"/>
        <item sd="0" x="1873"/>
        <item sd="0" x="1874"/>
        <item sd="0" x="1875"/>
        <item sd="0" x="1876"/>
        <item sd="0" x="1877"/>
        <item sd="0" x="1878"/>
        <item sd="0" x="1879"/>
        <item sd="0" x="1880"/>
        <item sd="0" x="1881"/>
        <item sd="0" x="1882"/>
        <item sd="0" x="1883"/>
        <item sd="0" x="1884"/>
        <item sd="0" x="1885"/>
        <item sd="0" x="1886"/>
        <item sd="0" x="1887"/>
        <item sd="0" x="1888"/>
        <item sd="0" x="1889"/>
        <item sd="0" x="1890"/>
        <item sd="0" x="1891"/>
        <item sd="0" x="1892"/>
        <item sd="0" x="1893"/>
        <item sd="0" x="1894"/>
        <item sd="0" x="1895"/>
        <item sd="0" x="1896"/>
        <item sd="0" x="1897"/>
        <item sd="0" x="1898"/>
        <item sd="0" x="1899"/>
        <item sd="0" x="1900"/>
        <item sd="0" x="1901"/>
        <item sd="0" x="1902"/>
        <item sd="0" x="1903"/>
        <item sd="0" x="1904"/>
        <item sd="0" x="1905"/>
        <item sd="0" x="1906"/>
        <item sd="0" x="1907"/>
        <item sd="0" x="1908"/>
        <item sd="0" x="1909"/>
        <item sd="0" x="1910"/>
        <item sd="0" x="1911"/>
        <item sd="0" x="1912"/>
        <item sd="0" x="1913"/>
        <item sd="0" x="1914"/>
        <item sd="0" x="1915"/>
        <item sd="0" x="1916"/>
        <item sd="0" x="1917"/>
        <item sd="0" x="1918"/>
        <item sd="0" x="1919"/>
        <item sd="0" x="1920"/>
        <item sd="0" x="1921"/>
        <item sd="0" x="1922"/>
        <item sd="0" x="1923"/>
        <item sd="0" x="1924"/>
        <item sd="0" x="1925"/>
        <item sd="0" x="1926"/>
        <item sd="0" x="1927"/>
        <item sd="0" x="1928"/>
        <item sd="0" x="1929"/>
        <item sd="0" x="1930"/>
        <item sd="0" x="1931"/>
        <item sd="0" x="1932"/>
        <item sd="0" x="1933"/>
        <item sd="0" x="1934"/>
        <item sd="0" x="1935"/>
        <item sd="0" x="1936"/>
        <item sd="0" x="1937"/>
        <item sd="0" x="1938"/>
        <item sd="0" x="1939"/>
        <item sd="0" x="1940"/>
        <item sd="0" x="1941"/>
        <item sd="0" x="1942"/>
        <item sd="0" x="1943"/>
        <item sd="0" x="1944"/>
        <item sd="0" x="1945"/>
        <item sd="0" x="1946"/>
        <item sd="0" x="1947"/>
        <item sd="0" x="1948"/>
        <item sd="0" x="1949"/>
        <item sd="0" x="1950"/>
        <item sd="0" x="1951"/>
        <item sd="0" x="1952"/>
        <item sd="0" x="1953"/>
        <item sd="0" x="1954"/>
        <item sd="0" x="1955"/>
        <item sd="0" x="1956"/>
        <item sd="0" x="1957"/>
        <item sd="0" x="1958"/>
        <item sd="0" x="1959"/>
        <item sd="0" x="1960"/>
        <item sd="0" x="1961"/>
        <item sd="0" x="1962"/>
        <item sd="0" x="1963"/>
        <item sd="0" x="1964"/>
        <item sd="0" x="1965"/>
        <item sd="0" x="1966"/>
        <item sd="0" x="1967"/>
        <item sd="0" x="1968"/>
        <item sd="0" x="1969"/>
        <item sd="0" x="1970"/>
        <item sd="0" x="1971"/>
        <item sd="0" x="1972"/>
        <item sd="0" x="1973"/>
        <item sd="0" x="1974"/>
        <item sd="0" x="1975"/>
        <item sd="0" x="1976"/>
        <item sd="0" x="1977"/>
        <item sd="0" x="1978"/>
        <item sd="0" x="1979"/>
        <item sd="0" x="1980"/>
        <item sd="0" x="1981"/>
        <item sd="0" x="1982"/>
        <item sd="0" x="1983"/>
        <item sd="0" x="1984"/>
        <item sd="0" x="1985"/>
        <item sd="0" x="1986"/>
        <item sd="0" x="1987"/>
        <item sd="0" x="1988"/>
        <item sd="0" x="1989"/>
        <item sd="0" x="1990"/>
        <item sd="0" x="1991"/>
        <item sd="0" x="1992"/>
        <item sd="0" x="1993"/>
        <item sd="0" x="1994"/>
        <item sd="0" x="1995"/>
        <item sd="0" x="1996"/>
        <item sd="0" x="1997"/>
        <item sd="0" x="1998"/>
        <item sd="0" x="1999"/>
        <item sd="0" x="2000"/>
        <item sd="0" x="2001"/>
        <item sd="0" x="2002"/>
        <item sd="0" x="2003"/>
        <item sd="0" x="2004"/>
        <item sd="0" x="2005"/>
        <item sd="0" x="2006"/>
        <item sd="0" x="2007"/>
        <item sd="0" x="2008"/>
        <item sd="0" x="2009"/>
        <item sd="0" x="2010"/>
        <item sd="0" x="2011"/>
        <item sd="0" x="2012"/>
        <item sd="0" x="2013"/>
        <item sd="0" x="2014"/>
        <item sd="0" x="2015"/>
        <item sd="0" x="2016"/>
        <item sd="0" x="2017"/>
        <item sd="0" x="2018"/>
        <item sd="0" x="2019"/>
        <item sd="0" x="2020"/>
        <item sd="0" x="2021"/>
        <item sd="0" x="2022"/>
        <item sd="0" x="2023"/>
        <item sd="0" x="2024"/>
        <item sd="0" x="2025"/>
        <item sd="0" x="2026"/>
        <item sd="0" x="2027"/>
        <item sd="0" x="2028"/>
        <item sd="0" x="2029"/>
        <item sd="0" x="2030"/>
        <item sd="0" x="2031"/>
        <item sd="0" x="2032"/>
        <item sd="0" x="2033"/>
        <item sd="0" x="2034"/>
        <item sd="0" x="2035"/>
        <item sd="0" x="2036"/>
        <item sd="0" x="2037"/>
        <item sd="0" x="2038"/>
        <item sd="0" x="2039"/>
        <item sd="0" x="2040"/>
        <item sd="0" x="2041"/>
        <item sd="0" x="2042"/>
        <item sd="0" x="2043"/>
        <item sd="0" x="2044"/>
        <item sd="0" x="2045"/>
        <item sd="0" x="2046"/>
        <item sd="0" x="2047"/>
        <item sd="0" x="2048"/>
        <item sd="0" x="2049"/>
        <item sd="0" x="2050"/>
        <item sd="0" x="2051"/>
        <item sd="0" x="2052"/>
        <item sd="0" x="2053"/>
        <item sd="0" x="2054"/>
        <item sd="0" x="2055"/>
        <item sd="0" x="2056"/>
        <item sd="0" x="2057"/>
        <item sd="0" x="2058"/>
        <item sd="0" x="2059"/>
        <item sd="0" x="2060"/>
        <item sd="0" x="2061"/>
        <item sd="0" x="2062"/>
        <item sd="0" x="2063"/>
        <item sd="0" x="2064"/>
        <item sd="0" x="2065"/>
        <item sd="0" x="2066"/>
        <item sd="0" x="2067"/>
        <item sd="0" x="2068"/>
        <item sd="0" x="2069"/>
        <item sd="0" x="2070"/>
        <item sd="0" x="2071"/>
        <item sd="0" x="2072"/>
        <item sd="0" x="2073"/>
        <item sd="0" x="2074"/>
        <item sd="0" x="2075"/>
        <item sd="0" x="2076"/>
        <item sd="0" x="2077"/>
        <item sd="0" x="2078"/>
        <item sd="0" x="2079"/>
        <item sd="0" x="2080"/>
        <item sd="0" x="2081"/>
        <item sd="0" x="2082"/>
        <item sd="0" x="2083"/>
        <item sd="0" x="2084"/>
        <item sd="0" x="2085"/>
        <item sd="0" x="2086"/>
        <item sd="0" x="2087"/>
        <item sd="0" x="2088"/>
        <item sd="0" x="2089"/>
        <item sd="0" x="2090"/>
        <item sd="0" x="2091"/>
        <item sd="0" x="2092"/>
        <item sd="0" x="2093"/>
        <item sd="0" x="2094"/>
        <item sd="0" x="2095"/>
        <item sd="0" x="2096"/>
        <item sd="0" x="2097"/>
        <item sd="0" x="2098"/>
        <item sd="0" x="2099"/>
        <item sd="0" x="2100"/>
        <item sd="0" x="2101"/>
        <item sd="0" x="2102"/>
        <item sd="0" x="2103"/>
        <item sd="0" x="2104"/>
        <item sd="0" x="2105"/>
        <item sd="0" x="2106"/>
        <item sd="0" x="2107"/>
        <item sd="0" x="2108"/>
        <item sd="0" x="2109"/>
        <item sd="0" x="2110"/>
        <item sd="0" x="2111"/>
        <item sd="0" x="2112"/>
        <item sd="0" x="2113"/>
        <item sd="0" x="2114"/>
        <item sd="0" x="2115"/>
        <item sd="0" x="2116"/>
        <item sd="0" x="2117"/>
        <item sd="0" x="2118"/>
        <item sd="0" x="2119"/>
        <item sd="0" x="2120"/>
        <item sd="0" x="2121"/>
        <item sd="0" x="2122"/>
        <item sd="0" x="2123"/>
        <item sd="0" x="2124"/>
        <item sd="0" x="2125"/>
        <item sd="0" x="2126"/>
        <item sd="0" x="2127"/>
        <item sd="0" x="2128"/>
        <item sd="0" x="2129"/>
        <item sd="0" x="2130"/>
        <item sd="0" x="2131"/>
        <item sd="0" x="2132"/>
        <item sd="0" x="2133"/>
        <item sd="0" x="2134"/>
        <item sd="0" x="2135"/>
        <item sd="0" x="2136"/>
        <item sd="0" x="2137"/>
        <item sd="0" x="2138"/>
        <item sd="0" x="2139"/>
        <item sd="0" x="2140"/>
        <item sd="0" x="2141"/>
        <item sd="0" x="2142"/>
        <item sd="0" x="2143"/>
        <item sd="0" x="2144"/>
        <item sd="0" x="2145"/>
        <item sd="0" x="2146"/>
        <item sd="0" x="2147"/>
        <item sd="0" x="2148"/>
        <item sd="0" x="2149"/>
        <item sd="0" x="2150"/>
        <item sd="0" x="2151"/>
        <item sd="0" x="2152"/>
        <item sd="0" x="2153"/>
        <item sd="0" x="2154"/>
        <item sd="0" x="2155"/>
        <item sd="0" x="2156"/>
        <item sd="0" x="2157"/>
        <item sd="0" x="2158"/>
        <item sd="0" x="2159"/>
        <item sd="0" x="2160"/>
        <item sd="0" x="2161"/>
        <item sd="0" x="2162"/>
        <item sd="0" x="2163"/>
        <item sd="0" x="2164"/>
        <item sd="0" x="2165"/>
        <item sd="0" x="2166"/>
        <item sd="0" x="2167"/>
        <item sd="0" x="2168"/>
        <item sd="0" x="2169"/>
        <item sd="0" x="2170"/>
        <item sd="0" x="2171"/>
        <item sd="0" x="2172"/>
        <item sd="0" x="2173"/>
        <item sd="0" x="2174"/>
        <item sd="0" x="2175"/>
        <item sd="0" x="2176"/>
        <item sd="0" x="2177"/>
        <item sd="0" x="2178"/>
        <item sd="0" x="2179"/>
        <item sd="0" x="2180"/>
        <item sd="0" x="2181"/>
        <item sd="0" x="2182"/>
        <item sd="0" x="2183"/>
        <item sd="0" x="2184"/>
        <item sd="0" x="2185"/>
        <item sd="0" x="2186"/>
        <item sd="0" x="2187"/>
        <item sd="0" x="2188"/>
        <item sd="0" x="2189"/>
        <item sd="0" x="2190"/>
        <item sd="0" x="2191"/>
        <item sd="0" x="2192"/>
        <item sd="0" x="2193"/>
        <item sd="0" x="2194"/>
        <item sd="0" x="2195"/>
        <item sd="0" x="2196"/>
        <item sd="0" x="2197"/>
        <item sd="0" x="2198"/>
        <item sd="0" x="2199"/>
        <item sd="0" x="2200"/>
        <item sd="0" x="2201"/>
        <item sd="0" x="2202"/>
        <item sd="0" x="2203"/>
        <item sd="0" x="2204"/>
        <item sd="0" x="2205"/>
        <item sd="0" x="2206"/>
        <item sd="0" x="2207"/>
        <item sd="0" x="2208"/>
        <item sd="0" x="2209"/>
        <item sd="0" x="2210"/>
        <item sd="0" x="2211"/>
        <item sd="0" x="2212"/>
        <item sd="0" x="2213"/>
        <item sd="0" x="2214"/>
        <item sd="0" x="2215"/>
        <item sd="0" x="2216"/>
        <item sd="0" x="2217"/>
        <item sd="0" x="2218"/>
        <item sd="0" x="2219"/>
        <item sd="0" x="2220"/>
        <item sd="0" x="2221"/>
        <item sd="0" x="2222"/>
        <item sd="0" x="2223"/>
        <item sd="0" x="2224"/>
        <item sd="0" x="2225"/>
        <item sd="0" x="2226"/>
        <item sd="0" x="2227"/>
        <item sd="0" x="2228"/>
        <item sd="0" x="2229"/>
        <item sd="0" x="2230"/>
        <item sd="0" x="2231"/>
        <item sd="0" x="2232"/>
        <item sd="0" x="2233"/>
        <item sd="0" x="2234"/>
        <item sd="0" x="2235"/>
        <item sd="0" x="2236"/>
        <item sd="0" x="2237"/>
        <item sd="0" x="2238"/>
        <item sd="0" x="2239"/>
        <item sd="0" x="2240"/>
        <item sd="0" x="2241"/>
        <item sd="0" x="2242"/>
        <item sd="0" x="2243"/>
        <item sd="0" x="2244"/>
        <item sd="0" x="2245"/>
        <item sd="0" x="2246"/>
        <item sd="0" x="2247"/>
        <item sd="0" x="2248"/>
        <item sd="0" x="2249"/>
        <item sd="0" x="2250"/>
        <item sd="0" x="2251"/>
        <item sd="0" x="2252"/>
        <item sd="0" x="2253"/>
        <item sd="0" x="2254"/>
        <item sd="0" x="2255"/>
        <item sd="0" x="2256"/>
        <item sd="0" x="2257"/>
        <item sd="0" x="2258"/>
        <item sd="0" x="2259"/>
        <item sd="0" x="2260"/>
        <item sd="0" x="2261"/>
        <item sd="0" x="2262"/>
        <item sd="0" x="2263"/>
        <item sd="0" x="2264"/>
        <item sd="0" x="2265"/>
        <item sd="0" x="2266"/>
        <item sd="0" x="2267"/>
        <item sd="0" x="2268"/>
        <item sd="0" x="2269"/>
        <item sd="0" x="2270"/>
        <item sd="0" x="2271"/>
        <item sd="0" x="2272"/>
        <item sd="0" x="2273"/>
        <item sd="0" x="2274"/>
        <item sd="0" x="2275"/>
        <item sd="0" x="2276"/>
        <item sd="0" x="2277"/>
        <item sd="0" x="2278"/>
        <item sd="0" x="2279"/>
        <item sd="0" x="2280"/>
        <item sd="0" x="2281"/>
        <item sd="0" x="2282"/>
        <item sd="0" x="2283"/>
        <item sd="0" x="2284"/>
        <item sd="0" x="2285"/>
        <item sd="0" x="2286"/>
        <item sd="0" x="2287"/>
        <item sd="0" x="2288"/>
        <item sd="0" x="2289"/>
        <item sd="0" x="2290"/>
        <item sd="0" x="2291"/>
        <item sd="0" x="2292"/>
        <item sd="0" x="2293"/>
        <item sd="0" x="2294"/>
        <item sd="0" x="2295"/>
        <item sd="0" x="2296"/>
        <item sd="0" x="2297"/>
        <item sd="0" x="2298"/>
        <item sd="0" x="2299"/>
        <item sd="0" x="2300"/>
        <item sd="0" x="2301"/>
        <item sd="0" x="2302"/>
        <item sd="0" x="2303"/>
        <item sd="0" x="2304"/>
        <item sd="0" x="2305"/>
        <item sd="0" x="2306"/>
        <item sd="0" x="2307"/>
        <item sd="0" x="2308"/>
        <item sd="0" x="2309"/>
        <item sd="0" x="2310"/>
        <item sd="0" x="2311"/>
        <item sd="0" x="2312"/>
        <item sd="0" x="2313"/>
        <item sd="0" x="2314"/>
        <item sd="0" x="2315"/>
        <item sd="0" x="2316"/>
        <item sd="0" x="2317"/>
        <item sd="0" x="2318"/>
        <item sd="0" x="2319"/>
        <item sd="0" x="2320"/>
        <item sd="0" x="2321"/>
        <item sd="0" x="2322"/>
        <item sd="0" x="2323"/>
        <item sd="0" x="2324"/>
        <item sd="0" x="2325"/>
        <item sd="0" x="2326"/>
        <item sd="0" x="2327"/>
        <item sd="0" x="2328"/>
        <item sd="0" x="2329"/>
        <item sd="0" x="2330"/>
        <item sd="0" x="2331"/>
        <item sd="0" x="2332"/>
        <item sd="0" x="2333"/>
        <item sd="0" x="2334"/>
        <item sd="0" x="2335"/>
        <item sd="0" x="2336"/>
        <item sd="0" x="2337"/>
        <item sd="0" x="2338"/>
        <item sd="0" x="2339"/>
        <item sd="0" x="2340"/>
        <item sd="0" x="2341"/>
        <item sd="0" x="2342"/>
        <item sd="0" x="2343"/>
        <item sd="0" x="2344"/>
        <item sd="0" x="2345"/>
        <item sd="0" x="2346"/>
        <item sd="0" x="2347"/>
        <item sd="0" x="2348"/>
        <item sd="0" x="2349"/>
        <item sd="0" x="2350"/>
        <item sd="0" x="2351"/>
        <item sd="0" x="2352"/>
        <item sd="0" x="2353"/>
        <item sd="0" x="2354"/>
        <item sd="0" x="2355"/>
        <item sd="0" x="2356"/>
        <item sd="0" x="2357"/>
        <item sd="0" x="2358"/>
        <item sd="0" x="2359"/>
        <item sd="0" x="2360"/>
        <item sd="0" x="2361"/>
        <item sd="0" x="2362"/>
        <item sd="0" x="2363"/>
        <item sd="0" x="2364"/>
        <item sd="0" x="2365"/>
        <item sd="0" x="2366"/>
        <item sd="0" x="2367"/>
        <item sd="0" x="2368"/>
        <item sd="0" x="2369"/>
        <item sd="0" x="2370"/>
        <item sd="0" x="2371"/>
        <item sd="0" x="2372"/>
        <item sd="0" x="2373"/>
        <item sd="0" x="2374"/>
        <item sd="0" x="2375"/>
        <item sd="0" x="2376"/>
        <item sd="0" x="2377"/>
        <item sd="0" x="2378"/>
        <item sd="0" x="2379"/>
        <item sd="0" x="2380"/>
        <item sd="0" x="2381"/>
        <item sd="0" x="2382"/>
        <item sd="0" x="2383"/>
        <item sd="0" x="2384"/>
        <item sd="0" x="2385"/>
        <item sd="0" x="2386"/>
        <item sd="0" x="2387"/>
        <item sd="0" x="2388"/>
        <item sd="0" x="2389"/>
        <item sd="0" x="2390"/>
        <item sd="0" x="2391"/>
        <item sd="0" x="2392"/>
        <item sd="0" x="2393"/>
        <item sd="0" x="2394"/>
        <item sd="0" x="2395"/>
        <item sd="0" x="2396"/>
        <item sd="0" x="2397"/>
        <item sd="0" x="2398"/>
        <item sd="0" x="2399"/>
        <item sd="0" x="2400"/>
        <item sd="0" x="2401"/>
        <item sd="0" x="2402"/>
        <item sd="0" x="2403"/>
        <item sd="0" x="2404"/>
        <item sd="0" x="2405"/>
        <item sd="0" x="2406"/>
        <item sd="0" x="2407"/>
        <item sd="0" x="2408"/>
        <item sd="0" x="2409"/>
        <item sd="0" x="2410"/>
        <item sd="0" x="2411"/>
        <item sd="0" x="2412"/>
        <item sd="0" x="2413"/>
        <item sd="0" x="2414"/>
        <item sd="0" x="2415"/>
        <item sd="0" x="2416"/>
        <item sd="0" x="2417"/>
        <item sd="0" x="2418"/>
        <item sd="0" x="2419"/>
        <item sd="0" x="2420"/>
        <item sd="0" x="2421"/>
        <item sd="0" x="2422"/>
        <item sd="0" x="2423"/>
        <item sd="0" x="2424"/>
        <item sd="0" x="2425"/>
        <item sd="0" x="2426"/>
        <item sd="0" x="2427"/>
        <item sd="0" x="2428"/>
        <item sd="0" x="2429"/>
        <item sd="0" x="2430"/>
        <item sd="0" x="2431"/>
        <item sd="0" x="2432"/>
        <item sd="0" x="2433"/>
        <item sd="0" x="2434"/>
        <item sd="0" x="2435"/>
        <item sd="0" x="2436"/>
        <item sd="0" x="2437"/>
        <item sd="0" x="2438"/>
        <item sd="0" x="2439"/>
        <item sd="0" x="2440"/>
        <item sd="0" x="2441"/>
        <item sd="0" x="2442"/>
        <item sd="0" x="2443"/>
        <item sd="0" x="2444"/>
        <item sd="0" x="2445"/>
        <item sd="0" x="2446"/>
        <item sd="0" x="2447"/>
        <item sd="0" x="2448"/>
        <item sd="0" x="2449"/>
        <item sd="0" x="2450"/>
        <item sd="0" x="2451"/>
        <item sd="0" x="2452"/>
        <item sd="0" x="2453"/>
        <item sd="0" x="2454"/>
        <item sd="0" x="2455"/>
        <item sd="0" x="2456"/>
        <item sd="0" x="2457"/>
        <item sd="0" x="2458"/>
        <item sd="0" x="2459"/>
        <item sd="0" x="2460"/>
        <item sd="0" x="2461"/>
        <item sd="0" x="2462"/>
        <item sd="0" x="2463"/>
        <item sd="0" x="2464"/>
        <item sd="0" x="2465"/>
        <item sd="0" x="2466"/>
        <item sd="0" x="2467"/>
        <item sd="0" x="2468"/>
        <item sd="0" x="2469"/>
        <item sd="0" x="2470"/>
        <item sd="0" x="2471"/>
        <item sd="0" x="2472"/>
        <item sd="0" x="2473"/>
        <item sd="0" x="2474"/>
        <item sd="0" x="2475"/>
        <item sd="0" x="2476"/>
        <item sd="0" x="2477"/>
        <item sd="0" x="2478"/>
        <item sd="0" x="2479"/>
        <item sd="0" x="2480"/>
        <item sd="0" x="2481"/>
        <item sd="0" x="2482"/>
        <item sd="0" x="2483"/>
        <item sd="0" x="2484"/>
        <item sd="0" x="2485"/>
        <item sd="0" x="2486"/>
        <item sd="0" x="2487"/>
        <item sd="0" x="2488"/>
        <item sd="0" x="2489"/>
        <item sd="0" x="2490"/>
        <item sd="0" x="2491"/>
        <item sd="0" x="2492"/>
        <item sd="0" x="2493"/>
        <item sd="0" x="2494"/>
        <item sd="0" x="2495"/>
        <item sd="0" x="2496"/>
        <item sd="0" x="2497"/>
        <item sd="0" x="2498"/>
        <item sd="0" x="2499"/>
        <item sd="0" x="2500"/>
        <item sd="0" x="2501"/>
        <item sd="0" x="2502"/>
        <item sd="0" x="2503"/>
        <item sd="0" x="2504"/>
        <item sd="0" x="2505"/>
        <item sd="0" x="2506"/>
        <item sd="0" x="2507"/>
        <item sd="0" x="2508"/>
        <item sd="0" x="2509"/>
        <item sd="0" x="2510"/>
        <item sd="0" x="2511"/>
        <item sd="0" x="2512"/>
        <item sd="0" x="2513"/>
        <item sd="0" x="2514"/>
        <item sd="0" x="2515"/>
        <item sd="0" x="2516"/>
        <item sd="0" x="2517"/>
        <item sd="0" x="2518"/>
        <item sd="0" x="2519"/>
        <item sd="0" x="2520"/>
        <item sd="0" x="2521"/>
        <item sd="0" x="2522"/>
        <item sd="0" x="2523"/>
        <item sd="0" x="2524"/>
        <item sd="0" x="2525"/>
        <item sd="0" x="2526"/>
        <item sd="0" x="2527"/>
        <item sd="0" x="2528"/>
        <item sd="0" x="2529"/>
        <item sd="0" x="2530"/>
        <item sd="0" x="2531"/>
        <item sd="0" x="2532"/>
        <item sd="0" x="2533"/>
        <item sd="0" x="2534"/>
        <item sd="0" x="2535"/>
        <item sd="0" x="2536"/>
        <item sd="0" x="2537"/>
        <item sd="0" x="2538"/>
        <item sd="0" x="2539"/>
        <item sd="0" x="2540"/>
        <item sd="0" x="2541"/>
        <item sd="0" x="2542"/>
        <item sd="0" x="2543"/>
        <item sd="0" x="2544"/>
        <item sd="0" x="2545"/>
        <item sd="0" x="2546"/>
        <item sd="0" x="2547"/>
        <item sd="0" x="2548"/>
        <item sd="0" x="2549"/>
        <item sd="0" x="2550"/>
        <item sd="0" x="2551"/>
        <item sd="0" x="2552"/>
        <item sd="0" x="2553"/>
        <item sd="0" x="2554"/>
        <item sd="0" x="2555"/>
        <item sd="0" x="2556"/>
        <item sd="0" x="2557"/>
        <item sd="0" x="2558"/>
        <item sd="0" x="2559"/>
        <item sd="0" x="2560"/>
        <item sd="0" x="2561"/>
        <item sd="0" x="2562"/>
        <item sd="0" x="2563"/>
        <item sd="0" x="2564"/>
        <item sd="0" x="2565"/>
        <item sd="0" x="2566"/>
        <item sd="0" x="2567"/>
        <item sd="0" x="2568"/>
        <item sd="0" x="2569"/>
        <item sd="0" x="2570"/>
        <item sd="0" x="2571"/>
        <item sd="0" x="2572"/>
        <item sd="0" x="2573"/>
        <item sd="0" x="2574"/>
        <item sd="0" x="2575"/>
        <item sd="0" x="2576"/>
        <item sd="0" x="2577"/>
        <item sd="0" x="2578"/>
        <item sd="0" x="2579"/>
        <item sd="0" x="2580"/>
        <item sd="0" x="2581"/>
        <item sd="0" x="2582"/>
        <item sd="0" x="2583"/>
        <item sd="0" x="2584"/>
        <item sd="0" x="2585"/>
        <item sd="0" x="2586"/>
        <item sd="0" x="2587"/>
        <item sd="0" x="2588"/>
        <item sd="0" x="2589"/>
        <item sd="0" x="2590"/>
        <item sd="0" x="2591"/>
        <item sd="0" x="2592"/>
        <item sd="0" x="2593"/>
        <item sd="0" x="2594"/>
        <item sd="0" x="2595"/>
        <item sd="0" x="2596"/>
        <item sd="0" x="2597"/>
        <item sd="0" x="2598"/>
        <item sd="0" x="2599"/>
        <item sd="0" x="2600"/>
        <item sd="0" x="2601"/>
        <item sd="0" x="2602"/>
        <item sd="0" x="2603"/>
        <item sd="0" x="2604"/>
        <item sd="0" x="2605"/>
        <item sd="0" x="2606"/>
        <item sd="0" x="2607"/>
        <item sd="0" x="2608"/>
        <item sd="0" x="2609"/>
        <item sd="0" x="2610"/>
        <item sd="0" x="2611"/>
        <item sd="0" x="2612"/>
        <item sd="0" x="2613"/>
        <item sd="0" x="2614"/>
        <item sd="0" x="2615"/>
        <item sd="0" x="2616"/>
        <item sd="0" x="2617"/>
        <item sd="0" x="2618"/>
        <item sd="0" x="2619"/>
        <item sd="0" x="2620"/>
        <item sd="0" x="2621"/>
        <item sd="0" x="2622"/>
        <item sd="0" x="2623"/>
        <item sd="0" x="2624"/>
        <item sd="0" x="2625"/>
        <item sd="0" x="2626"/>
        <item sd="0" x="2627"/>
        <item sd="0" x="2628"/>
        <item sd="0" x="2629"/>
        <item sd="0" x="2630"/>
        <item sd="0" x="2631"/>
        <item sd="0" x="2632"/>
        <item sd="0" x="2633"/>
        <item sd="0" x="2634"/>
        <item sd="0" x="2635"/>
        <item sd="0" x="2636"/>
        <item sd="0" x="2637"/>
        <item sd="0" x="2638"/>
        <item sd="0" x="2639"/>
        <item sd="0" x="2640"/>
        <item sd="0" x="2641"/>
        <item sd="0" x="2642"/>
        <item sd="0" x="2643"/>
        <item sd="0" x="2644"/>
        <item sd="0" x="2645"/>
        <item sd="0" x="2646"/>
        <item sd="0" x="2647"/>
        <item sd="0" x="2648"/>
        <item sd="0" x="2649"/>
        <item sd="0" x="2650"/>
        <item sd="0" x="2651"/>
        <item sd="0" x="2652"/>
        <item sd="0" x="2653"/>
        <item sd="0" x="2654"/>
        <item sd="0" x="2655"/>
        <item sd="0" x="2656"/>
        <item sd="0" x="2657"/>
        <item sd="0" x="2658"/>
        <item sd="0" x="2659"/>
        <item sd="0" x="2660"/>
        <item sd="0" x="2661"/>
        <item sd="0" x="2662"/>
        <item sd="0" x="2663"/>
        <item sd="0" x="2664"/>
        <item sd="0" x="2665"/>
        <item sd="0" x="2666"/>
        <item sd="0" x="2667"/>
        <item sd="0" x="2668"/>
        <item sd="0" x="2669"/>
        <item sd="0" x="2670"/>
        <item sd="0" x="2671"/>
        <item sd="0" x="2672"/>
        <item sd="0" x="2673"/>
        <item sd="0" x="2674"/>
        <item sd="0" x="2675"/>
        <item sd="0" x="2676"/>
        <item sd="0" x="2677"/>
        <item sd="0" x="2678"/>
        <item sd="0" x="2679"/>
        <item sd="0" x="2680"/>
        <item sd="0" x="2681"/>
        <item sd="0" x="2682"/>
        <item sd="0" x="2683"/>
        <item sd="0" x="2684"/>
        <item sd="0" x="2685"/>
        <item sd="0" x="2686"/>
        <item sd="0" x="2687"/>
        <item sd="0" x="2688"/>
        <item sd="0" x="2689"/>
        <item sd="0" x="2690"/>
        <item sd="0" x="2691"/>
        <item sd="0" x="2692"/>
        <item sd="0" x="2693"/>
        <item sd="0" x="2694"/>
        <item sd="0" x="2695"/>
        <item sd="0" x="2696"/>
        <item sd="0" x="2697"/>
        <item sd="0" x="2698"/>
        <item sd="0" x="2699"/>
        <item sd="0" x="2700"/>
        <item sd="0" x="2701"/>
        <item sd="0" x="2702"/>
        <item sd="0" x="2703"/>
        <item sd="0" x="2704"/>
        <item sd="0" x="2705"/>
        <item sd="0" x="2706"/>
        <item sd="0" x="2707"/>
        <item sd="0" x="2708"/>
        <item sd="0" x="2709"/>
        <item sd="0" x="2710"/>
        <item sd="0" x="2711"/>
        <item sd="0" x="2712"/>
        <item sd="0" x="2713"/>
        <item sd="0" x="2714"/>
        <item sd="0" x="2715"/>
        <item sd="0" x="2716"/>
        <item sd="0" x="2717"/>
        <item sd="0" x="2718"/>
        <item sd="0" x="2719"/>
        <item sd="0" x="2720"/>
        <item sd="0" x="2721"/>
        <item sd="0" x="2722"/>
        <item sd="0" x="2723"/>
        <item sd="0" x="2724"/>
        <item sd="0" x="2725"/>
        <item sd="0" x="2726"/>
        <item sd="0" x="2727"/>
        <item sd="0" x="2728"/>
        <item sd="0" x="2729"/>
        <item sd="0" x="2730"/>
        <item sd="0" x="2731"/>
        <item sd="0" x="2732"/>
        <item sd="0" x="2733"/>
        <item sd="0" x="2734"/>
        <item sd="0" x="2735"/>
        <item sd="0" x="2736"/>
        <item sd="0" x="2737"/>
        <item sd="0" x="2738"/>
        <item sd="0" x="2739"/>
        <item sd="0" x="2740"/>
        <item sd="0" x="2741"/>
        <item sd="0" x="2742"/>
        <item sd="0" x="2743"/>
        <item sd="0" x="2744"/>
        <item sd="0" x="2745"/>
        <item sd="0" x="2746"/>
        <item sd="0" x="2747"/>
        <item sd="0" x="2748"/>
        <item sd="0" x="2749"/>
        <item sd="0" x="2750"/>
        <item sd="0" x="2751"/>
        <item sd="0" x="2752"/>
        <item sd="0" x="2753"/>
        <item sd="0" x="2754"/>
        <item sd="0" x="2755"/>
        <item sd="0" x="2756"/>
        <item sd="0" x="2757"/>
        <item sd="0" x="2758"/>
        <item sd="0" x="2759"/>
        <item sd="0" x="2760"/>
        <item sd="0" x="2761"/>
        <item sd="0" x="2762"/>
        <item sd="0" x="2763"/>
        <item sd="0" x="2764"/>
        <item sd="0" x="2765"/>
        <item sd="0" x="2766"/>
        <item sd="0" x="2767"/>
        <item sd="0" x="2768"/>
        <item sd="0" x="2769"/>
        <item sd="0" x="2770"/>
        <item sd="0" x="2771"/>
        <item sd="0" x="2772"/>
        <item sd="0" x="2773"/>
        <item sd="0" x="2774"/>
        <item sd="0" x="2775"/>
        <item sd="0" x="2776"/>
        <item sd="0" x="2777"/>
        <item sd="0" x="2778"/>
        <item sd="0" x="2779"/>
        <item sd="0" x="2780"/>
        <item sd="0" x="2781"/>
        <item sd="0" x="2782"/>
        <item sd="0" x="2783"/>
        <item sd="0" x="2784"/>
        <item sd="0" x="2785"/>
        <item sd="0" x="2786"/>
        <item sd="0" x="2787"/>
        <item sd="0" x="2788"/>
        <item sd="0" x="2789"/>
        <item sd="0" x="2790"/>
        <item sd="0" x="2791"/>
        <item sd="0" x="2792"/>
        <item sd="0" x="2793"/>
        <item sd="0" x="2794"/>
        <item sd="0" x="2795"/>
        <item sd="0" x="2796"/>
        <item sd="0" x="2797"/>
        <item sd="0" x="2798"/>
        <item sd="0" x="2799"/>
        <item sd="0" x="2800"/>
        <item sd="0" x="2801"/>
        <item sd="0" x="2802"/>
        <item sd="0" x="2803"/>
        <item sd="0" x="2804"/>
        <item sd="0" x="2805"/>
        <item sd="0" x="2806"/>
        <item sd="0" x="2807"/>
        <item sd="0" x="2808"/>
        <item sd="0" x="2809"/>
        <item sd="0" x="2810"/>
        <item sd="0" x="2811"/>
        <item sd="0" x="2812"/>
        <item sd="0" x="2813"/>
        <item sd="0" x="2814"/>
        <item sd="0" x="2815"/>
        <item sd="0" x="2816"/>
        <item sd="0" x="2817"/>
        <item sd="0" x="2818"/>
        <item sd="0" x="2819"/>
        <item sd="0" x="2820"/>
        <item sd="0" x="2821"/>
        <item sd="0" x="2822"/>
        <item sd="0" x="2823"/>
        <item sd="0" x="2824"/>
        <item sd="0" x="2825"/>
        <item sd="0" x="2826"/>
        <item sd="0" x="2827"/>
        <item sd="0" x="2828"/>
        <item sd="0" x="2829"/>
        <item sd="0" x="2830"/>
        <item sd="0" x="2831"/>
        <item sd="0" x="2832"/>
        <item sd="0" x="2833"/>
        <item sd="0" x="2834"/>
        <item sd="0" x="2835"/>
        <item sd="0" x="2836"/>
        <item sd="0" x="2837"/>
        <item sd="0" x="2838"/>
        <item sd="0" x="2839"/>
        <item sd="0" x="2840"/>
        <item sd="0" x="2841"/>
        <item sd="0" x="2842"/>
        <item sd="0" x="2843"/>
        <item sd="0" x="2844"/>
        <item sd="0" x="2845"/>
        <item sd="0" x="2846"/>
        <item sd="0" x="2847"/>
        <item sd="0" x="2848"/>
        <item sd="0" x="2849"/>
        <item sd="0" x="2850"/>
        <item sd="0" x="2851"/>
        <item sd="0" x="2852"/>
        <item sd="0" x="2853"/>
        <item sd="0" x="2854"/>
        <item sd="0" x="2855"/>
        <item sd="0" x="2856"/>
        <item sd="0" x="2857"/>
        <item sd="0" x="2858"/>
        <item sd="0" x="2859"/>
        <item sd="0" x="2860"/>
        <item sd="0" x="2861"/>
        <item sd="0" x="2862"/>
        <item sd="0" x="2863"/>
        <item sd="0" x="2864"/>
        <item sd="0" x="2865"/>
        <item sd="0" x="2866"/>
        <item sd="0" x="2867"/>
        <item sd="0" x="2868"/>
        <item sd="0" x="2869"/>
        <item sd="0" x="2870"/>
        <item sd="0" x="2871"/>
        <item sd="0" x="2872"/>
        <item sd="0" x="2873"/>
        <item sd="0" x="2874"/>
        <item sd="0" x="2875"/>
        <item sd="0" x="2876"/>
        <item sd="0" x="2877"/>
        <item sd="0" x="2878"/>
        <item sd="0" x="2879"/>
        <item sd="0" x="2880"/>
        <item sd="0" x="2881"/>
        <item sd="0" x="2882"/>
        <item sd="0" x="2883"/>
        <item sd="0" x="2884"/>
        <item sd="0" x="2885"/>
        <item sd="0" x="2886"/>
        <item sd="0" x="2887"/>
        <item sd="0" x="2888"/>
        <item sd="0" x="2889"/>
        <item sd="0" x="2890"/>
        <item sd="0" x="2891"/>
        <item sd="0" x="2892"/>
        <item sd="0" x="2893"/>
        <item sd="0" x="2894"/>
        <item sd="0" x="2895"/>
        <item sd="0" x="2896"/>
        <item sd="0" x="2897"/>
        <item sd="0" x="2898"/>
        <item sd="0" x="2899"/>
        <item sd="0" x="2900"/>
        <item sd="0" x="2901"/>
        <item sd="0" x="2902"/>
        <item sd="0" x="2903"/>
        <item sd="0" x="2904"/>
        <item sd="0" x="2905"/>
        <item sd="0" x="2906"/>
        <item sd="0" x="2907"/>
        <item sd="0" x="2908"/>
        <item sd="0" x="2909"/>
        <item sd="0" x="2910"/>
        <item sd="0" x="2911"/>
        <item sd="0" x="2912"/>
        <item sd="0" x="2913"/>
        <item sd="0" x="2914"/>
        <item sd="0" x="2915"/>
        <item sd="0" x="2916"/>
        <item sd="0" x="2917"/>
        <item sd="0" x="2918"/>
        <item sd="0" x="2919"/>
        <item sd="0" x="2920"/>
        <item sd="0" x="2921"/>
        <item sd="0" x="2922"/>
        <item sd="0" x="2923"/>
        <item sd="0" x="2924"/>
        <item sd="0" x="2925"/>
        <item sd="0" x="2926"/>
        <item sd="0" x="2927"/>
        <item sd="0" x="2928"/>
        <item sd="0" x="2929"/>
        <item sd="0" x="2930"/>
        <item sd="0" x="2931"/>
        <item sd="0" x="2932"/>
        <item sd="0" x="2933"/>
        <item sd="0" x="2934"/>
        <item sd="0" x="2935"/>
        <item sd="0" x="2936"/>
        <item sd="0" x="2937"/>
        <item sd="0" x="2938"/>
        <item sd="0" x="2939"/>
        <item sd="0" x="2940"/>
        <item sd="0" x="2941"/>
        <item sd="0" x="2942"/>
        <item sd="0" x="2943"/>
        <item sd="0" x="2944"/>
        <item sd="0" x="2945"/>
        <item sd="0" x="2946"/>
        <item sd="0" x="2947"/>
        <item sd="0" x="2948"/>
        <item sd="0" x="2949"/>
        <item sd="0" x="2950"/>
        <item sd="0" x="2951"/>
        <item sd="0" x="2952"/>
        <item sd="0" x="2953"/>
        <item sd="0" x="2954"/>
        <item sd="0" x="2955"/>
        <item sd="0" x="2956"/>
        <item sd="0" x="2957"/>
        <item sd="0" x="2958"/>
        <item sd="0" x="2959"/>
        <item sd="0" x="2960"/>
        <item sd="0" x="2961"/>
        <item sd="0" x="2962"/>
        <item sd="0" x="2963"/>
        <item sd="0" x="2964"/>
        <item sd="0" x="2965"/>
        <item sd="0" x="2966"/>
        <item sd="0" x="2967"/>
        <item sd="0" x="2968"/>
        <item sd="0" x="2969"/>
        <item sd="0" x="2970"/>
        <item sd="0" x="2971"/>
        <item sd="0" x="2972"/>
        <item sd="0" x="2973"/>
        <item sd="0" x="2974"/>
        <item sd="0" x="2975"/>
        <item sd="0" x="2976"/>
        <item sd="0" x="2977"/>
        <item sd="0" x="2978"/>
        <item sd="0" x="2979"/>
        <item sd="0" x="2980"/>
        <item sd="0" x="2981"/>
        <item sd="0" x="2982"/>
        <item sd="0" x="2983"/>
        <item sd="0" x="2984"/>
        <item sd="0" x="2985"/>
        <item sd="0" x="2986"/>
        <item sd="0" x="2987"/>
        <item sd="0" x="2988"/>
        <item sd="0" x="2989"/>
        <item sd="0" x="2990"/>
        <item sd="0" x="2991"/>
        <item sd="0" x="2992"/>
        <item sd="0" x="2993"/>
        <item sd="0" x="2994"/>
        <item sd="0" x="2995"/>
        <item sd="0" x="2996"/>
        <item sd="0" x="2997"/>
        <item sd="0" x="2998"/>
        <item sd="0" x="2999"/>
        <item sd="0" x="3000"/>
        <item sd="0" x="3001"/>
        <item sd="0" x="3002"/>
        <item sd="0" x="3003"/>
        <item sd="0" x="3004"/>
        <item sd="0" x="3005"/>
        <item sd="0" x="3006"/>
        <item sd="0" x="3007"/>
        <item sd="0" x="3008"/>
        <item sd="0" x="3009"/>
        <item sd="0" x="3010"/>
        <item sd="0" x="3011"/>
        <item sd="0" x="3012"/>
        <item sd="0" x="3013"/>
        <item sd="0" x="3014"/>
        <item sd="0" x="3015"/>
        <item sd="0" x="3016"/>
        <item sd="0" x="3017"/>
        <item sd="0" x="3018"/>
        <item sd="0" x="3019"/>
        <item sd="0" x="3020"/>
        <item sd="0" x="3021"/>
        <item sd="0" x="3022"/>
        <item sd="0" x="3023"/>
        <item sd="0" x="3024"/>
        <item sd="0" x="3025"/>
        <item sd="0" x="3026"/>
        <item sd="0" x="3027"/>
        <item sd="0" x="3028"/>
        <item sd="0" x="3029"/>
        <item sd="0" x="3030"/>
        <item sd="0" x="3031"/>
        <item sd="0" x="3032"/>
        <item sd="0" x="3033"/>
        <item sd="0" x="3034"/>
        <item sd="0" x="3035"/>
        <item sd="0" x="3036"/>
        <item sd="0" x="3037"/>
        <item sd="0" x="3038"/>
        <item sd="0" x="3039"/>
        <item sd="0" x="3040"/>
        <item sd="0" x="3041"/>
        <item sd="0" x="3042"/>
        <item sd="0" x="3043"/>
        <item sd="0" x="3044"/>
        <item sd="0" x="3045"/>
        <item sd="0" x="3046"/>
        <item sd="0" x="3047"/>
        <item sd="0" x="3048"/>
        <item sd="0" x="3049"/>
        <item sd="0" x="3050"/>
        <item sd="0" x="3051"/>
        <item sd="0" x="3052"/>
        <item sd="0" x="3053"/>
        <item sd="0" x="3054"/>
        <item sd="0" x="3055"/>
        <item sd="0" x="3056"/>
        <item sd="0" x="3057"/>
        <item sd="0" x="3058"/>
        <item sd="0" x="3059"/>
        <item sd="0" x="3060"/>
        <item sd="0" x="3061"/>
        <item sd="0" x="3062"/>
        <item sd="0" x="3063"/>
        <item sd="0" x="3064"/>
        <item sd="0" x="3065"/>
        <item sd="0" x="3066"/>
        <item sd="0" x="3067"/>
        <item sd="0" x="3068"/>
        <item sd="0" x="3069"/>
        <item sd="0" x="3070"/>
        <item sd="0" x="3071"/>
        <item sd="0" x="3072"/>
        <item sd="0" x="3073"/>
        <item sd="0" x="3074"/>
        <item sd="0" x="3075"/>
        <item sd="0" x="3076"/>
        <item sd="0" x="3077"/>
        <item sd="0" x="3078"/>
        <item sd="0" x="3079"/>
        <item sd="0" x="3080"/>
        <item sd="0" x="3081"/>
        <item sd="0" x="3082"/>
        <item sd="0" x="3083"/>
        <item sd="0" x="3084"/>
        <item sd="0" x="3085"/>
        <item sd="0" x="3086"/>
        <item sd="0" x="3087"/>
        <item sd="0" x="3088"/>
        <item sd="0" x="3089"/>
        <item sd="0" x="3090"/>
        <item sd="0" x="3091"/>
        <item sd="0" x="3092"/>
        <item sd="0" x="3093"/>
        <item sd="0" x="3094"/>
        <item sd="0" x="3095"/>
        <item sd="0" x="3096"/>
        <item sd="0" x="3097"/>
        <item sd="0" x="3098"/>
        <item sd="0" x="3099"/>
        <item sd="0" x="3100"/>
        <item sd="0" x="3101"/>
        <item sd="0" x="3102"/>
        <item sd="0" x="3103"/>
        <item sd="0" x="3104"/>
        <item sd="0" x="3105"/>
        <item sd="0" x="3106"/>
        <item sd="0" x="3107"/>
        <item sd="0" x="3108"/>
        <item sd="0" x="3109"/>
        <item sd="0" x="3110"/>
        <item sd="0" x="3111"/>
        <item sd="0" x="3112"/>
        <item sd="0" x="3113"/>
        <item sd="0" x="3114"/>
        <item sd="0" x="3115"/>
        <item sd="0" x="3116"/>
        <item sd="0" x="3117"/>
        <item sd="0" x="3118"/>
        <item sd="0" x="3119"/>
        <item sd="0" x="3120"/>
        <item sd="0" x="3121"/>
        <item sd="0" x="3122"/>
        <item sd="0" x="3123"/>
        <item sd="0" x="3124"/>
        <item sd="0" x="3125"/>
        <item sd="0" x="3126"/>
        <item sd="0" x="3127"/>
        <item sd="0" x="3128"/>
        <item sd="0" x="3129"/>
        <item sd="0" x="3130"/>
        <item sd="0" x="3131"/>
        <item sd="0" x="3132"/>
        <item sd="0" x="3133"/>
        <item sd="0" x="3134"/>
        <item sd="0" x="3135"/>
        <item sd="0" x="3136"/>
        <item sd="0" x="3137"/>
        <item sd="0" x="3138"/>
        <item sd="0" x="3139"/>
        <item sd="0" x="3140"/>
        <item sd="0" x="3141"/>
        <item sd="0" x="3142"/>
        <item sd="0" x="3143"/>
        <item sd="0" x="3144"/>
        <item sd="0" x="3145"/>
        <item sd="0" x="3146"/>
        <item sd="0" x="3147"/>
        <item sd="0" x="3148"/>
        <item sd="0" x="3149"/>
        <item sd="0" x="3150"/>
        <item sd="0" x="3151"/>
        <item sd="0" x="3152"/>
        <item sd="0" x="3153"/>
        <item sd="0" x="3154"/>
        <item sd="0" x="3155"/>
        <item sd="0" x="3156"/>
        <item sd="0" x="3157"/>
        <item sd="0" x="3158"/>
        <item sd="0" x="3159"/>
        <item sd="0" x="3160"/>
        <item sd="0" x="3161"/>
        <item sd="0" x="3162"/>
        <item sd="0" x="3163"/>
        <item sd="0" x="3164"/>
        <item sd="0" x="3165"/>
        <item sd="0" x="3166"/>
        <item sd="0" x="3167"/>
        <item sd="0" x="3168"/>
        <item sd="0" x="3169"/>
        <item sd="0" x="3170"/>
        <item sd="0" x="3171"/>
        <item sd="0" x="3172"/>
        <item sd="0" x="3173"/>
        <item sd="0" x="3174"/>
        <item sd="0" x="3175"/>
        <item sd="0" x="3176"/>
        <item sd="0" x="3177"/>
        <item sd="0" x="3178"/>
        <item sd="0" x="3179"/>
        <item sd="0" x="3180"/>
        <item sd="0" x="3181"/>
        <item sd="0" x="3182"/>
        <item sd="0" x="3183"/>
        <item sd="0" x="3184"/>
        <item sd="0" x="3185"/>
        <item sd="0" x="3186"/>
        <item sd="0" x="3187"/>
        <item sd="0" x="3188"/>
        <item sd="0" x="3189"/>
        <item sd="0" x="3190"/>
        <item sd="0" x="3191"/>
        <item sd="0" x="3192"/>
        <item sd="0" x="3193"/>
        <item sd="0" x="3194"/>
        <item sd="0" x="3195"/>
        <item sd="0" x="3196"/>
        <item sd="0" x="3197"/>
        <item sd="0" x="3198"/>
        <item sd="0" x="3199"/>
        <item sd="0" x="3200"/>
        <item sd="0" x="3201"/>
        <item sd="0" x="3202"/>
        <item sd="0" x="3203"/>
        <item sd="0" x="3204"/>
        <item sd="0" x="3205"/>
        <item sd="0" x="3206"/>
        <item sd="0" x="3207"/>
        <item sd="0" x="3208"/>
        <item sd="0" x="3209"/>
        <item sd="0" x="3210"/>
        <item sd="0" x="3211"/>
        <item sd="0" x="3212"/>
        <item sd="0" x="3213"/>
        <item sd="0" x="3214"/>
        <item sd="0" x="3215"/>
        <item sd="0" x="3216"/>
        <item sd="0" x="3217"/>
        <item sd="0" x="3218"/>
        <item sd="0" x="3219"/>
        <item sd="0" x="3220"/>
        <item sd="0" x="3221"/>
        <item sd="0" x="3222"/>
        <item sd="0" x="3223"/>
        <item sd="0" x="3224"/>
        <item sd="0" x="3225"/>
        <item sd="0" x="3226"/>
        <item sd="0" x="3227"/>
        <item sd="0" x="3228"/>
        <item sd="0" x="3229"/>
        <item sd="0" x="3230"/>
        <item sd="0" x="3231"/>
        <item sd="0" x="3232"/>
        <item sd="0" x="3233"/>
        <item sd="0" x="3234"/>
        <item sd="0" x="3235"/>
        <item sd="0" x="3236"/>
        <item sd="0" x="3237"/>
        <item sd="0" x="3238"/>
        <item sd="0" x="3239"/>
        <item sd="0" x="3240"/>
        <item sd="0" x="3241"/>
        <item sd="0" x="3242"/>
        <item sd="0" x="3243"/>
        <item sd="0" x="3244"/>
        <item sd="0" x="3245"/>
        <item sd="0" x="3246"/>
        <item sd="0" x="3247"/>
        <item sd="0" x="3248"/>
        <item sd="0" x="3249"/>
        <item sd="0" x="3250"/>
        <item sd="0" x="3251"/>
        <item sd="0" x="3252"/>
        <item sd="0" x="3253"/>
        <item sd="0" x="3254"/>
        <item sd="0" x="3255"/>
        <item sd="0" x="3256"/>
        <item sd="0" x="3257"/>
        <item sd="0" x="3258"/>
        <item sd="0" x="3259"/>
        <item sd="0" x="3260"/>
        <item sd="0" x="3261"/>
        <item sd="0" x="3262"/>
        <item sd="0" x="3263"/>
        <item sd="0" x="3264"/>
        <item sd="0" x="3265"/>
        <item sd="0" x="3266"/>
        <item sd="0" x="3267"/>
        <item sd="0" x="3268"/>
        <item sd="0" x="3269"/>
        <item sd="0" x="3270"/>
        <item sd="0" x="3271"/>
        <item sd="0" x="3272"/>
        <item sd="0" x="3273"/>
        <item sd="0" x="3274"/>
        <item sd="0" x="3275"/>
        <item sd="0" x="3276"/>
        <item sd="0" x="3277"/>
        <item sd="0" x="3278"/>
        <item sd="0" x="3279"/>
        <item sd="0" x="3280"/>
        <item sd="0" x="3281"/>
        <item sd="0" x="3282"/>
        <item sd="0" x="3283"/>
        <item sd="0" x="3284"/>
        <item sd="0" x="3285"/>
        <item sd="0" x="3286"/>
        <item sd="0" x="3287"/>
        <item sd="0" x="3288"/>
        <item sd="0" x="3289"/>
        <item sd="0" x="3290"/>
        <item sd="0" x="3291"/>
        <item sd="0" x="3292"/>
        <item sd="0" x="3293"/>
        <item sd="0" x="3294"/>
        <item sd="0" x="3295"/>
        <item sd="0" x="3296"/>
        <item sd="0" x="3297"/>
        <item sd="0" x="3298"/>
        <item sd="0" x="3299"/>
        <item sd="0" x="3300"/>
        <item sd="0" x="3301"/>
        <item sd="0" x="3302"/>
        <item sd="0" x="3303"/>
        <item sd="0" x="3304"/>
        <item sd="0" x="3305"/>
        <item sd="0" x="3306"/>
        <item sd="0" x="3307"/>
        <item sd="0" x="3308"/>
        <item sd="0" x="3309"/>
        <item sd="0" x="3310"/>
        <item sd="0" x="3311"/>
        <item sd="0" x="3312"/>
        <item sd="0" x="3313"/>
        <item sd="0" x="3314"/>
        <item sd="0" x="3315"/>
        <item sd="0" x="3316"/>
        <item sd="0" x="3317"/>
        <item sd="0" x="3318"/>
        <item sd="0" x="3319"/>
        <item sd="0" x="3320"/>
        <item sd="0" x="3321"/>
        <item sd="0" x="3322"/>
        <item sd="0" x="3323"/>
        <item sd="0" x="3324"/>
        <item sd="0" x="3325"/>
        <item sd="0" x="3326"/>
        <item sd="0" x="3327"/>
        <item sd="0" x="3328"/>
        <item sd="0" x="3329"/>
        <item sd="0" x="3330"/>
        <item sd="0" x="3331"/>
        <item sd="0" x="3332"/>
        <item sd="0" x="3333"/>
        <item sd="0" x="3334"/>
        <item sd="0" x="3335"/>
        <item sd="0" x="3336"/>
        <item sd="0" x="3337"/>
        <item sd="0" x="3338"/>
        <item sd="0" x="3339"/>
        <item sd="0" x="3340"/>
        <item sd="0" x="3341"/>
        <item sd="0" x="3342"/>
        <item sd="0" x="3343"/>
        <item sd="0" x="3344"/>
        <item sd="0" x="3345"/>
        <item sd="0" x="3346"/>
        <item sd="0" x="3347"/>
        <item sd="0" x="3348"/>
        <item sd="0" x="3349"/>
        <item sd="0" x="3350"/>
        <item sd="0" x="3351"/>
        <item sd="0" x="3352"/>
        <item sd="0" x="3353"/>
        <item sd="0" x="3354"/>
        <item sd="0" x="3355"/>
        <item sd="0" x="3356"/>
        <item sd="0" x="3357"/>
        <item sd="0" x="3358"/>
        <item sd="0" x="3359"/>
        <item sd="0" x="3360"/>
        <item sd="0" x="3361"/>
        <item sd="0" x="3362"/>
        <item sd="0" x="3363"/>
        <item sd="0" x="3364"/>
        <item sd="0" x="3365"/>
        <item sd="0" x="3366"/>
        <item sd="0" x="3367"/>
        <item sd="0" x="3368"/>
        <item sd="0" x="3369"/>
        <item sd="0" x="3370"/>
        <item sd="0" x="3371"/>
        <item sd="0" x="3372"/>
        <item sd="0" x="3373"/>
        <item sd="0" x="3374"/>
        <item sd="0" x="3375"/>
        <item sd="0" x="3376"/>
        <item sd="0" x="3377"/>
        <item sd="0" x="3378"/>
        <item sd="0" x="3379"/>
        <item sd="0" x="3380"/>
        <item sd="0" x="3381"/>
        <item sd="0" x="3382"/>
        <item sd="0" x="3383"/>
        <item sd="0" x="3384"/>
        <item sd="0" x="3385"/>
        <item sd="0" x="3386"/>
        <item sd="0" x="3387"/>
        <item sd="0" x="3388"/>
        <item sd="0" x="3389"/>
        <item sd="0" x="3390"/>
        <item sd="0" x="3391"/>
        <item sd="0" x="3392"/>
        <item sd="0" x="3393"/>
        <item sd="0" x="3394"/>
        <item sd="0" x="3395"/>
        <item sd="0" x="3396"/>
        <item sd="0" x="3397"/>
        <item sd="0" x="3398"/>
        <item sd="0" x="3399"/>
        <item sd="0" x="3400"/>
        <item sd="0" x="3401"/>
        <item sd="0" x="3402"/>
        <item sd="0" x="3403"/>
        <item sd="0" x="3404"/>
        <item sd="0" x="3405"/>
        <item sd="0" x="3406"/>
        <item sd="0" x="3407"/>
        <item sd="0" x="3408"/>
        <item sd="0" x="3409"/>
        <item sd="0" x="3410"/>
        <item sd="0" x="3411"/>
        <item sd="0" x="3412"/>
        <item sd="0" x="3413"/>
        <item sd="0" x="3414"/>
        <item sd="0" x="3415"/>
        <item sd="0" x="3416"/>
        <item sd="0" x="3417"/>
        <item sd="0" x="3418"/>
        <item sd="0" x="3419"/>
        <item sd="0" x="3420"/>
        <item sd="0" x="3421"/>
        <item sd="0" x="3422"/>
        <item sd="0" x="3423"/>
        <item sd="0" x="3424"/>
        <item sd="0" x="3425"/>
        <item sd="0" x="3426"/>
        <item sd="0" x="3427"/>
        <item sd="0" x="3428"/>
        <item sd="0" x="3429"/>
        <item sd="0" x="3430"/>
        <item sd="0" x="3431"/>
        <item sd="0" x="3432"/>
        <item sd="0" x="3433"/>
        <item sd="0" x="3434"/>
        <item sd="0" x="3435"/>
        <item sd="0" x="3436"/>
        <item sd="0" x="3437"/>
        <item sd="0" x="3438"/>
        <item sd="0" x="3439"/>
        <item sd="0" x="3440"/>
        <item sd="0" x="3441"/>
        <item sd="0" x="3442"/>
        <item sd="0" x="3443"/>
        <item sd="0" x="3444"/>
        <item sd="0" x="3445"/>
        <item sd="0" x="3446"/>
        <item sd="0" x="3447"/>
        <item sd="0" x="3448"/>
        <item sd="0" x="3449"/>
        <item sd="0" x="3450"/>
        <item sd="0" x="3451"/>
        <item sd="0" x="3452"/>
        <item sd="0" x="3453"/>
        <item sd="0" x="3454"/>
        <item sd="0" x="3455"/>
        <item sd="0" x="3456"/>
        <item sd="0" x="3457"/>
        <item sd="0" x="3458"/>
        <item sd="0" x="3459"/>
        <item sd="0" x="3460"/>
        <item sd="0" x="3461"/>
        <item sd="0" x="3462"/>
        <item sd="0" x="3463"/>
        <item sd="0" x="3464"/>
        <item sd="0" x="3465"/>
        <item sd="0" x="3466"/>
        <item sd="0" x="3467"/>
        <item sd="0" x="3468"/>
        <item sd="0" x="3469"/>
        <item sd="0" x="3470"/>
        <item sd="0" x="3471"/>
        <item sd="0" x="3472"/>
        <item sd="0" x="3473"/>
        <item sd="0" x="3474"/>
        <item sd="0" x="3475"/>
        <item sd="0" x="3476"/>
        <item sd="0" x="3477"/>
        <item sd="0" x="3478"/>
        <item sd="0" x="3479"/>
        <item sd="0" x="3480"/>
        <item sd="0" x="3481"/>
        <item sd="0" x="3482"/>
        <item sd="0" x="3483"/>
        <item sd="0" x="3484"/>
        <item sd="0" x="3485"/>
        <item sd="0" x="3486"/>
        <item sd="0" x="3487"/>
        <item sd="0" x="3488"/>
        <item sd="0" x="3489"/>
        <item sd="0" x="3490"/>
        <item sd="0" x="3491"/>
        <item sd="0" x="3492"/>
        <item sd="0" x="3493"/>
        <item sd="0" x="3494"/>
        <item sd="0" x="3495"/>
        <item sd="0" x="3496"/>
        <item sd="0" x="3497"/>
        <item sd="0" x="3498"/>
        <item sd="0" x="3499"/>
        <item sd="0" x="3500"/>
        <item sd="0" x="3501"/>
        <item sd="0" x="3502"/>
        <item sd="0" x="3503"/>
        <item sd="0" x="3504"/>
        <item sd="0" x="3505"/>
        <item sd="0" x="3506"/>
        <item sd="0" x="3507"/>
        <item sd="0" x="3508"/>
        <item sd="0" x="3509"/>
        <item sd="0" x="3510"/>
        <item sd="0" x="3511"/>
        <item sd="0" x="3512"/>
        <item sd="0" x="3513"/>
        <item sd="0" x="3514"/>
        <item sd="0" x="3515"/>
        <item sd="0" x="3516"/>
        <item sd="0" x="3517"/>
        <item sd="0" x="3518"/>
        <item sd="0" x="3519"/>
        <item sd="0" x="3520"/>
        <item sd="0" x="3521"/>
        <item sd="0" x="3522"/>
        <item sd="0" x="3523"/>
        <item sd="0" x="3524"/>
        <item sd="0" x="3525"/>
        <item sd="0" x="3526"/>
        <item sd="0" x="3527"/>
        <item sd="0" x="3528"/>
        <item sd="0" x="3529"/>
        <item sd="0" x="3530"/>
        <item sd="0" x="3531"/>
        <item sd="0" x="3532"/>
        <item sd="0" x="3533"/>
        <item sd="0" x="3534"/>
        <item sd="0" x="3535"/>
        <item sd="0" x="3536"/>
        <item sd="0" x="3537"/>
        <item sd="0" x="3538"/>
        <item sd="0" x="3539"/>
        <item sd="0" x="3540"/>
        <item sd="0" x="3541"/>
        <item sd="0" x="3542"/>
        <item sd="0" x="3543"/>
        <item sd="0" x="3544"/>
        <item sd="0" x="3545"/>
        <item sd="0" x="3546"/>
        <item sd="0" x="3547"/>
        <item sd="0" x="3548"/>
        <item sd="0" x="3549"/>
        <item sd="0" x="3550"/>
        <item sd="0" x="3551"/>
        <item sd="0" x="3552"/>
        <item sd="0" x="3553"/>
        <item sd="0" x="3554"/>
        <item sd="0" x="3555"/>
        <item sd="0" x="3556"/>
        <item sd="0" x="3557"/>
        <item sd="0" x="3558"/>
        <item sd="0" x="3559"/>
        <item sd="0" x="3560"/>
        <item sd="0" x="3561"/>
        <item sd="0" x="3562"/>
        <item sd="0" x="3563"/>
        <item sd="0" x="3564"/>
        <item sd="0" x="3565"/>
        <item sd="0" x="3566"/>
        <item sd="0" x="3567"/>
        <item sd="0" x="3568"/>
        <item sd="0" x="3569"/>
        <item sd="0" x="3570"/>
        <item sd="0" x="3571"/>
        <item sd="0" x="3572"/>
        <item sd="0" x="3573"/>
        <item sd="0" x="3574"/>
        <item sd="0" x="3575"/>
        <item sd="0" x="3576"/>
        <item sd="0" x="3577"/>
        <item sd="0" x="3578"/>
        <item sd="0" x="3579"/>
        <item sd="0" x="3580"/>
        <item sd="0" x="3581"/>
        <item sd="0" x="3582"/>
        <item sd="0" x="3583"/>
        <item sd="0" x="3584"/>
        <item sd="0" x="3585"/>
        <item sd="0" x="3586"/>
        <item sd="0" x="3587"/>
        <item sd="0" x="3588"/>
        <item sd="0" x="3589"/>
        <item sd="0" x="3590"/>
        <item sd="0" x="3591"/>
        <item sd="0" x="3592"/>
        <item sd="0" x="3593"/>
        <item sd="0" x="3594"/>
        <item sd="0" x="3595"/>
        <item sd="0" x="3596"/>
        <item sd="0" x="3597"/>
        <item sd="0" x="3598"/>
        <item sd="0" x="3599"/>
        <item sd="0" x="3600"/>
        <item sd="0" x="3601"/>
        <item sd="0" x="3602"/>
        <item sd="0" x="3603"/>
        <item sd="0" x="3604"/>
        <item sd="0" x="3605"/>
        <item sd="0" x="3606"/>
        <item sd="0" x="3607"/>
        <item sd="0" x="3608"/>
        <item sd="0" x="3609"/>
        <item sd="0" x="3610"/>
        <item sd="0" x="3611"/>
        <item sd="0" x="3612"/>
        <item sd="0" x="3613"/>
        <item sd="0" x="3614"/>
        <item sd="0" x="3615"/>
        <item sd="0" x="3616"/>
        <item sd="0" x="3617"/>
        <item sd="0" x="3618"/>
        <item sd="0" x="3619"/>
        <item sd="0" x="3620"/>
        <item sd="0" x="3621"/>
        <item sd="0" x="3622"/>
        <item sd="0" x="3623"/>
        <item sd="0" x="3624"/>
        <item sd="0" x="3625"/>
        <item sd="0" x="3626"/>
        <item sd="0" x="3627"/>
        <item sd="0" x="3628"/>
        <item sd="0" x="3629"/>
        <item sd="0" x="3630"/>
        <item sd="0" x="3631"/>
        <item sd="0" x="3632"/>
        <item sd="0" x="3633"/>
        <item sd="0" x="3634"/>
        <item sd="0" x="3635"/>
        <item sd="0" x="3636"/>
        <item sd="0" x="3637"/>
        <item sd="0" x="3638"/>
        <item sd="0" x="3639"/>
        <item sd="0" x="3640"/>
        <item sd="0" x="3641"/>
        <item sd="0" x="3642"/>
        <item sd="0" x="3643"/>
        <item sd="0" x="3644"/>
        <item sd="0" x="3645"/>
        <item sd="0" x="3646"/>
        <item sd="0" x="3647"/>
        <item sd="0" x="3648"/>
        <item sd="0" x="3649"/>
        <item sd="0" x="3650"/>
        <item sd="0" x="3651"/>
        <item sd="0" x="3652"/>
        <item sd="0" x="3653"/>
        <item sd="0" x="3654"/>
        <item sd="0" x="3655"/>
        <item sd="0" x="3656"/>
        <item sd="0" x="3657"/>
        <item sd="0" x="3658"/>
        <item sd="0" x="3659"/>
        <item sd="0" x="3660"/>
        <item sd="0" x="3661"/>
        <item sd="0" x="3662"/>
        <item sd="0" x="3663"/>
        <item sd="0" x="3664"/>
        <item sd="0" x="3665"/>
        <item sd="0" x="3666"/>
        <item sd="0" x="3667"/>
        <item sd="0" x="3668"/>
        <item sd="0" x="3669"/>
        <item sd="0" x="3670"/>
        <item sd="0" x="3671"/>
        <item sd="0" x="3672"/>
        <item sd="0" x="3673"/>
        <item sd="0" x="3674"/>
        <item sd="0" x="3675"/>
        <item sd="0" x="3676"/>
        <item sd="0" x="3677"/>
        <item sd="0" x="3678"/>
        <item sd="0" x="3679"/>
        <item sd="0" x="3680"/>
        <item sd="0" x="3681"/>
        <item sd="0" x="3682"/>
        <item sd="0" x="3683"/>
        <item sd="0" x="3684"/>
        <item sd="0" x="3685"/>
        <item sd="0" x="3686"/>
        <item sd="0" x="3687"/>
        <item sd="0" x="3688"/>
        <item sd="0" x="3689"/>
        <item sd="0" x="3690"/>
        <item sd="0" x="3691"/>
        <item sd="0" x="3692"/>
        <item sd="0" x="3693"/>
        <item sd="0" x="3694"/>
        <item sd="0" x="3695"/>
        <item sd="0" x="3696"/>
        <item sd="0" x="3697"/>
        <item sd="0" x="3698"/>
        <item sd="0" x="3699"/>
        <item sd="0" x="3700"/>
        <item sd="0" x="3701"/>
        <item sd="0" x="3702"/>
        <item sd="0" x="3703"/>
        <item sd="0" x="3704"/>
        <item sd="0" x="3705"/>
        <item sd="0" x="3706"/>
        <item sd="0" x="3707"/>
        <item sd="0" x="3708"/>
        <item sd="0" x="3709"/>
        <item sd="0" x="3710"/>
        <item sd="0" x="3711"/>
        <item sd="0" x="3712"/>
        <item sd="0" x="3713"/>
        <item sd="0" x="3714"/>
        <item sd="0" x="3715"/>
        <item sd="0" x="3716"/>
        <item sd="0" x="3717"/>
        <item sd="0" x="3718"/>
        <item sd="0" x="3719"/>
        <item sd="0" x="3720"/>
        <item sd="0" x="3721"/>
        <item sd="0" x="3722"/>
        <item sd="0" x="3723"/>
        <item sd="0" x="3724"/>
        <item sd="0" x="3725"/>
        <item sd="0" x="3726"/>
        <item sd="0" x="3727"/>
        <item sd="0" x="3728"/>
        <item sd="0" x="3729"/>
        <item sd="0" x="3730"/>
        <item sd="0" x="3731"/>
        <item sd="0" x="3732"/>
        <item sd="0" x="3733"/>
        <item sd="0" x="3734"/>
        <item sd="0" x="3735"/>
        <item sd="0" x="3736"/>
        <item sd="0" x="3737"/>
        <item sd="0" x="3738"/>
        <item sd="0" x="3739"/>
        <item sd="0" x="3740"/>
        <item sd="0" x="3741"/>
        <item sd="0" x="3742"/>
        <item sd="0" x="3743"/>
        <item sd="0" x="3744"/>
        <item sd="0" x="3745"/>
        <item sd="0" x="3746"/>
        <item sd="0" x="3747"/>
        <item sd="0" x="3748"/>
        <item sd="0" x="3749"/>
        <item sd="0" x="3750"/>
        <item sd="0" x="3751"/>
        <item sd="0" x="3752"/>
        <item sd="0" x="3753"/>
        <item sd="0" x="3754"/>
        <item sd="0" x="3755"/>
        <item sd="0" x="3756"/>
        <item sd="0" x="3757"/>
        <item sd="0" x="3758"/>
        <item sd="0" x="3759"/>
        <item sd="0" x="3760"/>
        <item sd="0" x="3761"/>
        <item sd="0" x="3762"/>
        <item sd="0" x="3763"/>
        <item sd="0" x="3764"/>
        <item sd="0" x="3765"/>
        <item sd="0" x="3766"/>
        <item sd="0" x="3767"/>
        <item sd="0" x="3768"/>
        <item sd="0" x="3769"/>
        <item sd="0" x="3770"/>
        <item sd="0" x="3771"/>
        <item sd="0" x="3772"/>
        <item sd="0" x="3773"/>
        <item sd="0" x="3774"/>
        <item sd="0" x="3775"/>
        <item sd="0" x="3776"/>
        <item sd="0" x="3777"/>
        <item sd="0" x="3778"/>
        <item sd="0" x="3779"/>
        <item sd="0" x="3780"/>
        <item sd="0" x="3781"/>
        <item sd="0" x="3782"/>
        <item sd="0" x="3783"/>
        <item sd="0" x="3784"/>
        <item sd="0" x="3785"/>
        <item sd="0" x="3786"/>
        <item sd="0" x="3787"/>
        <item sd="0" x="3788"/>
        <item sd="0" x="3789"/>
        <item sd="0" x="3790"/>
        <item sd="0" x="3791"/>
        <item sd="0" x="3792"/>
        <item sd="0" x="3793"/>
        <item sd="0" x="3794"/>
        <item sd="0" x="3795"/>
        <item sd="0" x="3796"/>
        <item sd="0" x="3797"/>
        <item sd="0" x="3798"/>
        <item sd="0" x="3799"/>
        <item sd="0" x="3800"/>
        <item sd="0" x="3801"/>
        <item sd="0" x="3802"/>
        <item sd="0" x="3803"/>
        <item sd="0" x="3804"/>
        <item sd="0" x="3805"/>
        <item sd="0" x="3806"/>
        <item sd="0" x="3807"/>
        <item sd="0" x="3808"/>
        <item sd="0" x="3809"/>
        <item sd="0" x="3810"/>
        <item sd="0" x="3811"/>
        <item sd="0" x="3812"/>
        <item sd="0" x="3813"/>
        <item sd="0" x="3814"/>
        <item sd="0" x="3815"/>
        <item sd="0" x="3816"/>
        <item sd="0" x="3817"/>
        <item sd="0" x="3818"/>
        <item sd="0" x="3819"/>
        <item sd="0" x="3820"/>
        <item sd="0" x="3821"/>
        <item sd="0" x="3822"/>
        <item sd="0" x="3823"/>
        <item sd="0" x="3824"/>
        <item sd="0" x="3825"/>
        <item sd="0" x="3826"/>
        <item sd="0" x="3827"/>
        <item sd="0" x="3828"/>
        <item sd="0" x="3829"/>
        <item sd="0" x="3830"/>
        <item sd="0" x="3831"/>
        <item sd="0" x="3832"/>
        <item sd="0" x="3833"/>
        <item sd="0" x="3834"/>
        <item sd="0" x="3835"/>
        <item sd="0" x="3836"/>
        <item sd="0" x="3837"/>
        <item sd="0" x="3838"/>
        <item sd="0" x="3839"/>
        <item sd="0" x="3840"/>
        <item sd="0" x="3841"/>
        <item sd="0" x="3842"/>
        <item sd="0" x="3843"/>
        <item sd="0" x="3844"/>
        <item sd="0" x="3845"/>
        <item sd="0" x="3846"/>
        <item sd="0" x="3847"/>
        <item sd="0" x="3848"/>
        <item sd="0" x="3849"/>
        <item sd="0" x="3850"/>
        <item sd="0" x="3851"/>
        <item sd="0" x="3852"/>
        <item sd="0" x="3853"/>
        <item sd="0" x="3854"/>
        <item sd="0" x="3855"/>
        <item sd="0" x="3856"/>
        <item sd="0" x="3857"/>
        <item sd="0" x="3858"/>
        <item sd="0" x="3859"/>
        <item sd="0" x="3860"/>
        <item sd="0" x="3861"/>
        <item sd="0" x="3862"/>
        <item sd="0" x="3863"/>
        <item sd="0" x="3864"/>
        <item sd="0" x="3865"/>
        <item sd="0" x="3866"/>
        <item sd="0" x="3867"/>
        <item sd="0" x="3868"/>
        <item sd="0" x="3869"/>
        <item sd="0" x="3870"/>
        <item sd="0" x="3871"/>
        <item sd="0" x="3872"/>
        <item sd="0" x="3873"/>
        <item sd="0" x="3874"/>
        <item sd="0" x="3875"/>
        <item sd="0" x="3876"/>
        <item sd="0" x="3877"/>
        <item sd="0" x="3878"/>
        <item sd="0" x="3879"/>
        <item sd="0" x="3880"/>
        <item sd="0" x="3881"/>
        <item sd="0" x="3882"/>
        <item sd="0" x="3883"/>
        <item sd="0" x="3884"/>
        <item sd="0" x="3885"/>
        <item sd="0" x="3886"/>
        <item sd="0" x="3887"/>
        <item sd="0" x="3888"/>
        <item sd="0" x="3889"/>
        <item sd="0" x="3890"/>
        <item sd="0" x="3891"/>
        <item sd="0" x="3892"/>
        <item sd="0" x="3893"/>
        <item sd="0" x="3894"/>
        <item sd="0" x="3895"/>
        <item sd="0" x="3896"/>
        <item sd="0" x="3897"/>
        <item sd="0" x="3898"/>
        <item sd="0" x="3899"/>
        <item sd="0" x="3900"/>
        <item sd="0" x="3901"/>
        <item sd="0" x="3902"/>
        <item sd="0" x="3903"/>
        <item sd="0" x="3904"/>
        <item sd="0" x="3905"/>
        <item sd="0" x="3906"/>
        <item sd="0" x="3907"/>
        <item sd="0" x="3908"/>
        <item sd="0" x="3909"/>
        <item sd="0" x="3910"/>
        <item sd="0" x="3911"/>
        <item sd="0" x="3912"/>
        <item sd="0" x="3913"/>
        <item sd="0" x="3914"/>
        <item sd="0" x="3915"/>
        <item sd="0" x="3916"/>
        <item sd="0" x="3917"/>
        <item sd="0" x="3918"/>
        <item sd="0" x="3919"/>
        <item sd="0" x="3920"/>
        <item sd="0" x="3921"/>
        <item sd="0" x="3922"/>
        <item sd="0" x="3923"/>
        <item sd="0" x="3924"/>
        <item sd="0" x="3925"/>
        <item sd="0" x="3926"/>
        <item sd="0" x="3927"/>
        <item sd="0" x="3928"/>
        <item sd="0" x="3929"/>
        <item sd="0" x="3930"/>
        <item sd="0" x="3931"/>
        <item sd="0" x="3932"/>
        <item sd="0" x="3933"/>
        <item sd="0" x="3934"/>
        <item sd="0" x="3935"/>
        <item sd="0" x="3936"/>
        <item sd="0" x="3937"/>
        <item sd="0" x="3938"/>
        <item sd="0" x="3939"/>
        <item sd="0" x="3940"/>
        <item sd="0" x="3941"/>
        <item sd="0" x="3942"/>
        <item sd="0" x="3943"/>
        <item sd="0" x="3944"/>
        <item sd="0" x="3945"/>
        <item sd="0" x="3946"/>
        <item sd="0" x="3947"/>
        <item sd="0" x="3948"/>
        <item sd="0" x="3949"/>
        <item sd="0" x="3950"/>
        <item sd="0" x="3951"/>
        <item sd="0" x="3952"/>
        <item sd="0" x="3953"/>
        <item sd="0" x="3954"/>
        <item sd="0" x="3955"/>
        <item sd="0" x="3956"/>
        <item sd="0" x="3957"/>
        <item sd="0" x="3958"/>
        <item sd="0" x="3959"/>
        <item sd="0" x="3960"/>
        <item sd="0" x="3961"/>
        <item sd="0" x="3962"/>
        <item sd="0" x="3963"/>
        <item sd="0" x="3964"/>
        <item sd="0" x="3965"/>
        <item sd="0" x="3966"/>
        <item sd="0" x="3967"/>
        <item sd="0" x="3968"/>
        <item sd="0" x="3969"/>
        <item sd="0" x="3970"/>
        <item sd="0" x="3971"/>
        <item sd="0" x="3972"/>
        <item sd="0" x="3973"/>
        <item sd="0" x="3974"/>
        <item sd="0" x="3975"/>
        <item sd="0" x="3976"/>
        <item sd="0" x="3977"/>
        <item sd="0" x="3978"/>
        <item sd="0" x="3979"/>
        <item sd="0" x="3980"/>
        <item sd="0" x="3981"/>
        <item sd="0" x="3982"/>
        <item sd="0" x="3983"/>
        <item sd="0" x="3984"/>
        <item sd="0" x="3985"/>
        <item sd="0" x="3986"/>
        <item sd="0" x="3987"/>
        <item sd="0" x="3988"/>
        <item sd="0" x="3989"/>
        <item sd="0" x="3990"/>
        <item sd="0" x="3991"/>
        <item sd="0" x="3992"/>
        <item sd="0" x="3993"/>
        <item sd="0" x="3994"/>
        <item sd="0" x="3995"/>
        <item sd="0" x="3996"/>
        <item sd="0" x="3997"/>
        <item sd="0" x="3998"/>
        <item sd="0" x="3999"/>
        <item sd="0" x="4000"/>
        <item sd="0" x="4001"/>
        <item sd="0" x="4002"/>
        <item sd="0" x="4003"/>
        <item sd="0" x="4004"/>
        <item sd="0" x="4005"/>
        <item sd="0" x="4006"/>
        <item sd="0" x="4007"/>
        <item sd="0" x="4008"/>
        <item sd="0" x="4009"/>
        <item sd="0" x="4010"/>
        <item sd="0" x="4011"/>
        <item sd="0" x="4012"/>
        <item sd="0" x="4013"/>
        <item sd="0" x="4014"/>
        <item sd="0" x="4015"/>
        <item sd="0" x="4016"/>
        <item sd="0" x="4017"/>
        <item sd="0" x="4018"/>
        <item sd="0" x="4019"/>
        <item sd="0" x="4020"/>
        <item sd="0" x="4021"/>
        <item sd="0" x="4022"/>
        <item sd="0" x="4023"/>
        <item sd="0" x="4024"/>
        <item sd="0" x="4025"/>
        <item sd="0" x="4026"/>
        <item sd="0" x="4027"/>
        <item sd="0" x="4028"/>
        <item sd="0" x="4029"/>
        <item sd="0" x="4030"/>
        <item sd="0" x="4031"/>
        <item sd="0" x="4032"/>
        <item sd="0" x="4033"/>
        <item sd="0" x="4034"/>
        <item sd="0" x="4035"/>
        <item sd="0" x="4036"/>
        <item sd="0" x="4037"/>
        <item sd="0" x="4038"/>
        <item sd="0" x="4039"/>
        <item sd="0" x="4040"/>
        <item sd="0" x="4041"/>
        <item sd="0" x="4042"/>
        <item sd="0" x="4043"/>
        <item sd="0" x="4044"/>
        <item sd="0" x="4045"/>
        <item sd="0" x="4046"/>
        <item sd="0" x="4047"/>
        <item sd="0" x="4048"/>
        <item sd="0" x="4049"/>
        <item sd="0" x="4050"/>
        <item sd="0" x="4051"/>
        <item sd="0" x="4052"/>
        <item sd="0" x="4053"/>
        <item sd="0" x="4054"/>
        <item sd="0" x="4055"/>
        <item sd="0" x="4056"/>
        <item sd="0" x="4057"/>
        <item sd="0" x="4058"/>
        <item sd="0" x="4059"/>
        <item sd="0" x="4060"/>
        <item sd="0" x="4061"/>
        <item sd="0" x="4062"/>
        <item sd="0" x="4063"/>
        <item sd="0" x="4064"/>
        <item sd="0" x="4065"/>
        <item sd="0" x="4066"/>
        <item sd="0" x="4067"/>
        <item sd="0" x="4068"/>
        <item sd="0" x="4069"/>
        <item sd="0" x="4070"/>
        <item sd="0" x="4071"/>
        <item sd="0" x="4072"/>
        <item sd="0" x="4073"/>
        <item sd="0" x="4074"/>
        <item sd="0" x="4075"/>
        <item sd="0" x="4076"/>
        <item sd="0" x="4077"/>
        <item sd="0" x="4078"/>
        <item sd="0" x="4079"/>
        <item sd="0" x="4080"/>
        <item sd="0" x="4081"/>
        <item sd="0" x="4082"/>
        <item sd="0" x="4083"/>
        <item sd="0" x="4084"/>
        <item sd="0" x="4085"/>
        <item sd="0" x="4086"/>
        <item sd="0" x="4087"/>
        <item sd="0" x="4088"/>
        <item sd="0" x="4089"/>
        <item sd="0" x="4090"/>
        <item sd="0" x="4091"/>
        <item sd="0" x="4092"/>
        <item sd="0" x="4093"/>
        <item sd="0" x="4094"/>
        <item sd="0" x="4095"/>
        <item sd="0" x="4096"/>
        <item sd="0" x="4097"/>
        <item sd="0" x="4098"/>
        <item sd="0" x="4099"/>
        <item sd="0" x="4100"/>
        <item sd="0" x="4101"/>
        <item sd="0" x="4102"/>
        <item sd="0" x="4103"/>
        <item sd="0" x="4104"/>
        <item sd="0" x="4105"/>
        <item sd="0" x="4106"/>
        <item sd="0" x="4107"/>
        <item sd="0" x="4108"/>
        <item sd="0" x="4109"/>
        <item sd="0" x="4110"/>
        <item sd="0" x="4111"/>
        <item sd="0" x="4112"/>
        <item sd="0" x="4113"/>
        <item sd="0" x="4114"/>
        <item sd="0" x="4115"/>
        <item sd="0" x="4116"/>
        <item sd="0" x="4117"/>
        <item sd="0" x="4118"/>
        <item sd="0" x="4119"/>
        <item sd="0" x="4120"/>
        <item sd="0" x="4121"/>
        <item sd="0" x="4122"/>
        <item sd="0" x="4123"/>
        <item sd="0" x="4124"/>
        <item sd="0" x="4125"/>
        <item sd="0" x="4126"/>
        <item sd="0" x="4127"/>
        <item sd="0" x="4128"/>
        <item sd="0" x="4129"/>
        <item sd="0" x="4130"/>
        <item sd="0" x="4131"/>
        <item sd="0" x="4132"/>
        <item sd="0" x="4133"/>
        <item sd="0" x="4134"/>
        <item sd="0" x="4135"/>
        <item sd="0" x="4136"/>
        <item sd="0" x="4137"/>
        <item sd="0" x="4138"/>
        <item sd="0" x="4139"/>
        <item sd="0" x="4140"/>
        <item sd="0" x="4141"/>
        <item sd="0" x="4142"/>
        <item sd="0" x="4143"/>
        <item sd="0" x="4144"/>
        <item sd="0" x="4145"/>
        <item sd="0" x="4146"/>
        <item sd="0" x="4147"/>
        <item sd="0" x="4148"/>
        <item sd="0" x="4149"/>
        <item sd="0" x="4150"/>
        <item sd="0" x="4151"/>
        <item sd="0" x="4152"/>
        <item sd="0" x="4153"/>
        <item sd="0" x="4154"/>
        <item sd="0" x="4155"/>
        <item sd="0" x="4156"/>
        <item sd="0" x="4157"/>
        <item sd="0" x="4158"/>
        <item sd="0" x="4159"/>
        <item sd="0" x="4160"/>
        <item sd="0" x="4161"/>
        <item sd="0" x="4162"/>
        <item sd="0" x="4163"/>
        <item sd="0" x="4164"/>
        <item sd="0" x="4165"/>
        <item sd="0" x="4166"/>
        <item sd="0" x="4167"/>
        <item sd="0" x="4168"/>
        <item sd="0" x="4169"/>
        <item sd="0" x="4170"/>
        <item sd="0" x="4171"/>
        <item sd="0" x="4172"/>
        <item sd="0" x="4173"/>
        <item sd="0" x="4174"/>
        <item sd="0" x="4175"/>
        <item sd="0" x="4176"/>
        <item sd="0" x="4177"/>
        <item sd="0" x="4178"/>
        <item sd="0" x="4179"/>
        <item sd="0" x="4180"/>
        <item sd="0" x="4181"/>
        <item sd="0" x="4182"/>
        <item sd="0" x="4183"/>
        <item sd="0" x="4184"/>
        <item sd="0" x="4185"/>
        <item sd="0" x="4186"/>
        <item sd="0" x="4187"/>
        <item sd="0" x="4188"/>
        <item sd="0" x="4189"/>
        <item sd="0" x="4190"/>
        <item sd="0" x="4191"/>
        <item sd="0" x="4192"/>
        <item sd="0" x="4193"/>
        <item sd="0" x="4194"/>
        <item sd="0" x="4195"/>
        <item sd="0" x="4196"/>
        <item sd="0" x="4197"/>
        <item sd="0" x="4198"/>
        <item sd="0" x="4199"/>
        <item sd="0" x="4200"/>
        <item sd="0" x="4201"/>
        <item sd="0" x="4202"/>
        <item sd="0" x="4203"/>
        <item sd="0" x="4204"/>
        <item sd="0" x="4205"/>
        <item sd="0" x="4206"/>
        <item sd="0" x="4207"/>
        <item sd="0" x="4208"/>
        <item sd="0" x="4209"/>
        <item sd="0" x="4210"/>
        <item sd="0" x="4211"/>
        <item sd="0" x="4212"/>
        <item sd="0" x="4213"/>
        <item sd="0" x="4214"/>
        <item sd="0" x="4215"/>
        <item sd="0" x="4216"/>
        <item sd="0" x="4217"/>
        <item sd="0" x="4218"/>
        <item sd="0" x="4219"/>
        <item sd="0" x="4220"/>
        <item sd="0" x="4221"/>
        <item sd="0" x="4222"/>
        <item sd="0" x="4223"/>
        <item sd="0" x="4224"/>
        <item sd="0" x="4225"/>
        <item sd="0" x="4226"/>
        <item sd="0" x="4227"/>
        <item sd="0" x="4228"/>
        <item sd="0" x="4229"/>
        <item sd="0" x="4230"/>
        <item sd="0" x="4231"/>
        <item sd="0" x="4232"/>
        <item sd="0" x="4233"/>
        <item sd="0" x="4234"/>
        <item sd="0" x="4235"/>
        <item sd="0" x="4236"/>
        <item sd="0" x="4237"/>
        <item sd="0" x="4238"/>
        <item sd="0" x="4239"/>
        <item sd="0" x="4240"/>
        <item sd="0" x="4241"/>
        <item sd="0" x="4242"/>
        <item sd="0" x="4243"/>
        <item sd="0" x="4244"/>
        <item sd="0" x="4245"/>
        <item sd="0" x="4246"/>
        <item sd="0" x="4247"/>
        <item sd="0" x="4248"/>
        <item sd="0" x="4249"/>
        <item sd="0" x="4250"/>
        <item sd="0" x="4251"/>
        <item sd="0" x="4252"/>
        <item sd="0" x="4253"/>
        <item sd="0" x="4254"/>
        <item sd="0" x="4255"/>
        <item sd="0" x="4256"/>
        <item sd="0" x="4257"/>
        <item sd="0" x="4258"/>
        <item sd="0" x="4259"/>
        <item sd="0" x="4260"/>
        <item sd="0" x="4261"/>
        <item sd="0" x="4262"/>
        <item sd="0" x="4263"/>
        <item sd="0" x="4264"/>
        <item sd="0" x="4265"/>
        <item sd="0" x="4266"/>
        <item sd="0" x="4267"/>
        <item sd="0" x="4268"/>
        <item sd="0" x="4269"/>
        <item sd="0" x="4270"/>
        <item sd="0" x="4271"/>
        <item sd="0" x="4272"/>
        <item sd="0" x="4273"/>
        <item sd="0" x="4274"/>
        <item sd="0" x="4275"/>
        <item sd="0" x="4276"/>
        <item sd="0" x="4277"/>
        <item sd="0" x="4278"/>
        <item sd="0" x="4279"/>
        <item sd="0" x="4280"/>
        <item sd="0" x="4281"/>
        <item sd="0" x="4282"/>
        <item sd="0" x="4283"/>
        <item sd="0" x="4284"/>
        <item sd="0" x="4285"/>
        <item sd="0" x="4286"/>
        <item sd="0" x="4287"/>
        <item sd="0" x="4288"/>
        <item sd="0" x="4289"/>
        <item sd="0" x="4290"/>
        <item sd="0" x="4291"/>
        <item sd="0" x="4292"/>
        <item sd="0" x="4293"/>
        <item sd="0" x="4294"/>
        <item sd="0" x="4295"/>
        <item sd="0" x="4296"/>
        <item sd="0" x="4297"/>
        <item sd="0" x="4298"/>
        <item sd="0" x="4299"/>
        <item sd="0" x="4300"/>
        <item sd="0" x="4301"/>
        <item sd="0" x="4302"/>
        <item sd="0" x="4303"/>
        <item sd="0" x="4304"/>
        <item sd="0" x="4305"/>
        <item sd="0" x="4306"/>
        <item sd="0" x="4307"/>
        <item sd="0" x="4308"/>
        <item sd="0" x="4309"/>
        <item sd="0" x="4310"/>
        <item sd="0" x="4311"/>
        <item sd="0" x="4312"/>
        <item sd="0" x="4313"/>
        <item sd="0" x="4314"/>
        <item sd="0" x="4315"/>
        <item sd="0" x="4316"/>
        <item sd="0" x="4317"/>
        <item sd="0" x="4318"/>
        <item sd="0" x="4319"/>
        <item sd="0" x="4320"/>
        <item sd="0" x="4321"/>
        <item sd="0" x="4322"/>
        <item sd="0" x="4323"/>
        <item sd="0" x="4324"/>
        <item sd="0" x="4325"/>
        <item sd="0" x="4326"/>
        <item sd="0" x="4327"/>
        <item sd="0" x="4328"/>
        <item sd="0" x="4329"/>
        <item sd="0" x="4330"/>
        <item sd="0" x="4331"/>
        <item sd="0" x="4332"/>
        <item sd="0" x="4333"/>
        <item sd="0" x="4334"/>
        <item sd="0" x="4335"/>
        <item sd="0" x="4336"/>
        <item sd="0" x="4337"/>
        <item sd="0" x="4338"/>
        <item sd="0" x="4339"/>
        <item sd="0" x="4340"/>
        <item sd="0" x="4341"/>
        <item sd="0" x="4342"/>
        <item sd="0" x="4343"/>
        <item sd="0" x="4344"/>
        <item sd="0" x="4345"/>
        <item sd="0" x="4346"/>
        <item sd="0" x="4347"/>
        <item sd="0" x="4348"/>
        <item sd="0" x="4349"/>
        <item sd="0" x="4350"/>
        <item sd="0" x="4351"/>
        <item sd="0" x="4352"/>
        <item sd="0" x="4353"/>
        <item sd="0" x="4354"/>
        <item sd="0" x="4355"/>
        <item sd="0" x="4356"/>
        <item sd="0" x="4357"/>
        <item sd="0" x="4358"/>
        <item sd="0" x="4359"/>
        <item sd="0" x="4360"/>
        <item sd="0" x="4361"/>
        <item sd="0" x="4362"/>
        <item sd="0" x="4363"/>
        <item sd="0" x="4364"/>
        <item sd="0" x="4365"/>
        <item sd="0" x="4366"/>
        <item sd="0" x="4367"/>
        <item sd="0" x="4368"/>
        <item sd="0" x="4369"/>
        <item sd="0" x="4370"/>
        <item sd="0" x="4371"/>
        <item sd="0" x="4372"/>
        <item sd="0" x="4373"/>
        <item sd="0" x="4374"/>
        <item sd="0" x="4375"/>
        <item sd="0" x="4376"/>
        <item sd="0" x="4377"/>
        <item sd="0" x="4378"/>
        <item sd="0" x="4379"/>
        <item sd="0" x="4380"/>
        <item sd="0" x="4381"/>
        <item sd="0" x="4382"/>
        <item sd="0" x="4383"/>
        <item sd="0" x="4384"/>
        <item sd="0" x="4385"/>
        <item sd="0" x="4386"/>
        <item sd="0" x="4387"/>
        <item sd="0" x="4388"/>
        <item sd="0" x="4389"/>
        <item sd="0" x="4390"/>
        <item sd="0" x="4391"/>
        <item sd="0" x="4392"/>
        <item sd="0" x="4393"/>
        <item sd="0" x="4394"/>
        <item sd="0" x="4395"/>
        <item sd="0" x="4396"/>
        <item sd="0" x="4397"/>
        <item sd="0" x="4398"/>
        <item sd="0" x="4399"/>
        <item sd="0" x="4400"/>
        <item sd="0" x="4401"/>
        <item sd="0" x="4402"/>
        <item sd="0" x="4403"/>
        <item sd="0" x="4404"/>
        <item sd="0" x="4405"/>
        <item sd="0" x="4406"/>
        <item sd="0" x="4407"/>
        <item sd="0" x="4408"/>
        <item sd="0" x="4409"/>
        <item sd="0" x="4410"/>
        <item sd="0" x="4411"/>
        <item sd="0" x="4412"/>
        <item sd="0" x="4413"/>
        <item sd="0" x="4414"/>
        <item sd="0" x="4415"/>
        <item sd="0" x="4416"/>
        <item sd="0" x="4417"/>
        <item sd="0" x="4418"/>
        <item sd="0" x="4419"/>
        <item sd="0" x="4420"/>
        <item sd="0" x="4421"/>
        <item sd="0" x="4422"/>
        <item sd="0" x="4423"/>
        <item sd="0" x="4424"/>
        <item sd="0" x="4425"/>
        <item sd="0" x="4426"/>
        <item sd="0" x="4427"/>
        <item sd="0" x="4428"/>
        <item sd="0" x="4429"/>
        <item sd="0" x="4430"/>
        <item sd="0" x="4431"/>
        <item sd="0" x="4432"/>
        <item sd="0" x="4433"/>
        <item sd="0" x="4434"/>
        <item sd="0" x="4435"/>
        <item sd="0" x="4436"/>
        <item sd="0" x="4437"/>
        <item sd="0" x="4438"/>
        <item sd="0" x="4439"/>
        <item sd="0" x="4440"/>
        <item sd="0" x="4441"/>
        <item sd="0" x="4442"/>
        <item sd="0" x="4443"/>
        <item sd="0" x="4444"/>
        <item sd="0" x="4445"/>
        <item sd="0" x="4446"/>
        <item sd="0" x="4447"/>
        <item sd="0" x="4448"/>
        <item sd="0" x="4449"/>
        <item sd="0" x="4450"/>
        <item sd="0" x="4451"/>
        <item sd="0" x="4452"/>
        <item sd="0" x="4453"/>
        <item sd="0" x="4454"/>
        <item sd="0" x="4455"/>
        <item sd="0" x="4456"/>
        <item sd="0" x="4457"/>
        <item sd="0" x="4458"/>
        <item sd="0" x="4459"/>
        <item sd="0" x="4460"/>
        <item sd="0" x="4461"/>
        <item sd="0" x="4462"/>
        <item sd="0" x="4463"/>
        <item sd="0" x="4464"/>
        <item sd="0" x="4465"/>
        <item sd="0" x="4466"/>
        <item sd="0" x="4467"/>
        <item sd="0" x="4468"/>
        <item sd="0" x="4469"/>
        <item sd="0" x="4470"/>
        <item sd="0" x="4471"/>
        <item sd="0" x="4472"/>
        <item sd="0" x="4473"/>
        <item sd="0" x="4474"/>
        <item sd="0" x="4475"/>
        <item sd="0" x="4476"/>
        <item sd="0" x="4477"/>
        <item sd="0" x="4478"/>
        <item sd="0" x="4479"/>
        <item sd="0" x="4480"/>
        <item sd="0" x="4481"/>
        <item sd="0" x="4482"/>
        <item sd="0" x="4483"/>
        <item sd="0" x="4484"/>
        <item sd="0" x="4485"/>
        <item sd="0" x="4486"/>
        <item sd="0" x="4487"/>
        <item sd="0" x="4488"/>
        <item sd="0" x="4489"/>
        <item sd="0" x="4490"/>
        <item sd="0" x="4491"/>
        <item sd="0" x="4492"/>
        <item sd="0" x="4493"/>
        <item sd="0" x="4494"/>
        <item sd="0" x="4495"/>
        <item sd="0" x="4496"/>
        <item sd="0" x="4497"/>
        <item sd="0" x="4498"/>
        <item sd="0" x="4499"/>
        <item sd="0" x="4500"/>
        <item sd="0" x="4501"/>
        <item sd="0" x="4502"/>
        <item sd="0" x="4503"/>
        <item sd="0" x="4504"/>
        <item sd="0" x="4505"/>
        <item sd="0" x="4506"/>
        <item sd="0" x="4507"/>
        <item sd="0" x="4508"/>
        <item sd="0" x="4509"/>
        <item sd="0" x="4510"/>
        <item sd="0" x="4511"/>
        <item sd="0" x="4512"/>
        <item sd="0" x="4513"/>
        <item sd="0" x="4514"/>
        <item sd="0" x="4515"/>
        <item sd="0" x="4516"/>
        <item sd="0" x="4517"/>
        <item sd="0" x="4518"/>
        <item sd="0" x="4519"/>
        <item sd="0" x="4520"/>
        <item sd="0" x="4521"/>
        <item sd="0" x="4522"/>
        <item sd="0" x="4523"/>
        <item sd="0" x="4524"/>
        <item sd="0" x="4525"/>
        <item sd="0" x="4526"/>
        <item sd="0" x="4527"/>
        <item sd="0" x="4528"/>
        <item sd="0" x="4529"/>
        <item sd="0" x="4530"/>
        <item sd="0" x="4531"/>
        <item sd="0" x="4532"/>
        <item sd="0" x="4533"/>
        <item sd="0" x="4534"/>
        <item sd="0" x="4535"/>
        <item sd="0" x="4536"/>
        <item sd="0" x="4537"/>
        <item sd="0" x="4538"/>
        <item sd="0" x="4539"/>
        <item sd="0" x="4540"/>
        <item sd="0" x="4541"/>
        <item sd="0" x="4542"/>
        <item sd="0" x="4543"/>
        <item sd="0" x="4544"/>
        <item sd="0" x="4545"/>
        <item sd="0" x="4546"/>
        <item sd="0" x="4547"/>
        <item sd="0" x="4548"/>
        <item sd="0" x="4549"/>
        <item sd="0" x="4550"/>
        <item sd="0" x="4551"/>
        <item sd="0" x="4552"/>
        <item sd="0" x="4553"/>
        <item sd="0" x="4554"/>
        <item sd="0" x="4555"/>
        <item sd="0" x="4556"/>
        <item sd="0" x="4557"/>
        <item sd="0" x="4558"/>
        <item sd="0" x="4559"/>
        <item sd="0" x="4560"/>
        <item sd="0" x="4561"/>
        <item sd="0" x="4562"/>
        <item sd="0" x="4563"/>
        <item sd="0" x="4564"/>
        <item sd="0" x="4565"/>
        <item sd="0" x="4566"/>
        <item sd="0" x="4567"/>
        <item sd="0" x="4568"/>
        <item sd="0" x="4569"/>
        <item sd="0" x="4570"/>
        <item sd="0" x="4571"/>
        <item sd="0" x="4572"/>
        <item sd="0" x="4573"/>
        <item sd="0" x="4574"/>
        <item sd="0" x="4575"/>
        <item sd="0" x="4576"/>
        <item sd="0" x="4577"/>
        <item sd="0" x="4578"/>
        <item sd="0" x="4579"/>
        <item sd="0" x="4580"/>
        <item sd="0" x="4581"/>
        <item sd="0" x="4582"/>
        <item sd="0" x="4583"/>
        <item sd="0" x="4584"/>
        <item sd="0" x="4585"/>
        <item sd="0" x="4586"/>
        <item sd="0" x="4587"/>
        <item sd="0" x="4588"/>
        <item sd="0" x="4589"/>
        <item sd="0" x="4590"/>
        <item sd="0" x="4591"/>
        <item sd="0" x="4592"/>
        <item sd="0" x="4593"/>
        <item sd="0" x="4594"/>
        <item sd="0" x="4595"/>
        <item sd="0" x="4596"/>
        <item sd="0" x="4597"/>
        <item sd="0" x="4598"/>
        <item sd="0" x="4599"/>
        <item sd="0" x="4600"/>
        <item sd="0" x="4601"/>
        <item sd="0" x="4602"/>
        <item sd="0" x="4603"/>
        <item sd="0" x="4604"/>
        <item sd="0" x="4605"/>
        <item sd="0" x="4606"/>
        <item sd="0" x="4607"/>
        <item sd="0" x="4608"/>
        <item sd="0" x="4609"/>
        <item sd="0" x="4610"/>
        <item sd="0" x="4611"/>
        <item sd="0" x="4612"/>
        <item sd="0" x="4613"/>
        <item sd="0" x="4614"/>
        <item sd="0" x="4615"/>
        <item sd="0" x="4616"/>
        <item sd="0" x="4617"/>
        <item sd="0" x="4618"/>
        <item sd="0" x="4619"/>
        <item sd="0" x="4620"/>
        <item sd="0" x="4621"/>
        <item sd="0" x="4622"/>
        <item sd="0" x="4623"/>
        <item sd="0" x="4624"/>
        <item sd="0" x="4625"/>
        <item sd="0" x="4626"/>
        <item sd="0" x="4627"/>
        <item sd="0" x="4628"/>
        <item sd="0" x="4629"/>
        <item sd="0" x="4630"/>
        <item sd="0" x="4631"/>
        <item sd="0" x="4632"/>
        <item sd="0" x="4633"/>
        <item sd="0" x="4634"/>
        <item sd="0" x="4635"/>
        <item sd="0" x="4636"/>
        <item sd="0" x="4637"/>
        <item sd="0" x="4638"/>
        <item sd="0" x="4639"/>
        <item sd="0" x="4640"/>
        <item sd="0" x="4641"/>
        <item sd="0" x="4642"/>
        <item sd="0" x="4643"/>
        <item sd="0" x="4644"/>
        <item sd="0" x="4645"/>
        <item sd="0" x="4646"/>
        <item sd="0" x="4647"/>
        <item sd="0" x="4648"/>
        <item sd="0" x="4649"/>
        <item sd="0" x="4650"/>
        <item sd="0" x="4651"/>
        <item sd="0" x="4652"/>
        <item sd="0" x="4653"/>
        <item sd="0" x="4654"/>
        <item sd="0" x="4655"/>
        <item sd="0" x="4656"/>
        <item sd="0" x="4657"/>
        <item sd="0" x="4658"/>
        <item sd="0" x="4659"/>
        <item sd="0" x="4660"/>
        <item sd="0" x="4661"/>
        <item sd="0" x="4662"/>
        <item sd="0" x="4663"/>
        <item sd="0" x="4664"/>
        <item sd="0" x="4665"/>
        <item sd="0" x="4666"/>
        <item sd="0" x="4667"/>
        <item sd="0" x="4668"/>
        <item sd="0" x="4669"/>
        <item sd="0" x="4670"/>
        <item sd="0" x="4671"/>
        <item sd="0" x="4672"/>
        <item sd="0" x="4673"/>
        <item sd="0" x="4674"/>
        <item sd="0" x="4675"/>
        <item sd="0" x="4676"/>
        <item sd="0" x="4677"/>
        <item sd="0" x="4678"/>
        <item sd="0" x="4679"/>
        <item sd="0" x="4680"/>
        <item sd="0" x="4681"/>
        <item sd="0" x="4682"/>
        <item sd="0" x="4683"/>
        <item sd="0" x="4684"/>
        <item sd="0" x="4685"/>
        <item sd="0" x="4686"/>
        <item sd="0" x="4687"/>
        <item sd="0" x="4688"/>
        <item sd="0" x="4689"/>
        <item sd="0" x="4690"/>
        <item sd="0" x="4691"/>
        <item sd="0" x="4692"/>
        <item sd="0" x="4693"/>
        <item sd="0" x="4694"/>
        <item sd="0" x="4695"/>
        <item sd="0" x="4696"/>
        <item sd="0" x="4697"/>
        <item sd="0" x="4698"/>
        <item sd="0" x="4699"/>
        <item sd="0" x="4700"/>
        <item sd="0" x="4701"/>
        <item sd="0" x="4702"/>
        <item sd="0" x="4703"/>
        <item sd="0" x="4704"/>
        <item sd="0" x="4705"/>
        <item sd="0" x="4706"/>
        <item sd="0" x="4707"/>
        <item sd="0" x="4708"/>
        <item sd="0" x="4709"/>
        <item sd="0" x="4710"/>
        <item sd="0" x="4711"/>
        <item sd="0" x="4712"/>
        <item sd="0" x="4713"/>
        <item sd="0" x="4714"/>
        <item sd="0" x="4715"/>
        <item sd="0" x="4716"/>
        <item sd="0" x="4717"/>
        <item sd="0" x="4718"/>
        <item sd="0" x="4719"/>
        <item sd="0" x="4720"/>
        <item sd="0" x="4721"/>
        <item sd="0" x="4722"/>
        <item sd="0" x="4723"/>
        <item sd="0" x="4724"/>
        <item sd="0" x="4725"/>
        <item sd="0" x="4726"/>
        <item sd="0" x="4727"/>
        <item sd="0" x="4728"/>
        <item sd="0" x="4729"/>
        <item sd="0" x="4730"/>
        <item sd="0" x="4731"/>
        <item sd="0" x="4732"/>
        <item sd="0" x="4733"/>
        <item sd="0" x="4734"/>
        <item sd="0" x="4735"/>
        <item sd="0" x="4736"/>
        <item sd="0" x="4737"/>
        <item sd="0" x="4738"/>
        <item sd="0" x="4739"/>
        <item sd="0" x="4740"/>
        <item sd="0" x="4741"/>
        <item sd="0" x="4742"/>
        <item sd="0" x="4743"/>
        <item sd="0" x="4744"/>
        <item sd="0" x="4745"/>
        <item sd="0" x="4746"/>
        <item sd="0" x="4747"/>
        <item sd="0" x="4748"/>
        <item sd="0" x="4749"/>
        <item sd="0" x="4750"/>
        <item sd="0" x="4751"/>
        <item sd="0" x="4752"/>
        <item sd="0" x="4753"/>
        <item sd="0" x="4754"/>
        <item sd="0" x="4755"/>
        <item sd="0" x="4756"/>
        <item sd="0" x="4757"/>
        <item sd="0" x="4758"/>
        <item sd="0" x="4759"/>
        <item sd="0" x="4760"/>
        <item sd="0" x="4761"/>
        <item sd="0" x="4762"/>
        <item sd="0" x="4763"/>
        <item sd="0" x="4764"/>
        <item sd="0" x="4765"/>
        <item sd="0" x="4766"/>
        <item sd="0" x="4767"/>
        <item sd="0" x="4768"/>
        <item sd="0" x="4769"/>
        <item sd="0" x="4770"/>
        <item sd="0" x="4771"/>
        <item sd="0" x="4772"/>
        <item sd="0" x="4773"/>
        <item sd="0" x="4774"/>
        <item sd="0" x="4775"/>
        <item sd="0" x="4776"/>
        <item sd="0" x="4777"/>
        <item sd="0" x="4778"/>
        <item sd="0" x="4779"/>
        <item sd="0" x="4780"/>
        <item sd="0" x="4781"/>
        <item sd="0" x="4782"/>
        <item sd="0" x="4783"/>
        <item sd="0" x="4784"/>
        <item sd="0" x="4785"/>
        <item sd="0" x="4786"/>
        <item sd="0" x="4787"/>
        <item sd="0" x="4788"/>
        <item sd="0" x="4789"/>
        <item sd="0" x="4790"/>
        <item sd="0" x="4791"/>
        <item sd="0" x="4792"/>
        <item sd="0" x="4793"/>
        <item sd="0" x="4794"/>
        <item sd="0" x="4795"/>
        <item sd="0" x="4796"/>
        <item sd="0" x="4797"/>
        <item sd="0" x="4798"/>
        <item sd="0" x="4799"/>
        <item sd="0" x="4800"/>
        <item sd="0" x="4801"/>
        <item sd="0" x="4802"/>
        <item sd="0" x="4803"/>
        <item sd="0" x="4804"/>
        <item sd="0" x="4805"/>
        <item sd="0" x="4806"/>
        <item sd="0" x="4807"/>
        <item sd="0" x="4808"/>
        <item sd="0" x="4809"/>
        <item sd="0" x="4810"/>
        <item sd="0" x="4811"/>
        <item sd="0" x="4812"/>
        <item sd="0" x="4813"/>
        <item sd="0" x="4814"/>
        <item sd="0" x="4815"/>
        <item sd="0" x="4816"/>
        <item sd="0" x="4817"/>
        <item sd="0" x="4818"/>
        <item sd="0" x="4819"/>
        <item sd="0" x="4820"/>
        <item sd="0" x="4821"/>
        <item sd="0" x="4822"/>
        <item sd="0" x="4823"/>
        <item sd="0" x="4824"/>
        <item sd="0" x="4825"/>
        <item sd="0" x="4826"/>
        <item sd="0" x="4827"/>
        <item sd="0" x="4828"/>
        <item sd="0" x="4829"/>
        <item sd="0" x="4830"/>
        <item sd="0" x="4831"/>
        <item sd="0" x="4832"/>
        <item sd="0" x="4833"/>
        <item sd="0" x="4834"/>
        <item sd="0" x="4835"/>
        <item sd="0" x="4836"/>
        <item sd="0" x="4837"/>
        <item sd="0" x="4838"/>
        <item sd="0" x="4839"/>
        <item sd="0" x="4840"/>
        <item sd="0" x="4841"/>
        <item sd="0" x="4842"/>
        <item sd="0" x="4843"/>
        <item sd="0" x="4844"/>
        <item sd="0" x="4845"/>
        <item sd="0" x="4846"/>
        <item sd="0" x="4847"/>
        <item sd="0" x="4848"/>
        <item sd="0" x="4849"/>
        <item sd="0" x="4850"/>
        <item sd="0" x="4851"/>
        <item sd="0" x="4852"/>
        <item sd="0" x="4853"/>
        <item sd="0" x="4854"/>
        <item sd="0" x="4855"/>
        <item sd="0" x="4856"/>
        <item sd="0" x="4857"/>
        <item sd="0" x="4858"/>
        <item sd="0" x="4859"/>
        <item sd="0" x="4860"/>
        <item sd="0" x="4861"/>
        <item sd="0" x="4862"/>
        <item sd="0" x="4863"/>
        <item sd="0" x="4864"/>
        <item sd="0" x="4865"/>
        <item sd="0" x="4866"/>
        <item sd="0" x="4867"/>
        <item sd="0" x="4868"/>
        <item sd="0" x="4869"/>
        <item sd="0" x="4870"/>
        <item sd="0" x="4871"/>
        <item sd="0" x="4872"/>
        <item sd="0" x="4873"/>
        <item sd="0" x="4874"/>
        <item sd="0" x="4875"/>
        <item sd="0" x="4876"/>
        <item sd="0" x="4877"/>
        <item sd="0" x="4878"/>
        <item sd="0" x="4879"/>
        <item sd="0" x="4880"/>
        <item sd="0" x="4881"/>
        <item sd="0" x="4882"/>
        <item sd="0" x="4883"/>
        <item sd="0" x="4884"/>
        <item sd="0" x="4885"/>
        <item sd="0" x="4886"/>
        <item sd="0" x="4887"/>
        <item sd="0" x="4888"/>
        <item sd="0" x="4889"/>
        <item sd="0" x="4890"/>
        <item sd="0" x="4891"/>
        <item sd="0" x="4892"/>
        <item sd="0" x="4893"/>
        <item sd="0" x="4894"/>
        <item sd="0" x="4895"/>
        <item sd="0" x="4896"/>
        <item sd="0" x="4897"/>
        <item sd="0" x="4898"/>
        <item sd="0" x="4899"/>
        <item sd="0" x="4900"/>
        <item sd="0" x="4901"/>
        <item sd="0" x="4902"/>
        <item sd="0" x="4903"/>
        <item sd="0" x="4904"/>
        <item sd="0" x="4905"/>
        <item sd="0" x="4906"/>
        <item sd="0" x="4907"/>
        <item sd="0" x="4908"/>
        <item sd="0" x="4909"/>
        <item sd="0" x="4910"/>
        <item sd="0" x="4911"/>
        <item sd="0" x="4912"/>
        <item sd="0" x="4913"/>
        <item sd="0" x="4914"/>
        <item sd="0" x="4915"/>
        <item sd="0" x="4916"/>
        <item sd="0" x="4917"/>
        <item sd="0" x="4918"/>
        <item sd="0" x="4919"/>
        <item sd="0" x="4920"/>
        <item sd="0" x="4921"/>
        <item sd="0" x="4922"/>
        <item sd="0" x="4923"/>
        <item sd="0" x="4924"/>
        <item sd="0" x="4925"/>
        <item sd="0" x="4926"/>
        <item sd="0" x="4927"/>
        <item sd="0" x="4928"/>
        <item sd="0" x="4929"/>
        <item sd="0" x="4930"/>
        <item sd="0" x="4931"/>
        <item sd="0" x="4932"/>
        <item sd="0" x="4933"/>
        <item sd="0" x="4934"/>
        <item sd="0" x="4935"/>
        <item sd="0" x="4936"/>
        <item sd="0" x="4937"/>
        <item sd="0" x="4938"/>
        <item sd="0" x="4939"/>
        <item sd="0" x="4940"/>
        <item sd="0" x="4941"/>
        <item sd="0" x="4942"/>
        <item sd="0" x="4943"/>
        <item sd="0" x="4944"/>
        <item sd="0" x="4945"/>
        <item sd="0" x="4946"/>
        <item sd="0" x="4947"/>
        <item sd="0" x="4948"/>
        <item sd="0" x="4949"/>
        <item sd="0" x="4950"/>
        <item sd="0" x="4951"/>
        <item sd="0" x="4952"/>
        <item sd="0" x="4953"/>
        <item sd="0" x="4954"/>
        <item sd="0" x="4955"/>
        <item sd="0" x="4956"/>
        <item sd="0" x="4957"/>
        <item sd="0" x="4958"/>
        <item sd="0" x="4959"/>
        <item sd="0" x="4960"/>
        <item sd="0" x="4961"/>
        <item sd="0" x="4962"/>
        <item sd="0" x="4963"/>
        <item sd="0" x="4964"/>
        <item sd="0" x="4965"/>
        <item sd="0" x="4966"/>
        <item sd="0" x="4967"/>
        <item sd="0" x="4968"/>
        <item sd="0" x="4969"/>
        <item sd="0" x="4970"/>
        <item sd="0" x="4971"/>
        <item sd="0" x="4972"/>
        <item sd="0" x="4973"/>
        <item sd="0" x="4974"/>
        <item sd="0" x="4975"/>
        <item sd="0" x="4976"/>
        <item sd="0" x="4977"/>
        <item sd="0" x="4978"/>
        <item sd="0" x="4979"/>
        <item sd="0" x="4980"/>
        <item sd="0" x="4981"/>
        <item sd="0" x="4982"/>
        <item sd="0" x="4983"/>
        <item sd="0" x="4984"/>
        <item sd="0" x="4985"/>
        <item sd="0" x="4986"/>
        <item sd="0" x="4987"/>
        <item sd="0" x="4988"/>
        <item sd="0" x="4989"/>
        <item sd="0" x="4990"/>
        <item sd="0" x="4991"/>
        <item sd="0" x="4992"/>
        <item sd="0" x="4993"/>
        <item sd="0" x="4994"/>
        <item sd="0" x="4995"/>
        <item sd="0" x="4996"/>
        <item sd="0" x="4997"/>
        <item sd="0" x="4998"/>
        <item sd="0" x="4999"/>
        <item sd="0" x="5000"/>
        <item sd="0" x="5001"/>
        <item sd="0" x="5002"/>
        <item sd="0" x="5003"/>
        <item sd="0" x="5004"/>
        <item sd="0" x="5005"/>
        <item sd="0" x="5006"/>
        <item sd="0" x="5007"/>
        <item sd="0" x="5008"/>
        <item sd="0" x="5009"/>
        <item sd="0" x="5010"/>
        <item sd="0" x="5011"/>
        <item sd="0" x="5012"/>
        <item sd="0" x="5013"/>
        <item sd="0" x="5014"/>
        <item sd="0" x="5015"/>
        <item sd="0" x="5016"/>
        <item sd="0" x="5017"/>
        <item sd="0" x="5018"/>
        <item sd="0" x="5019"/>
        <item sd="0" x="5020"/>
        <item sd="0" x="5021"/>
        <item sd="0" x="5022"/>
        <item sd="0" x="5023"/>
        <item sd="0" x="5024"/>
        <item sd="0" x="5025"/>
        <item sd="0" x="5026"/>
        <item sd="0" x="5027"/>
        <item sd="0" x="5028"/>
        <item sd="0" x="5029"/>
        <item sd="0" x="5030"/>
        <item sd="0" x="5031"/>
        <item sd="0" x="5032"/>
        <item sd="0" x="5033"/>
        <item sd="0" x="5034"/>
        <item sd="0" x="5035"/>
        <item sd="0" x="5036"/>
        <item sd="0" x="5037"/>
        <item sd="0" x="5038"/>
        <item sd="0" x="5039"/>
        <item sd="0" x="5040"/>
        <item sd="0" x="5041"/>
        <item sd="0" x="5042"/>
        <item sd="0" x="5043"/>
        <item sd="0" x="5044"/>
        <item sd="0" x="5045"/>
        <item sd="0" x="5046"/>
        <item sd="0" x="5047"/>
        <item sd="0" x="5048"/>
        <item sd="0" x="5049"/>
        <item sd="0" x="5050"/>
        <item sd="0" x="5051"/>
        <item sd="0" x="5052"/>
        <item sd="0" x="5053"/>
        <item sd="0" x="5054"/>
        <item sd="0" x="5055"/>
        <item sd="0" x="5056"/>
        <item sd="0" x="5057"/>
        <item sd="0" x="5058"/>
        <item sd="0" x="5059"/>
        <item sd="0" x="5060"/>
        <item sd="0" x="5061"/>
        <item sd="0" x="5062"/>
        <item sd="0" x="5063"/>
        <item sd="0" x="5064"/>
        <item sd="0" x="5065"/>
        <item sd="0" x="5066"/>
        <item sd="0" x="5067"/>
        <item sd="0" x="5068"/>
        <item sd="0" x="5069"/>
        <item sd="0" x="5070"/>
        <item sd="0" x="5071"/>
        <item sd="0" x="5072"/>
        <item sd="0" x="5073"/>
        <item sd="0" x="5074"/>
        <item sd="0" x="5075"/>
        <item sd="0" x="5076"/>
        <item sd="0" x="5077"/>
        <item sd="0" x="5078"/>
        <item sd="0" x="5079"/>
        <item sd="0" x="5080"/>
        <item sd="0" x="5081"/>
        <item sd="0" x="5082"/>
        <item sd="0" x="5083"/>
        <item sd="0" x="5084"/>
        <item sd="0" x="5085"/>
        <item sd="0" x="5086"/>
        <item sd="0" x="5087"/>
        <item sd="0" x="5088"/>
        <item sd="0" x="5089"/>
        <item sd="0" x="5090"/>
        <item sd="0" x="5091"/>
        <item sd="0" x="5092"/>
        <item sd="0" x="5093"/>
        <item sd="0" x="5094"/>
        <item sd="0" x="5095"/>
        <item sd="0" x="5096"/>
        <item sd="0" x="5097"/>
        <item sd="0" x="5098"/>
        <item sd="0" x="5099"/>
        <item sd="0" x="5100"/>
        <item sd="0" x="5101"/>
        <item sd="0" x="5102"/>
        <item sd="0" x="5103"/>
        <item sd="0" x="5104"/>
        <item sd="0" x="5105"/>
        <item sd="0" x="5106"/>
        <item sd="0" x="5107"/>
        <item sd="0" x="5108"/>
        <item sd="0" x="5109"/>
        <item sd="0" x="5110"/>
        <item sd="0" x="5111"/>
        <item sd="0" x="5112"/>
        <item sd="0" x="5113"/>
        <item sd="0" x="5114"/>
        <item sd="0" x="5115"/>
        <item sd="0" x="5116"/>
        <item sd="0" x="5117"/>
        <item sd="0" x="5118"/>
        <item sd="0" x="5119"/>
        <item sd="0" x="5120"/>
        <item sd="0" x="5121"/>
        <item sd="0" x="5122"/>
        <item sd="0" x="5123"/>
        <item sd="0" x="5124"/>
        <item sd="0" x="5125"/>
        <item sd="0" x="5126"/>
        <item sd="0" x="5127"/>
        <item sd="0" x="5128"/>
        <item sd="0" x="5129"/>
        <item sd="0" x="5130"/>
        <item sd="0" x="5131"/>
        <item sd="0" x="5132"/>
        <item sd="0" x="5133"/>
        <item sd="0" x="5134"/>
        <item sd="0" x="5135"/>
        <item sd="0" x="5136"/>
        <item sd="0" x="5137"/>
        <item sd="0" x="5138"/>
        <item sd="0" x="5139"/>
        <item sd="0" x="5140"/>
        <item sd="0" x="5141"/>
        <item sd="0" x="5142"/>
        <item sd="0" x="5143"/>
        <item sd="0" x="5144"/>
        <item sd="0" x="5145"/>
        <item sd="0" x="5146"/>
        <item sd="0" x="5147"/>
        <item sd="0" x="5148"/>
        <item sd="0" x="5149"/>
        <item sd="0" x="5150"/>
        <item sd="0" x="5151"/>
        <item sd="0" x="5152"/>
        <item sd="0" x="5153"/>
        <item sd="0" x="5154"/>
        <item sd="0" x="5155"/>
        <item sd="0" x="5156"/>
        <item sd="0" x="5157"/>
        <item sd="0" x="5158"/>
        <item sd="0" x="5159"/>
        <item sd="0" x="5160"/>
        <item sd="0" x="5161"/>
        <item sd="0" x="5162"/>
        <item sd="0" x="5163"/>
        <item sd="0" x="5164"/>
        <item sd="0" x="5165"/>
        <item sd="0" x="5166"/>
        <item sd="0" x="5167"/>
        <item sd="0" x="5168"/>
        <item sd="0" x="5169"/>
        <item sd="0" x="5170"/>
        <item sd="0" x="5171"/>
        <item sd="0" x="5172"/>
        <item sd="0" x="5173"/>
        <item sd="0" x="5174"/>
        <item sd="0" x="5175"/>
        <item sd="0" x="5176"/>
        <item sd="0" x="5177"/>
        <item sd="0" x="5178"/>
        <item sd="0" x="5179"/>
        <item sd="0" x="5180"/>
        <item sd="0" x="5181"/>
        <item sd="0" x="5182"/>
        <item sd="0" x="5183"/>
        <item sd="0" x="5184"/>
        <item sd="0" x="5185"/>
        <item sd="0" x="5186"/>
        <item sd="0" x="5187"/>
        <item sd="0" x="5188"/>
        <item sd="0" x="5189"/>
        <item sd="0" x="5190"/>
        <item sd="0" x="5191"/>
        <item sd="0" x="5192"/>
        <item sd="0" x="5193"/>
        <item sd="0" x="5194"/>
        <item sd="0" x="5195"/>
        <item sd="0" x="5196"/>
        <item sd="0" x="5197"/>
        <item sd="0" x="5198"/>
        <item sd="0" x="5199"/>
        <item sd="0" x="5200"/>
        <item sd="0" x="5201"/>
        <item sd="0" x="5202"/>
        <item sd="0" x="5203"/>
        <item sd="0" x="5204"/>
        <item sd="0" x="5205"/>
        <item sd="0" x="5206"/>
        <item sd="0" x="5207"/>
        <item sd="0" x="5208"/>
        <item sd="0" x="5209"/>
        <item sd="0" x="5210"/>
        <item sd="0" x="5211"/>
        <item sd="0" x="5212"/>
        <item sd="0" x="5213"/>
        <item sd="0" x="5214"/>
        <item sd="0" x="5215"/>
        <item sd="0" x="5216"/>
        <item sd="0" x="5217"/>
        <item sd="0" x="5218"/>
        <item sd="0" x="5219"/>
        <item sd="0" x="5220"/>
        <item sd="0" x="5221"/>
        <item sd="0" x="5222"/>
        <item sd="0" x="5223"/>
        <item sd="0" x="5224"/>
        <item sd="0" x="5225"/>
        <item sd="0" x="5226"/>
        <item sd="0" x="5227"/>
        <item sd="0" x="5228"/>
        <item sd="0" x="5229"/>
        <item sd="0" x="5230"/>
        <item sd="0" x="5231"/>
        <item sd="0" x="5232"/>
        <item sd="0" x="5233"/>
        <item sd="0" x="5234"/>
        <item sd="0" x="5235"/>
        <item sd="0" x="5236"/>
        <item sd="0" x="5237"/>
        <item sd="0" x="5238"/>
        <item sd="0" x="5239"/>
        <item sd="0" x="5240"/>
        <item sd="0" x="5241"/>
        <item sd="0" x="5242"/>
        <item sd="0" x="5243"/>
        <item sd="0" x="5244"/>
        <item sd="0" x="5245"/>
        <item sd="0" x="5246"/>
        <item sd="0" x="5247"/>
        <item sd="0" x="5248"/>
        <item sd="0" x="5249"/>
        <item sd="0" x="5250"/>
        <item sd="0" x="5251"/>
        <item sd="0" x="5252"/>
        <item sd="0" x="5253"/>
        <item sd="0" x="5254"/>
        <item sd="0" x="5255"/>
        <item sd="0" x="5256"/>
        <item sd="0" x="5257"/>
        <item sd="0" x="5258"/>
        <item sd="0" x="5259"/>
        <item sd="0" x="5260"/>
        <item sd="0" x="5261"/>
        <item sd="0" x="5262"/>
        <item sd="0" x="5263"/>
        <item sd="0" x="5264"/>
        <item sd="0" x="5265"/>
        <item sd="0" x="5266"/>
        <item sd="0" x="5267"/>
        <item sd="0" x="5268"/>
        <item sd="0" x="5269"/>
        <item sd="0" x="5270"/>
        <item sd="0" x="5271"/>
        <item sd="0" x="5272"/>
        <item sd="0" x="5273"/>
        <item sd="0" x="5274"/>
        <item sd="0" x="5275"/>
        <item sd="0" x="5276"/>
        <item sd="0" x="5277"/>
        <item sd="0" x="5278"/>
        <item sd="0" x="5279"/>
        <item sd="0" x="5280"/>
        <item sd="0" x="5281"/>
        <item sd="0" x="5282"/>
        <item sd="0" x="5283"/>
        <item sd="0" x="5284"/>
        <item sd="0" x="5285"/>
        <item sd="0" x="5286"/>
        <item sd="0" x="5287"/>
        <item sd="0" x="5288"/>
        <item sd="0" x="5289"/>
        <item sd="0" x="5290"/>
        <item sd="0" x="5291"/>
        <item sd="0" x="5292"/>
        <item sd="0" x="5293"/>
        <item sd="0" x="5294"/>
        <item sd="0" x="5295"/>
        <item sd="0" x="5296"/>
        <item sd="0" x="5297"/>
        <item sd="0" x="5298"/>
        <item sd="0" x="5299"/>
        <item sd="0" x="5300"/>
        <item sd="0" x="5301"/>
        <item sd="0" x="5302"/>
        <item sd="0" x="5303"/>
        <item sd="0" x="5304"/>
        <item sd="0" x="5305"/>
        <item sd="0" x="5306"/>
        <item sd="0" x="5307"/>
        <item sd="0" x="5308"/>
        <item sd="0" x="5309"/>
        <item sd="0" x="5310"/>
        <item sd="0" x="5311"/>
        <item sd="0" x="5312"/>
        <item sd="0" x="5313"/>
        <item sd="0" x="5314"/>
        <item sd="0" x="5315"/>
        <item sd="0" x="5316"/>
        <item sd="0" x="5317"/>
        <item sd="0" x="5318"/>
        <item sd="0" x="5319"/>
        <item sd="0" x="5320"/>
        <item sd="0" x="5321"/>
        <item sd="0" x="5322"/>
        <item sd="0" x="5323"/>
        <item sd="0" x="5324"/>
        <item sd="0" x="5325"/>
        <item sd="0" x="5326"/>
        <item sd="0" x="5327"/>
        <item sd="0" x="5328"/>
        <item sd="0" x="5329"/>
        <item sd="0" x="5330"/>
        <item sd="0" x="5331"/>
        <item sd="0" x="5332"/>
        <item sd="0" x="5333"/>
        <item sd="0" x="5334"/>
        <item sd="0" x="5335"/>
        <item sd="0" x="5336"/>
        <item sd="0" x="5337"/>
        <item sd="0" x="5338"/>
        <item sd="0" x="5339"/>
        <item sd="0" x="5340"/>
        <item sd="0" x="5341"/>
        <item sd="0" x="5342"/>
        <item sd="0" x="5343"/>
        <item sd="0" x="5344"/>
        <item sd="0" x="5345"/>
        <item sd="0" x="5346"/>
        <item sd="0" x="5347"/>
        <item sd="0" x="5348"/>
        <item sd="0" x="5349"/>
        <item sd="0" x="5350"/>
        <item sd="0" x="5351"/>
        <item sd="0" x="5352"/>
        <item sd="0" x="5353"/>
        <item sd="0" x="5354"/>
        <item sd="0" x="5355"/>
        <item sd="0" x="5356"/>
        <item sd="0" x="5357"/>
        <item sd="0" x="5358"/>
        <item sd="0" x="5359"/>
        <item sd="0" x="5360"/>
        <item sd="0" x="5361"/>
        <item sd="0" x="5362"/>
        <item sd="0" x="5363"/>
        <item sd="0" x="5364"/>
        <item sd="0" x="5365"/>
        <item sd="0" x="5366"/>
        <item sd="0" x="5367"/>
        <item sd="0" x="5368"/>
        <item sd="0" x="5369"/>
        <item sd="0" x="5370"/>
        <item sd="0" x="5371"/>
        <item sd="0" x="5372"/>
        <item sd="0" x="5373"/>
        <item sd="0" x="5374"/>
        <item sd="0" x="5375"/>
        <item sd="0" x="5376"/>
        <item sd="0" x="5377"/>
        <item sd="0" x="5378"/>
        <item sd="0" x="5379"/>
        <item sd="0" x="5380"/>
        <item sd="0" x="5381"/>
        <item sd="0" x="5382"/>
        <item sd="0" x="5383"/>
        <item sd="0" x="5384"/>
        <item sd="0" x="5385"/>
        <item sd="0" x="5386"/>
        <item sd="0" x="5387"/>
        <item sd="0" x="5388"/>
        <item sd="0" x="5389"/>
        <item sd="0" x="5390"/>
        <item sd="0" x="5391"/>
        <item sd="0" x="5392"/>
        <item sd="0" x="5393"/>
        <item sd="0" x="5394"/>
        <item sd="0" x="5395"/>
        <item sd="0" x="5396"/>
        <item sd="0" x="5397"/>
        <item sd="0" x="5398"/>
        <item sd="0" x="5399"/>
        <item sd="0" x="5400"/>
        <item sd="0" x="5401"/>
        <item sd="0" x="5402"/>
        <item sd="0" x="5403"/>
        <item sd="0" x="5404"/>
        <item sd="0" x="5405"/>
        <item sd="0" x="5406"/>
        <item sd="0" x="5407"/>
        <item sd="0" x="5408"/>
        <item sd="0" x="5409"/>
        <item sd="0" x="5410"/>
        <item sd="0" x="5411"/>
        <item sd="0" x="5412"/>
        <item sd="0" x="5413"/>
        <item sd="0" x="5414"/>
        <item sd="0" x="5415"/>
        <item sd="0" x="5416"/>
        <item sd="0" x="5417"/>
        <item sd="0" x="5418"/>
        <item sd="0" x="5419"/>
        <item sd="0" x="5420"/>
        <item sd="0" x="5421"/>
        <item sd="0" x="5422"/>
        <item sd="0" x="5423"/>
        <item sd="0" x="5424"/>
        <item sd="0" x="5425"/>
        <item sd="0" x="5426"/>
        <item sd="0" x="5427"/>
        <item sd="0" x="5428"/>
        <item sd="0" x="5429"/>
        <item sd="0" x="5430"/>
        <item sd="0" x="5431"/>
        <item sd="0" x="5432"/>
        <item sd="0" x="5433"/>
        <item sd="0" x="5434"/>
        <item sd="0" x="5435"/>
        <item sd="0" x="5436"/>
        <item sd="0" x="5437"/>
        <item sd="0" x="5438"/>
        <item sd="0" x="5439"/>
        <item sd="0" x="5440"/>
        <item sd="0" x="5441"/>
        <item sd="0" x="5442"/>
        <item sd="0" x="5443"/>
        <item sd="0" x="5444"/>
        <item sd="0" x="5445"/>
        <item sd="0" x="5446"/>
        <item sd="0" x="5447"/>
        <item sd="0" x="5448"/>
        <item sd="0" x="5449"/>
        <item sd="0" x="5450"/>
        <item sd="0" x="5451"/>
        <item sd="0" x="5452"/>
        <item sd="0" x="5453"/>
        <item sd="0" x="5454"/>
        <item sd="0" x="5455"/>
        <item sd="0" x="5456"/>
        <item sd="0" x="5457"/>
        <item sd="0" x="5458"/>
        <item sd="0" x="5459"/>
        <item sd="0" x="5460"/>
        <item sd="0" x="5461"/>
        <item sd="0" x="5462"/>
        <item sd="0" x="5463"/>
        <item sd="0" x="5464"/>
        <item sd="0" x="5465"/>
        <item sd="0" x="5466"/>
        <item sd="0" x="5467"/>
        <item sd="0" x="5468"/>
        <item sd="0" x="5469"/>
        <item sd="0" x="5470"/>
        <item sd="0" x="5471"/>
        <item sd="0" x="5472"/>
        <item sd="0" x="5473"/>
        <item sd="0" x="5474"/>
        <item sd="0" x="5475"/>
        <item sd="0" x="5476"/>
        <item sd="0" x="5477"/>
        <item sd="0" x="5478"/>
        <item sd="0" x="5479"/>
        <item sd="0" x="5480"/>
        <item sd="0" x="5481"/>
        <item sd="0" x="5482"/>
        <item sd="0" x="5483"/>
        <item sd="0" x="5484"/>
        <item sd="0" x="5485"/>
        <item sd="0" x="5486"/>
        <item sd="0" x="5487"/>
        <item sd="0" x="5488"/>
        <item sd="0" x="5489"/>
        <item sd="0" x="5490"/>
        <item sd="0" x="5491"/>
        <item sd="0" x="5492"/>
        <item sd="0" x="5493"/>
        <item sd="0" x="5494"/>
        <item sd="0" x="5495"/>
        <item sd="0" x="5496"/>
        <item sd="0" x="5497"/>
        <item sd="0" x="5498"/>
        <item sd="0" x="5499"/>
        <item sd="0" x="5500"/>
        <item sd="0" x="5501"/>
        <item sd="0" x="5502"/>
        <item sd="0" x="5503"/>
        <item sd="0" x="5504"/>
        <item sd="0" x="5505"/>
        <item sd="0" x="5506"/>
        <item sd="0" x="5507"/>
        <item sd="0" x="5508"/>
        <item sd="0" x="5509"/>
        <item sd="0" x="5510"/>
        <item sd="0" x="5511"/>
        <item sd="0" x="5512"/>
        <item sd="0" x="5513"/>
        <item sd="0" x="5514"/>
        <item sd="0" x="5515"/>
        <item sd="0" x="5516"/>
        <item sd="0" x="5517"/>
        <item sd="0" x="5518"/>
        <item sd="0" x="5519"/>
        <item sd="0" x="5520"/>
        <item sd="0" x="5521"/>
        <item sd="0" x="5522"/>
        <item sd="0" x="5523"/>
        <item sd="0" x="5524"/>
        <item sd="0" x="5525"/>
        <item sd="0" x="5526"/>
        <item sd="0" x="5527"/>
        <item sd="0" x="5528"/>
        <item sd="0" x="5529"/>
        <item sd="0" x="5530"/>
        <item sd="0" x="5531"/>
        <item sd="0" x="5532"/>
        <item sd="0" x="5533"/>
        <item sd="0" x="5534"/>
        <item sd="0" x="5535"/>
        <item sd="0" x="5536"/>
        <item sd="0" x="5537"/>
        <item sd="0" x="5538"/>
        <item sd="0" x="5539"/>
        <item sd="0" x="5540"/>
        <item sd="0" x="5541"/>
        <item sd="0" x="5542"/>
        <item sd="0" x="5543"/>
        <item sd="0" x="5544"/>
        <item sd="0" x="5545"/>
        <item sd="0" x="5546"/>
        <item sd="0" x="5547"/>
        <item sd="0" x="5548"/>
        <item sd="0" x="5549"/>
        <item sd="0" x="5550"/>
        <item sd="0" x="5551"/>
        <item sd="0" x="5552"/>
        <item sd="0" x="5553"/>
        <item sd="0" x="5554"/>
        <item sd="0" x="5555"/>
        <item sd="0" x="5556"/>
        <item sd="0" x="5557"/>
        <item sd="0" x="5558"/>
        <item sd="0" x="5559"/>
        <item sd="0" x="5560"/>
        <item sd="0" x="5561"/>
        <item sd="0" x="5562"/>
        <item sd="0" x="5563"/>
        <item sd="0" x="5564"/>
        <item sd="0" x="5565"/>
        <item sd="0" x="5566"/>
        <item sd="0" x="5567"/>
        <item sd="0" x="5568"/>
        <item sd="0" x="5569"/>
        <item sd="0" x="5570"/>
        <item sd="0" x="5571"/>
        <item sd="0" x="5572"/>
        <item sd="0" x="5573"/>
        <item sd="0" x="5574"/>
        <item sd="0" x="5575"/>
        <item sd="0" x="5576"/>
        <item sd="0" x="5577"/>
        <item sd="0" x="5578"/>
        <item sd="0" x="5579"/>
        <item sd="0" x="5580"/>
        <item sd="0" x="5581"/>
        <item sd="0" x="5582"/>
        <item sd="0" x="5583"/>
        <item sd="0" x="5584"/>
        <item sd="0" x="5585"/>
        <item sd="0" x="5586"/>
        <item sd="0" x="5587"/>
        <item sd="0" x="5588"/>
        <item sd="0" x="5589"/>
        <item sd="0" x="5590"/>
        <item sd="0" x="5591"/>
        <item sd="0" x="5592"/>
        <item sd="0" x="5593"/>
        <item sd="0" x="5594"/>
        <item sd="0" x="5595"/>
        <item sd="0" x="5596"/>
        <item sd="0" x="5597"/>
        <item sd="0" x="5598"/>
        <item sd="0" x="5599"/>
        <item sd="0" x="5600"/>
        <item sd="0" x="5601"/>
        <item sd="0" x="5602"/>
        <item sd="0" x="5603"/>
        <item sd="0" x="5604"/>
        <item sd="0" x="5605"/>
        <item sd="0" x="5606"/>
        <item sd="0" x="5607"/>
        <item sd="0" x="5608"/>
        <item sd="0" x="5609"/>
        <item sd="0" x="5610"/>
        <item sd="0" x="5611"/>
        <item sd="0" x="5612"/>
        <item sd="0" x="5613"/>
        <item sd="0" x="5614"/>
        <item sd="0" x="5615"/>
        <item sd="0" x="5616"/>
        <item sd="0" x="5617"/>
        <item sd="0" x="5618"/>
        <item sd="0" x="5619"/>
        <item sd="0" x="5620"/>
        <item sd="0" x="5621"/>
        <item sd="0" x="5622"/>
        <item sd="0" x="5623"/>
        <item sd="0" x="5624"/>
        <item sd="0" x="5625"/>
        <item sd="0" x="5626"/>
        <item sd="0" x="5627"/>
        <item sd="0" x="5628"/>
        <item sd="0" x="5629"/>
        <item sd="0" x="5630"/>
        <item sd="0" x="5631"/>
        <item sd="0" x="5632"/>
        <item sd="0" x="5633"/>
        <item sd="0" x="5634"/>
        <item sd="0" x="5635"/>
        <item sd="0" x="5636"/>
        <item sd="0" x="5637"/>
        <item sd="0" x="5638"/>
        <item sd="0" x="5639"/>
        <item sd="0" x="5640"/>
        <item sd="0" x="5641"/>
        <item sd="0" x="5642"/>
        <item sd="0" x="5643"/>
        <item sd="0" x="5644"/>
        <item sd="0" x="5645"/>
        <item sd="0" x="5646"/>
        <item sd="0" x="5647"/>
        <item sd="0" x="5648"/>
        <item sd="0" x="5649"/>
        <item sd="0" x="5650"/>
        <item sd="0" x="5651"/>
        <item sd="0" x="5652"/>
        <item sd="0" x="5653"/>
        <item sd="0" x="5654"/>
        <item sd="0" x="5655"/>
        <item sd="0" x="5656"/>
        <item sd="0" x="5657"/>
        <item sd="0" x="5658"/>
        <item sd="0" x="5659"/>
        <item sd="0" x="5660"/>
        <item sd="0" x="5661"/>
        <item sd="0" x="5662"/>
        <item sd="0" x="5663"/>
        <item sd="0" x="5664"/>
        <item sd="0" x="5665"/>
        <item sd="0" x="5666"/>
        <item sd="0" x="5667"/>
        <item sd="0" x="5668"/>
        <item sd="0" x="5669"/>
        <item sd="0" x="5670"/>
        <item sd="0" x="5671"/>
        <item sd="0" x="5672"/>
        <item sd="0" x="5673"/>
        <item sd="0" x="5674"/>
        <item sd="0" x="5675"/>
        <item sd="0" x="5676"/>
        <item sd="0" x="5677"/>
        <item sd="0" x="5678"/>
        <item sd="0" x="5679"/>
        <item sd="0" x="5680"/>
        <item sd="0" x="5681"/>
        <item sd="0" x="5682"/>
        <item sd="0" x="5683"/>
        <item sd="0" x="5684"/>
        <item sd="0" x="5685"/>
        <item sd="0" x="5686"/>
        <item sd="0" x="5687"/>
        <item sd="0" x="5688"/>
        <item sd="0" x="5689"/>
        <item sd="0" x="5690"/>
        <item sd="0" x="5691"/>
        <item sd="0" x="5692"/>
        <item sd="0" x="5693"/>
        <item sd="0" x="5694"/>
        <item sd="0" x="5695"/>
        <item sd="0" x="5696"/>
        <item sd="0" x="5697"/>
        <item sd="0" x="5698"/>
        <item sd="0" x="5699"/>
        <item sd="0" x="5700"/>
        <item sd="0" x="5701"/>
        <item sd="0" x="5702"/>
        <item sd="0" x="5703"/>
        <item sd="0" x="5704"/>
        <item sd="0" x="5705"/>
        <item sd="0" x="5706"/>
        <item sd="0" x="5707"/>
        <item sd="0" x="5708"/>
        <item sd="0" x="5709"/>
        <item sd="0" x="5710"/>
        <item sd="0" x="5711"/>
        <item sd="0" x="5712"/>
        <item sd="0" x="5713"/>
        <item sd="0" x="5714"/>
        <item sd="0" x="5715"/>
        <item sd="0" x="5716"/>
        <item sd="0" x="5717"/>
        <item sd="0" x="5718"/>
        <item sd="0" x="5719"/>
        <item sd="0" x="5720"/>
        <item sd="0" x="5721"/>
        <item sd="0" x="5722"/>
        <item sd="0" x="5723"/>
        <item sd="0" x="5724"/>
        <item sd="0" x="5725"/>
        <item sd="0" x="5726"/>
        <item sd="0" x="5727"/>
        <item sd="0" x="5728"/>
        <item sd="0" x="5729"/>
        <item sd="0" x="5730"/>
        <item sd="0" x="5731"/>
        <item sd="0" x="5732"/>
        <item sd="0" x="5733"/>
        <item sd="0" x="5734"/>
        <item sd="0" x="5735"/>
        <item sd="0" x="5736"/>
        <item sd="0" x="5737"/>
        <item sd="0" x="5738"/>
        <item sd="0" x="5739"/>
        <item sd="0" x="5740"/>
        <item sd="0" x="5741"/>
        <item sd="0" x="5742"/>
        <item sd="0" x="5743"/>
        <item sd="0" x="5744"/>
        <item sd="0" x="5745"/>
        <item sd="0" x="5746"/>
        <item sd="0" x="5747"/>
        <item sd="0" x="5748"/>
        <item sd="0" x="5749"/>
        <item sd="0" x="5750"/>
        <item sd="0" x="5751"/>
        <item sd="0" x="5752"/>
        <item sd="0" x="5753"/>
        <item sd="0" x="5754"/>
        <item sd="0" x="5755"/>
        <item sd="0" x="5756"/>
        <item sd="0" x="5757"/>
        <item sd="0" x="5758"/>
        <item sd="0" x="5759"/>
        <item sd="0" x="5760"/>
        <item sd="0" x="5761"/>
        <item sd="0" x="5762"/>
        <item sd="0" x="5763"/>
        <item sd="0" x="5764"/>
        <item sd="0" x="5765"/>
        <item sd="0" x="5766"/>
        <item sd="0" x="5767"/>
        <item sd="0" x="5768"/>
        <item sd="0" x="5769"/>
        <item sd="0" x="5770"/>
        <item sd="0" x="5771"/>
        <item sd="0" x="5772"/>
        <item sd="0" x="5773"/>
        <item sd="0" x="5774"/>
        <item sd="0" x="5775"/>
        <item sd="0" x="5776"/>
        <item sd="0" x="5777"/>
        <item sd="0" x="5778"/>
        <item sd="0" x="5779"/>
        <item sd="0" x="5780"/>
        <item sd="0" x="5781"/>
        <item sd="0" x="5782"/>
        <item sd="0" x="5783"/>
        <item sd="0" x="5784"/>
        <item sd="0" x="5785"/>
        <item sd="0" x="5786"/>
        <item sd="0" x="5787"/>
        <item sd="0" x="5788"/>
        <item sd="0" x="5789"/>
        <item sd="0" x="5790"/>
        <item sd="0" x="5791"/>
        <item sd="0" x="5792"/>
        <item sd="0" x="5793"/>
        <item sd="0" x="5794"/>
        <item sd="0" x="5795"/>
        <item sd="0" x="5796"/>
        <item sd="0" x="5797"/>
        <item sd="0" x="5798"/>
        <item sd="0" x="5799"/>
        <item sd="0" x="5800"/>
        <item sd="0" x="5801"/>
        <item sd="0" x="5802"/>
        <item sd="0" x="5803"/>
        <item sd="0" x="5804"/>
        <item sd="0" x="5805"/>
        <item sd="0" x="5806"/>
        <item sd="0" x="5807"/>
        <item sd="0" x="5808"/>
        <item sd="0" x="5809"/>
        <item sd="0" x="5810"/>
        <item sd="0" x="5811"/>
        <item sd="0" x="5812"/>
        <item sd="0" x="5813"/>
        <item sd="0" x="5814"/>
        <item sd="0" x="5815"/>
        <item sd="0" x="5816"/>
        <item sd="0" x="5817"/>
        <item sd="0" x="5818"/>
        <item sd="0" x="5819"/>
        <item sd="0" x="5820"/>
        <item sd="0" x="5821"/>
        <item sd="0" x="5822"/>
        <item sd="0" x="5823"/>
        <item sd="0" x="5824"/>
        <item sd="0" x="5825"/>
        <item sd="0" x="5826"/>
        <item sd="0" x="5827"/>
        <item sd="0" x="5828"/>
        <item sd="0" x="5829"/>
        <item sd="0" x="5830"/>
        <item sd="0" x="5831"/>
        <item sd="0" x="5832"/>
        <item sd="0" x="5833"/>
        <item sd="0" x="5834"/>
        <item sd="0" x="5835"/>
        <item sd="0" x="5836"/>
        <item sd="0" x="5837"/>
        <item sd="0" x="5838"/>
        <item sd="0" x="5839"/>
        <item sd="0" x="5840"/>
        <item sd="0" x="5841"/>
        <item sd="0" x="5842"/>
        <item sd="0" x="5843"/>
        <item sd="0" x="5844"/>
        <item sd="0" x="5845"/>
        <item sd="0" x="5846"/>
        <item sd="0" x="5847"/>
        <item sd="0" x="5848"/>
        <item sd="0" x="5849"/>
        <item sd="0" x="5850"/>
        <item sd="0" x="5851"/>
        <item sd="0" x="5852"/>
        <item sd="0" x="5853"/>
        <item sd="0" x="5854"/>
        <item sd="0" x="5855"/>
        <item sd="0" x="5856"/>
        <item sd="0" x="5857"/>
        <item sd="0" x="5858"/>
        <item sd="0" x="5859"/>
        <item sd="0" x="5860"/>
        <item sd="0" x="5861"/>
        <item sd="0" x="5862"/>
        <item sd="0" x="5863"/>
        <item sd="0" x="5864"/>
        <item sd="0" x="5865"/>
        <item sd="0" x="5866"/>
        <item sd="0" x="5867"/>
        <item sd="0" x="5868"/>
        <item sd="0" x="5869"/>
        <item sd="0" x="5870"/>
        <item sd="0" x="5871"/>
        <item sd="0" x="5872"/>
        <item sd="0" x="5873"/>
        <item sd="0" x="5874"/>
        <item sd="0" x="5875"/>
        <item sd="0" x="5876"/>
        <item sd="0" x="5877"/>
        <item sd="0" x="5878"/>
        <item sd="0" x="5879"/>
        <item sd="0" x="5880"/>
        <item sd="0" x="5881"/>
        <item sd="0" x="5882"/>
        <item sd="0" x="5883"/>
        <item sd="0" x="5884"/>
        <item sd="0" x="5885"/>
        <item sd="0" x="5886"/>
        <item sd="0" x="5887"/>
        <item sd="0" x="5888"/>
        <item sd="0" x="5889"/>
        <item sd="0" x="5890"/>
        <item sd="0" x="5891"/>
        <item sd="0" x="5892"/>
        <item sd="0" x="5893"/>
        <item sd="0" x="5894"/>
        <item sd="0" x="5895"/>
        <item sd="0" x="5896"/>
        <item sd="0" x="5897"/>
        <item sd="0" x="5898"/>
        <item sd="0" x="5899"/>
        <item sd="0" x="5900"/>
        <item sd="0" x="5901"/>
        <item sd="0" x="5902"/>
        <item sd="0" x="5903"/>
        <item sd="0" x="5904"/>
        <item sd="0" x="5905"/>
        <item sd="0" x="5906"/>
        <item sd="0" x="5907"/>
        <item sd="0" x="5908"/>
        <item sd="0" x="5909"/>
        <item sd="0" x="5910"/>
        <item sd="0" x="5911"/>
        <item sd="0" x="5912"/>
        <item sd="0" x="5913"/>
        <item sd="0" x="5914"/>
        <item sd="0" x="5915"/>
        <item sd="0" x="5916"/>
        <item sd="0" x="5917"/>
        <item sd="0" x="5918"/>
        <item sd="0" x="5919"/>
        <item sd="0" x="5920"/>
        <item sd="0" x="5921"/>
        <item sd="0" x="5922"/>
        <item sd="0" x="5923"/>
        <item sd="0" x="5924"/>
        <item sd="0" x="5925"/>
        <item sd="0" x="5926"/>
        <item sd="0" x="5927"/>
        <item sd="0" x="5928"/>
        <item sd="0" x="5929"/>
        <item sd="0" x="5930"/>
        <item sd="0" x="5931"/>
        <item sd="0" x="5932"/>
        <item sd="0" x="5933"/>
        <item sd="0" x="5934"/>
        <item sd="0" x="5935"/>
        <item sd="0" x="5936"/>
        <item sd="0" x="5937"/>
        <item sd="0" x="5938"/>
        <item sd="0" x="5939"/>
        <item sd="0" x="5940"/>
        <item sd="0" x="5941"/>
        <item sd="0" x="5942"/>
        <item sd="0" x="5943"/>
        <item sd="0" x="5944"/>
        <item sd="0" x="5945"/>
        <item sd="0" x="5946"/>
        <item sd="0" x="5947"/>
        <item sd="0" x="5948"/>
        <item sd="0" x="5949"/>
        <item sd="0" x="5950"/>
        <item sd="0" x="5951"/>
        <item sd="0" x="5952"/>
        <item sd="0" x="5953"/>
        <item sd="0" x="5954"/>
        <item sd="0" x="5955"/>
        <item sd="0" x="5956"/>
        <item sd="0" x="5957"/>
        <item sd="0" x="5958"/>
        <item sd="0" x="5959"/>
        <item sd="0" x="5960"/>
        <item sd="0" x="5961"/>
        <item sd="0" x="5962"/>
        <item sd="0" x="5963"/>
        <item sd="0" x="5964"/>
        <item sd="0" x="5965"/>
        <item sd="0" x="5966"/>
        <item sd="0" x="5967"/>
        <item sd="0" x="5968"/>
        <item sd="0" x="5969"/>
        <item sd="0" x="5970"/>
        <item sd="0" x="5971"/>
        <item sd="0" x="5972"/>
        <item sd="0" x="5973"/>
        <item sd="0" x="5974"/>
        <item sd="0" x="5975"/>
        <item sd="0" x="5976"/>
        <item sd="0" x="5977"/>
        <item sd="0" x="5978"/>
        <item sd="0" x="5979"/>
        <item sd="0" x="5980"/>
        <item sd="0" x="5981"/>
        <item sd="0" x="5982"/>
        <item sd="0" x="5983"/>
        <item sd="0" x="5984"/>
        <item sd="0" x="5985"/>
        <item sd="0" x="5986"/>
        <item sd="0" x="5987"/>
        <item sd="0" x="5988"/>
        <item sd="0" x="5989"/>
        <item sd="0" x="5990"/>
        <item sd="0" x="5991"/>
        <item sd="0" x="5992"/>
        <item sd="0" x="5993"/>
        <item sd="0" x="5994"/>
        <item sd="0" x="5995"/>
        <item sd="0" x="5996"/>
        <item sd="0" x="5997"/>
        <item sd="0" x="5998"/>
        <item sd="0" x="5999"/>
        <item sd="0" x="6000"/>
        <item sd="0" x="6001"/>
        <item sd="0" x="6002"/>
        <item sd="0" x="6003"/>
        <item sd="0" x="6004"/>
        <item sd="0" x="6005"/>
        <item sd="0" x="6006"/>
        <item sd="0" x="6007"/>
        <item sd="0" x="6008"/>
        <item sd="0" x="6009"/>
        <item sd="0" x="6010"/>
        <item sd="0" x="6011"/>
        <item sd="0" x="6012"/>
        <item sd="0" x="6013"/>
        <item sd="0" x="6014"/>
        <item sd="0" x="6015"/>
        <item sd="0" x="6016"/>
        <item sd="0" x="6017"/>
        <item sd="0" x="6018"/>
        <item sd="0" x="6019"/>
        <item sd="0" x="6020"/>
        <item sd="0" x="6021"/>
        <item sd="0" x="6022"/>
        <item sd="0" x="6023"/>
        <item sd="0" x="6024"/>
        <item sd="0" x="6025"/>
        <item sd="0" x="6026"/>
        <item sd="0" x="6027"/>
        <item sd="0" x="6028"/>
        <item sd="0" x="6029"/>
        <item sd="0" x="6030"/>
        <item sd="0" x="6031"/>
        <item sd="0" x="6032"/>
        <item sd="0" x="6033"/>
        <item sd="0" x="6034"/>
        <item sd="0" x="6035"/>
        <item sd="0" x="6036"/>
        <item sd="0" x="6037"/>
        <item sd="0" x="6038"/>
        <item sd="0" x="6039"/>
        <item sd="0" x="6040"/>
        <item sd="0" x="6041"/>
        <item sd="0" x="6042"/>
        <item sd="0" x="6043"/>
        <item sd="0" x="6044"/>
        <item sd="0" x="6045"/>
        <item sd="0" x="6046"/>
        <item sd="0" x="6047"/>
        <item sd="0" x="6048"/>
        <item sd="0" x="6049"/>
        <item sd="0" x="6050"/>
        <item sd="0" x="6051"/>
        <item sd="0" x="6052"/>
        <item sd="0" x="6053"/>
        <item sd="0" x="6054"/>
        <item sd="0" x="6055"/>
        <item sd="0" x="6056"/>
        <item sd="0" x="6057"/>
        <item sd="0" x="6058"/>
        <item sd="0" x="6059"/>
        <item sd="0" x="6060"/>
        <item sd="0" x="6061"/>
        <item sd="0" x="6062"/>
        <item sd="0" x="6063"/>
        <item sd="0" x="6064"/>
        <item sd="0" x="6065"/>
        <item sd="0" x="6066"/>
        <item sd="0" x="6067"/>
        <item sd="0" x="6068"/>
        <item sd="0" x="6069"/>
        <item sd="0" x="6070"/>
        <item sd="0" x="6071"/>
        <item sd="0" x="6072"/>
        <item sd="0" x="6073"/>
        <item sd="0" x="6074"/>
        <item sd="0" x="6075"/>
        <item sd="0" x="6076"/>
        <item sd="0" x="6077"/>
        <item sd="0" x="6078"/>
        <item sd="0" x="6079"/>
        <item sd="0" x="6080"/>
        <item sd="0" x="6081"/>
        <item sd="0" x="6082"/>
        <item sd="0" x="6083"/>
        <item sd="0" x="6084"/>
        <item sd="0" x="6085"/>
        <item sd="0" x="6086"/>
        <item sd="0" x="6087"/>
        <item sd="0" x="6088"/>
        <item sd="0" x="6089"/>
        <item sd="0" x="6090"/>
        <item sd="0" x="6091"/>
        <item sd="0" x="6092"/>
        <item sd="0" x="6093"/>
        <item sd="0" x="6094"/>
        <item sd="0" x="6095"/>
        <item sd="0" x="6096"/>
        <item sd="0" x="6097"/>
        <item sd="0" x="6098"/>
        <item sd="0" x="6099"/>
        <item sd="0" x="6100"/>
        <item sd="0" x="6101"/>
        <item sd="0" x="6102"/>
        <item sd="0" x="6103"/>
        <item sd="0" x="6104"/>
        <item sd="0" x="6105"/>
        <item sd="0" x="6106"/>
        <item sd="0" x="6107"/>
        <item sd="0" x="6108"/>
        <item sd="0" x="6109"/>
        <item sd="0" x="6110"/>
        <item sd="0" x="6111"/>
        <item sd="0" x="6112"/>
        <item sd="0" x="6113"/>
        <item sd="0" x="6114"/>
        <item sd="0" x="6115"/>
        <item sd="0" x="6116"/>
        <item sd="0" x="6117"/>
        <item sd="0" x="6118"/>
        <item sd="0" x="6119"/>
        <item sd="0" x="6120"/>
        <item sd="0" x="6121"/>
        <item sd="0" x="6122"/>
        <item sd="0" x="6123"/>
        <item sd="0" x="6124"/>
        <item sd="0" x="6125"/>
        <item sd="0" x="6126"/>
        <item sd="0" x="6127"/>
        <item sd="0" x="6128"/>
        <item sd="0" x="6129"/>
        <item sd="0" x="6130"/>
        <item sd="0" x="6131"/>
        <item sd="0" x="6132"/>
        <item sd="0" x="6133"/>
        <item sd="0" x="6134"/>
        <item sd="0" x="6135"/>
        <item sd="0" x="6136"/>
        <item sd="0" x="6137"/>
        <item sd="0" x="6138"/>
        <item sd="0" x="6139"/>
        <item sd="0" x="6140"/>
        <item sd="0" x="6141"/>
        <item sd="0" x="6142"/>
        <item sd="0" x="6143"/>
        <item sd="0" x="6144"/>
        <item sd="0" x="6145"/>
        <item sd="0" x="6146"/>
        <item sd="0" x="6147"/>
        <item sd="0" x="6148"/>
        <item sd="0" x="6149"/>
        <item sd="0" x="6150"/>
        <item sd="0" x="6151"/>
        <item sd="0" x="6152"/>
        <item sd="0" x="6153"/>
        <item sd="0" x="6154"/>
        <item sd="0" x="6155"/>
        <item sd="0" x="6156"/>
        <item sd="0" x="6157"/>
        <item sd="0" x="6158"/>
        <item sd="0" x="6159"/>
        <item sd="0" x="6160"/>
        <item sd="0" x="6161"/>
        <item sd="0" x="6162"/>
        <item sd="0" x="6163"/>
        <item sd="0" x="6164"/>
        <item sd="0" x="6165"/>
        <item sd="0" x="6166"/>
        <item sd="0" x="6167"/>
        <item sd="0" x="6168"/>
        <item sd="0" x="6169"/>
        <item sd="0" x="6170"/>
        <item sd="0" x="6171"/>
        <item sd="0" x="6172"/>
        <item sd="0" x="6173"/>
        <item sd="0" x="6174"/>
        <item sd="0" x="6175"/>
        <item sd="0" x="6176"/>
        <item sd="0" x="6177"/>
        <item sd="0" x="6178"/>
        <item sd="0" x="6179"/>
        <item sd="0" x="6180"/>
        <item sd="0" x="6181"/>
        <item sd="0" x="6182"/>
        <item sd="0" x="6183"/>
        <item sd="0" x="6184"/>
        <item sd="0" x="6185"/>
        <item sd="0" x="6186"/>
        <item sd="0" x="6187"/>
        <item sd="0" x="6188"/>
        <item sd="0" x="6189"/>
        <item sd="0" x="6190"/>
        <item sd="0" x="6191"/>
        <item sd="0" x="6192"/>
        <item sd="0" x="6193"/>
        <item sd="0" x="6194"/>
        <item sd="0" x="6195"/>
        <item sd="0" x="6196"/>
        <item sd="0" x="6197"/>
        <item sd="0" x="6198"/>
        <item sd="0" x="6199"/>
        <item sd="0" x="6200"/>
        <item sd="0" x="6201"/>
        <item sd="0" x="6202"/>
        <item sd="0" x="6203"/>
        <item sd="0" x="6204"/>
        <item sd="0" x="6205"/>
        <item sd="0" x="6206"/>
        <item sd="0" x="6207"/>
        <item sd="0" x="6208"/>
        <item sd="0" x="6209"/>
        <item sd="0" x="6210"/>
        <item sd="0" x="6211"/>
        <item sd="0" x="6212"/>
        <item sd="0" x="6213"/>
        <item sd="0" x="6214"/>
        <item sd="0" x="6215"/>
        <item sd="0" x="6216"/>
        <item sd="0" x="6217"/>
        <item sd="0" x="6218"/>
        <item sd="0" x="6219"/>
        <item sd="0" x="6220"/>
        <item sd="0" x="6221"/>
        <item sd="0" x="6222"/>
        <item sd="0" x="6223"/>
        <item sd="0" x="6224"/>
        <item sd="0" x="6225"/>
        <item sd="0" x="6226"/>
        <item sd="0" x="6227"/>
        <item sd="0" x="6228"/>
        <item sd="0" x="6229"/>
        <item sd="0" x="6230"/>
        <item sd="0" x="6231"/>
        <item sd="0" x="6232"/>
        <item sd="0" x="6233"/>
        <item sd="0" x="6234"/>
        <item sd="0" x="6235"/>
        <item sd="0" x="6236"/>
        <item sd="0" x="6237"/>
        <item sd="0" x="6238"/>
        <item sd="0" x="6239"/>
        <item sd="0" x="6240"/>
        <item sd="0" x="6241"/>
        <item sd="0" x="6242"/>
        <item sd="0" x="6243"/>
        <item sd="0" x="6244"/>
        <item sd="0" x="6245"/>
        <item sd="0" x="6246"/>
        <item sd="0" x="6247"/>
        <item sd="0" x="6248"/>
        <item sd="0" x="6249"/>
        <item sd="0" x="6250"/>
        <item sd="0" x="6251"/>
        <item sd="0" x="6252"/>
        <item sd="0" x="6253"/>
        <item sd="0" x="6254"/>
        <item sd="0" x="6255"/>
        <item sd="0" x="6256"/>
        <item sd="0" x="6257"/>
        <item sd="0" x="6258"/>
        <item sd="0" x="6259"/>
        <item sd="0" x="6260"/>
        <item sd="0" x="6261"/>
        <item sd="0" x="6262"/>
        <item sd="0" x="6263"/>
        <item sd="0" x="6264"/>
        <item sd="0" x="6265"/>
        <item sd="0" x="6266"/>
        <item sd="0" x="6267"/>
        <item sd="0" x="6268"/>
        <item sd="0" x="6269"/>
        <item sd="0" x="6270"/>
        <item sd="0" x="6271"/>
        <item sd="0" x="6272"/>
        <item sd="0" x="6273"/>
        <item sd="0" x="6274"/>
        <item sd="0" x="6275"/>
        <item sd="0" x="6276"/>
        <item sd="0" x="6277"/>
        <item sd="0" x="6278"/>
        <item sd="0" x="6279"/>
        <item sd="0" x="6280"/>
        <item sd="0" x="6281"/>
        <item sd="0" x="6282"/>
        <item sd="0" x="6283"/>
        <item sd="0" x="6284"/>
        <item sd="0" x="6285"/>
        <item sd="0" x="6286"/>
        <item sd="0" x="6287"/>
        <item sd="0" x="6288"/>
        <item sd="0" x="6289"/>
        <item sd="0" x="6290"/>
        <item sd="0" x="6291"/>
        <item sd="0" x="6292"/>
        <item sd="0" x="6293"/>
        <item sd="0" x="6294"/>
        <item sd="0" x="6295"/>
        <item sd="0" x="6296"/>
        <item sd="0" x="6297"/>
        <item sd="0" x="6298"/>
        <item sd="0" x="6299"/>
        <item sd="0" x="6300"/>
        <item sd="0" x="6301"/>
        <item sd="0" x="6302"/>
        <item sd="0" x="6303"/>
        <item sd="0" x="6304"/>
        <item sd="0" x="6305"/>
        <item sd="0" x="6306"/>
        <item sd="0" x="6307"/>
        <item sd="0" x="6308"/>
        <item sd="0" x="6309"/>
        <item sd="0" x="6310"/>
        <item sd="0" x="6311"/>
        <item sd="0" x="6312"/>
        <item sd="0" x="6313"/>
        <item sd="0" x="6314"/>
        <item sd="0" x="6315"/>
        <item sd="0" x="6316"/>
        <item sd="0" x="6317"/>
        <item sd="0" x="6318"/>
        <item sd="0" x="6319"/>
        <item sd="0" x="6320"/>
        <item sd="0" x="6321"/>
        <item sd="0" x="6322"/>
        <item sd="0" x="6323"/>
        <item sd="0" x="6324"/>
        <item sd="0" x="6325"/>
        <item sd="0" x="6326"/>
        <item sd="0" x="6327"/>
        <item sd="0" x="6328"/>
        <item sd="0" x="6329"/>
        <item sd="0" x="6330"/>
        <item sd="0" x="6331"/>
        <item sd="0" x="6332"/>
        <item sd="0" x="6333"/>
        <item sd="0" x="6334"/>
        <item sd="0" x="6335"/>
        <item sd="0" x="6336"/>
        <item sd="0" x="6337"/>
        <item sd="0" x="6338"/>
        <item sd="0" x="6339"/>
        <item sd="0" x="6340"/>
        <item sd="0" x="6341"/>
        <item sd="0" x="6342"/>
        <item sd="0" x="6343"/>
        <item sd="0" x="6344"/>
        <item sd="0" x="6345"/>
        <item sd="0" x="6346"/>
        <item sd="0" x="6347"/>
        <item sd="0" x="6348"/>
        <item sd="0" x="6349"/>
        <item sd="0" x="6350"/>
        <item sd="0" x="6351"/>
        <item sd="0" x="6352"/>
        <item sd="0" x="6353"/>
        <item sd="0" x="6354"/>
        <item sd="0" x="6355"/>
        <item sd="0" x="6356"/>
        <item sd="0" x="6357"/>
        <item sd="0" x="6358"/>
        <item sd="0" x="6359"/>
        <item sd="0" x="6360"/>
        <item sd="0" x="6361"/>
        <item sd="0" x="6362"/>
        <item sd="0" x="6363"/>
        <item sd="0" x="6364"/>
        <item sd="0" x="6365"/>
        <item sd="0" x="6366"/>
        <item sd="0" x="6367"/>
        <item sd="0" x="6368"/>
        <item sd="0" x="6369"/>
        <item sd="0" x="6370"/>
        <item sd="0" x="6371"/>
        <item sd="0" x="6372"/>
        <item sd="0" x="6373"/>
        <item sd="0" x="6374"/>
        <item sd="0" x="6375"/>
        <item sd="0" x="6376"/>
        <item sd="0" x="6377"/>
        <item sd="0" x="6378"/>
        <item sd="0" x="6379"/>
        <item sd="0" x="6380"/>
        <item sd="0" x="6381"/>
        <item sd="0" x="6382"/>
        <item sd="0" x="6383"/>
        <item sd="0" x="6384"/>
        <item sd="0" x="6385"/>
        <item sd="0" x="6386"/>
        <item sd="0" x="6387"/>
        <item sd="0" x="6388"/>
        <item sd="0" x="6389"/>
        <item sd="0" x="6390"/>
        <item sd="0" x="6391"/>
        <item sd="0" x="6392"/>
        <item sd="0" x="6393"/>
        <item sd="0" x="6394"/>
        <item sd="0" x="6395"/>
        <item sd="0" x="6396"/>
        <item sd="0" x="6397"/>
        <item sd="0" x="6398"/>
        <item sd="0" x="6399"/>
        <item sd="0" x="6400"/>
        <item sd="0" x="6401"/>
        <item sd="0" x="6402"/>
        <item sd="0" x="6403"/>
        <item sd="0" x="6404"/>
        <item sd="0" x="6405"/>
        <item sd="0" x="6406"/>
        <item sd="0" x="6407"/>
        <item sd="0" x="6408"/>
        <item sd="0" x="6409"/>
        <item sd="0" x="6410"/>
        <item sd="0" x="6411"/>
        <item sd="0" x="6412"/>
        <item sd="0" x="6413"/>
        <item sd="0" x="6414"/>
        <item sd="0" x="6415"/>
        <item sd="0" x="6416"/>
        <item sd="0" x="6417"/>
        <item sd="0" x="6418"/>
        <item sd="0" x="6419"/>
        <item sd="0" x="6420"/>
        <item sd="0" x="6421"/>
        <item sd="0" x="6422"/>
        <item sd="0" x="6423"/>
        <item sd="0" x="6424"/>
        <item sd="0" x="6425"/>
        <item sd="0" x="6426"/>
        <item sd="0" x="6427"/>
        <item sd="0" x="6428"/>
        <item sd="0" x="6429"/>
        <item sd="0" x="6430"/>
        <item sd="0" x="6431"/>
        <item sd="0" x="6432"/>
        <item sd="0" x="6433"/>
        <item sd="0" x="6434"/>
        <item sd="0" x="6435"/>
        <item sd="0" x="6436"/>
        <item sd="0" x="6437"/>
        <item sd="0" x="6438"/>
        <item sd="0" x="6439"/>
        <item sd="0" x="6440"/>
        <item sd="0" x="6441"/>
        <item sd="0" x="6442"/>
        <item sd="0" x="6443"/>
        <item sd="0" x="6444"/>
        <item sd="0" x="6445"/>
        <item sd="0" x="6446"/>
        <item sd="0" x="6447"/>
        <item sd="0" x="6448"/>
        <item sd="0" x="6449"/>
        <item sd="0" x="6450"/>
        <item sd="0" x="6451"/>
        <item sd="0" x="6452"/>
        <item sd="0" x="6453"/>
        <item sd="0" x="6454"/>
        <item sd="0" x="6455"/>
        <item sd="0" x="6456"/>
        <item sd="0" x="6457"/>
        <item sd="0" x="6458"/>
        <item sd="0" x="6459"/>
        <item sd="0" x="6460"/>
        <item sd="0" x="6461"/>
        <item sd="0" x="6462"/>
        <item sd="0" x="6463"/>
        <item sd="0" x="6464"/>
        <item sd="0" x="6465"/>
        <item sd="0" x="6466"/>
        <item sd="0" x="6467"/>
        <item sd="0" x="6468"/>
        <item sd="0" x="6469"/>
        <item sd="0" x="6470"/>
        <item sd="0" x="6471"/>
        <item sd="0" x="6472"/>
        <item sd="0" x="6473"/>
        <item sd="0" x="6474"/>
        <item sd="0" x="6475"/>
        <item sd="0" x="6476"/>
        <item sd="0" x="6477"/>
        <item sd="0" x="6478"/>
        <item sd="0" x="6479"/>
        <item sd="0" x="6480"/>
        <item sd="0" x="6481"/>
        <item sd="0" x="6482"/>
        <item sd="0" x="6483"/>
        <item sd="0" x="6484"/>
        <item sd="0" x="6485"/>
        <item sd="0" x="6486"/>
        <item sd="0" x="6487"/>
        <item sd="0" x="6488"/>
        <item sd="0" x="6489"/>
        <item sd="0" x="6490"/>
        <item sd="0" x="6491"/>
        <item sd="0" x="6492"/>
        <item sd="0" x="6493"/>
        <item sd="0" x="6494"/>
        <item sd="0" x="6495"/>
        <item sd="0" x="6496"/>
        <item sd="0" x="6497"/>
        <item sd="0" x="6498"/>
        <item sd="0" x="6499"/>
        <item sd="0" x="6500"/>
        <item sd="0" x="6501"/>
        <item sd="0" x="6502"/>
        <item sd="0" x="6503"/>
        <item sd="0" x="6504"/>
        <item sd="0" x="6505"/>
        <item sd="0" x="6506"/>
        <item sd="0" x="6507"/>
        <item sd="0" x="6508"/>
        <item sd="0" x="6509"/>
        <item sd="0" x="6510"/>
        <item sd="0" x="6511"/>
        <item sd="0" x="6512"/>
        <item sd="0" x="6513"/>
        <item sd="0" x="6514"/>
        <item sd="0" x="6515"/>
        <item sd="0" x="6516"/>
        <item sd="0" x="6517"/>
        <item sd="0" x="6518"/>
        <item sd="0" x="6519"/>
        <item sd="0" x="6520"/>
        <item sd="0" x="6521"/>
        <item sd="0" x="6522"/>
        <item sd="0" x="6523"/>
        <item sd="0" x="6524"/>
        <item sd="0" x="6525"/>
        <item sd="0" x="6526"/>
        <item sd="0" x="6527"/>
        <item sd="0" x="6528"/>
        <item sd="0" x="6529"/>
        <item sd="0" x="6530"/>
        <item sd="0" x="6531"/>
        <item sd="0" x="6532"/>
        <item sd="0" x="6533"/>
        <item sd="0" x="6534"/>
        <item sd="0" x="6535"/>
        <item sd="0" x="6536"/>
        <item sd="0" x="6537"/>
        <item sd="0" x="6538"/>
        <item sd="0" x="6539"/>
        <item sd="0" x="6540"/>
        <item sd="0" x="6541"/>
        <item sd="0" x="6542"/>
        <item sd="0" x="6543"/>
        <item sd="0" x="6544"/>
        <item sd="0" x="6545"/>
        <item sd="0" x="6546"/>
        <item sd="0" x="6547"/>
        <item sd="0" x="6548"/>
        <item sd="0" x="6549"/>
        <item sd="0" x="6550"/>
        <item sd="0" x="6551"/>
        <item sd="0" x="6552"/>
        <item sd="0" x="6553"/>
        <item sd="0" x="6554"/>
        <item sd="0" x="6555"/>
        <item sd="0" x="6556"/>
        <item sd="0" x="6557"/>
        <item sd="0" x="6558"/>
        <item sd="0" x="6559"/>
        <item sd="0" x="6560"/>
        <item sd="0" x="6561"/>
        <item sd="0" x="6562"/>
        <item sd="0" x="6563"/>
        <item sd="0" x="6564"/>
        <item sd="0" x="6565"/>
        <item sd="0" x="6566"/>
        <item sd="0" x="6567"/>
        <item sd="0" x="6568"/>
        <item sd="0" x="6569"/>
        <item sd="0" x="6570"/>
        <item sd="0" x="6571"/>
        <item sd="0" x="6572"/>
        <item sd="0" x="6573"/>
        <item sd="0" x="6574"/>
        <item sd="0" x="6575"/>
        <item sd="0" x="6576"/>
        <item sd="0" x="6577"/>
        <item sd="0" x="6578"/>
        <item sd="0" x="6579"/>
        <item sd="0" x="6580"/>
        <item sd="0" x="6581"/>
        <item sd="0" x="6582"/>
        <item sd="0" x="6583"/>
        <item sd="0" x="6584"/>
        <item sd="0" x="6585"/>
        <item sd="0" x="6586"/>
        <item sd="0" x="6587"/>
        <item sd="0" x="6588"/>
        <item sd="0" x="6589"/>
        <item sd="0" x="6590"/>
        <item sd="0" x="6591"/>
        <item sd="0" x="6592"/>
        <item sd="0" x="6593"/>
        <item sd="0" x="6594"/>
        <item sd="0" x="6595"/>
        <item sd="0" x="6596"/>
        <item sd="0" x="6597"/>
        <item sd="0" x="6598"/>
        <item sd="0" x="6599"/>
        <item sd="0" x="6600"/>
        <item sd="0" x="6601"/>
        <item sd="0" x="6602"/>
        <item sd="0" x="6603"/>
        <item sd="0" x="6604"/>
        <item sd="0" x="6605"/>
        <item sd="0" x="6606"/>
        <item sd="0" x="6607"/>
        <item sd="0" x="6608"/>
        <item sd="0" x="6609"/>
        <item sd="0" x="6610"/>
        <item sd="0" x="6611"/>
        <item sd="0" x="6612"/>
        <item sd="0" x="6613"/>
        <item sd="0" x="6614"/>
        <item sd="0" x="6615"/>
        <item sd="0" x="6616"/>
        <item sd="0" x="6617"/>
        <item sd="0" x="6618"/>
        <item sd="0" x="6619"/>
        <item sd="0" x="6620"/>
        <item sd="0" x="6621"/>
        <item sd="0" x="6622"/>
        <item sd="0" x="6623"/>
        <item sd="0" x="6624"/>
        <item sd="0" x="6625"/>
        <item sd="0" x="6626"/>
        <item sd="0" x="6627"/>
        <item sd="0" x="6628"/>
        <item sd="0" x="6629"/>
        <item sd="0" x="6630"/>
        <item sd="0" x="6631"/>
        <item sd="0" x="6632"/>
        <item sd="0" x="6633"/>
        <item sd="0" x="6634"/>
        <item sd="0" x="6635"/>
        <item sd="0" x="6636"/>
        <item sd="0" x="6637"/>
        <item sd="0" x="6638"/>
        <item sd="0" x="6639"/>
        <item sd="0" x="6640"/>
        <item sd="0" x="6641"/>
        <item sd="0" x="6642"/>
        <item sd="0" x="6643"/>
        <item sd="0" x="6644"/>
        <item sd="0" x="6645"/>
        <item sd="0" x="6646"/>
        <item sd="0" x="6647"/>
        <item sd="0" x="6648"/>
        <item sd="0" x="6649"/>
        <item sd="0" x="6650"/>
        <item sd="0" x="6651"/>
        <item sd="0" x="6652"/>
        <item sd="0" x="6653"/>
        <item sd="0" x="6654"/>
        <item sd="0" x="6655"/>
        <item sd="0" x="6656"/>
        <item sd="0" x="6657"/>
        <item sd="0" x="6658"/>
        <item sd="0" x="6659"/>
        <item sd="0" x="6660"/>
        <item sd="0" x="6661"/>
        <item sd="0" x="6662"/>
        <item sd="0" x="6663"/>
        <item sd="0" x="6664"/>
        <item sd="0" x="6665"/>
        <item sd="0" x="6666"/>
        <item sd="0" x="6667"/>
        <item sd="0" x="6668"/>
        <item sd="0" x="6669"/>
        <item sd="0" x="6670"/>
        <item sd="0" x="6671"/>
        <item sd="0" x="6672"/>
        <item sd="0" x="6673"/>
        <item sd="0" x="6674"/>
        <item sd="0" x="6675"/>
        <item sd="0" x="6676"/>
        <item sd="0" x="6677"/>
        <item sd="0" x="6678"/>
        <item sd="0" x="6679"/>
        <item sd="0" x="6680"/>
        <item sd="0" x="6681"/>
        <item sd="0" x="6682"/>
        <item sd="0" x="6683"/>
        <item sd="0" x="6684"/>
        <item sd="0" x="6685"/>
        <item sd="0" x="6686"/>
        <item sd="0" x="6687"/>
        <item sd="0" x="6688"/>
        <item sd="0" x="6689"/>
        <item sd="0" x="6690"/>
        <item sd="0" x="6691"/>
        <item sd="0" x="6692"/>
        <item sd="0" x="6693"/>
        <item sd="0" x="6694"/>
        <item sd="0" x="6695"/>
        <item sd="0" x="6696"/>
        <item sd="0" x="6697"/>
        <item sd="0" x="6698"/>
        <item sd="0" x="6699"/>
        <item sd="0" x="6700"/>
        <item sd="0" x="6701"/>
        <item sd="0" x="6702"/>
        <item sd="0" x="6703"/>
        <item sd="0" x="6704"/>
        <item sd="0" x="6705"/>
        <item sd="0" x="6706"/>
        <item sd="0" x="6707"/>
        <item sd="0" x="6708"/>
        <item sd="0" x="6709"/>
        <item sd="0" x="6710"/>
        <item sd="0" x="6711"/>
        <item sd="0" x="6712"/>
        <item sd="0" x="6713"/>
        <item sd="0" x="6714"/>
        <item sd="0" x="6715"/>
        <item sd="0" x="6716"/>
        <item sd="0" x="6717"/>
        <item sd="0" x="6718"/>
        <item sd="0" x="6719"/>
        <item sd="0" x="6720"/>
        <item sd="0" x="6721"/>
        <item sd="0" x="6722"/>
        <item sd="0" x="6723"/>
        <item sd="0" x="6724"/>
        <item sd="0" x="6725"/>
        <item sd="0" x="6726"/>
        <item sd="0" x="6727"/>
        <item sd="0" x="6728"/>
        <item sd="0" x="6729"/>
        <item sd="0" x="6730"/>
        <item sd="0" x="6731"/>
        <item sd="0" x="6732"/>
        <item sd="0" x="6733"/>
        <item sd="0" x="6734"/>
        <item sd="0" x="6735"/>
        <item sd="0" x="6736"/>
        <item sd="0" x="6737"/>
        <item sd="0" x="6738"/>
        <item sd="0" x="6739"/>
        <item sd="0" x="6740"/>
        <item sd="0" x="6741"/>
        <item sd="0" x="6742"/>
        <item sd="0" x="6743"/>
        <item sd="0" x="6744"/>
        <item sd="0" x="6745"/>
        <item sd="0" x="6746"/>
        <item sd="0" x="6747"/>
        <item sd="0" x="6748"/>
        <item sd="0" x="6749"/>
        <item sd="0" x="6750"/>
        <item sd="0" x="6751"/>
        <item sd="0" x="6752"/>
        <item sd="0" x="6753"/>
        <item sd="0" x="6754"/>
        <item sd="0" x="6755"/>
        <item sd="0" x="6756"/>
        <item sd="0" x="6757"/>
        <item sd="0" x="6758"/>
        <item sd="0" x="6759"/>
        <item sd="0" x="6760"/>
        <item sd="0" x="6761"/>
        <item sd="0" x="6762"/>
        <item sd="0" x="6763"/>
        <item sd="0" x="6764"/>
        <item sd="0" x="6765"/>
        <item sd="0" x="6766"/>
        <item sd="0" x="6767"/>
        <item sd="0" x="6768"/>
        <item sd="0" x="6769"/>
        <item sd="0" x="6770"/>
        <item sd="0" x="6771"/>
        <item sd="0" x="6772"/>
        <item sd="0" x="6773"/>
        <item sd="0" x="6774"/>
        <item sd="0" x="6775"/>
        <item sd="0" x="6776"/>
        <item sd="0" x="6777"/>
        <item sd="0" x="6778"/>
        <item sd="0" x="6779"/>
        <item sd="0" x="6780"/>
        <item sd="0" x="6781"/>
        <item sd="0" x="6782"/>
        <item sd="0" x="6783"/>
        <item sd="0" x="6784"/>
        <item sd="0" x="6785"/>
        <item sd="0" x="6786"/>
        <item sd="0" x="6787"/>
        <item sd="0" x="6788"/>
        <item sd="0" x="6789"/>
        <item sd="0" x="6790"/>
        <item sd="0" x="6791"/>
        <item sd="0" x="6792"/>
        <item sd="0" x="6793"/>
        <item sd="0" x="6794"/>
        <item sd="0" x="6795"/>
        <item sd="0" x="6796"/>
        <item sd="0" x="6797"/>
        <item sd="0" x="6798"/>
        <item sd="0" x="6799"/>
        <item sd="0" x="6800"/>
        <item sd="0" x="6801"/>
        <item sd="0" x="6802"/>
        <item sd="0" x="6803"/>
        <item sd="0" x="6804"/>
        <item sd="0" x="6805"/>
        <item sd="0" x="6806"/>
        <item sd="0" x="6807"/>
        <item sd="0" x="6808"/>
        <item sd="0" x="6809"/>
        <item sd="0" x="6810"/>
        <item sd="0" x="6811"/>
        <item sd="0" x="6812"/>
        <item sd="0" x="6813"/>
        <item sd="0" x="6814"/>
        <item sd="0" x="6815"/>
        <item sd="0" x="6816"/>
        <item sd="0" x="6817"/>
        <item sd="0" x="6818"/>
        <item sd="0" x="6819"/>
        <item sd="0" x="6820"/>
        <item sd="0" x="6821"/>
        <item sd="0" x="6822"/>
        <item sd="0" x="6823"/>
        <item sd="0" x="6824"/>
        <item sd="0" x="6825"/>
        <item sd="0" x="6826"/>
        <item sd="0" x="6827"/>
        <item sd="0" x="6828"/>
        <item sd="0" x="6829"/>
        <item sd="0" x="6830"/>
        <item sd="0" x="6831"/>
        <item sd="0" x="6832"/>
        <item sd="0" x="6833"/>
        <item sd="0" x="6834"/>
        <item sd="0" x="6835"/>
        <item sd="0" x="6836"/>
        <item sd="0" x="6837"/>
        <item sd="0" x="6838"/>
        <item sd="0" x="6839"/>
        <item sd="0" x="6840"/>
        <item sd="0" x="6841"/>
        <item sd="0" x="6842"/>
        <item sd="0" x="6843"/>
        <item sd="0" x="6844"/>
        <item sd="0" x="6845"/>
        <item sd="0" x="6846"/>
        <item sd="0" x="6847"/>
        <item sd="0" x="6848"/>
        <item sd="0" x="6849"/>
        <item sd="0" x="6850"/>
        <item sd="0" x="6851"/>
        <item sd="0" x="6852"/>
        <item sd="0" x="6853"/>
        <item sd="0" x="6854"/>
        <item sd="0" x="6855"/>
        <item sd="0" x="6856"/>
        <item sd="0" x="6857"/>
        <item sd="0" x="6858"/>
        <item sd="0" x="6859"/>
        <item sd="0" x="6860"/>
        <item sd="0" x="6861"/>
        <item sd="0" x="6862"/>
        <item sd="0" x="6863"/>
        <item sd="0" x="6864"/>
        <item sd="0" x="6865"/>
        <item sd="0" x="6866"/>
        <item sd="0" x="6867"/>
        <item sd="0" x="6868"/>
        <item sd="0" x="6869"/>
        <item sd="0" x="6870"/>
        <item sd="0" x="6871"/>
        <item sd="0" x="6872"/>
        <item sd="0" x="6873"/>
        <item sd="0" x="6874"/>
        <item sd="0" x="6875"/>
        <item sd="0" x="6876"/>
        <item sd="0" x="6877"/>
        <item sd="0" x="6878"/>
        <item sd="0" x="6879"/>
        <item sd="0" x="6880"/>
        <item sd="0" x="6881"/>
        <item sd="0" x="6882"/>
        <item sd="0" x="6883"/>
        <item sd="0" x="6884"/>
        <item sd="0" x="6885"/>
        <item sd="0" x="6886"/>
        <item sd="0" x="6887"/>
        <item sd="0" x="6888"/>
        <item sd="0" x="6889"/>
        <item sd="0" x="6890"/>
        <item sd="0" x="6891"/>
        <item sd="0" x="6892"/>
        <item sd="0" x="6893"/>
        <item sd="0" x="6894"/>
        <item sd="0" x="6895"/>
        <item sd="0" x="6896"/>
        <item sd="0" x="6897"/>
        <item sd="0" x="6898"/>
        <item sd="0" x="6899"/>
        <item sd="0" x="6900"/>
        <item sd="0" x="6901"/>
        <item sd="0" x="6902"/>
        <item sd="0" x="6903"/>
        <item sd="0" x="6904"/>
        <item sd="0" x="6905"/>
        <item sd="0" x="6906"/>
        <item sd="0" x="6907"/>
        <item sd="0" x="6908"/>
        <item sd="0" x="6909"/>
        <item sd="0" x="6910"/>
        <item sd="0" x="6911"/>
        <item sd="0" x="6912"/>
        <item sd="0" x="6913"/>
        <item sd="0" x="6914"/>
        <item sd="0" x="6915"/>
        <item sd="0" x="6916"/>
        <item sd="0" x="6917"/>
        <item sd="0" x="6918"/>
        <item sd="0" x="6919"/>
        <item sd="0" x="6920"/>
        <item sd="0" x="6921"/>
        <item sd="0" x="6922"/>
        <item sd="0" x="6923"/>
        <item sd="0" x="6924"/>
        <item sd="0" x="6925"/>
        <item sd="0" x="6926"/>
        <item sd="0" x="6927"/>
        <item sd="0" x="6928"/>
        <item sd="0" x="6929"/>
        <item sd="0" x="6930"/>
        <item sd="0" x="6931"/>
        <item sd="0" x="6932"/>
        <item sd="0" x="6933"/>
        <item sd="0" x="6934"/>
        <item sd="0" x="6935"/>
        <item sd="0" x="6936"/>
        <item sd="0" x="6937"/>
        <item sd="0" x="6938"/>
        <item sd="0" x="6939"/>
        <item sd="0" x="6940"/>
        <item sd="0" x="6941"/>
        <item sd="0" x="6942"/>
        <item sd="0" x="6943"/>
        <item sd="0" x="6944"/>
        <item sd="0" x="6945"/>
        <item sd="0" x="6946"/>
        <item sd="0" x="6947"/>
        <item sd="0" x="6948"/>
        <item sd="0" x="6949"/>
        <item sd="0" x="6950"/>
        <item sd="0" x="6951"/>
        <item sd="0" x="6952"/>
        <item sd="0" x="6953"/>
        <item sd="0" x="6954"/>
        <item sd="0" x="6955"/>
        <item sd="0" x="6956"/>
        <item sd="0" x="6957"/>
        <item sd="0" x="6958"/>
        <item sd="0" x="6959"/>
        <item sd="0" x="6960"/>
        <item sd="0" x="6961"/>
        <item sd="0" x="6962"/>
        <item sd="0" x="6963"/>
        <item sd="0" x="6964"/>
        <item sd="0" x="6965"/>
        <item sd="0" x="6966"/>
        <item sd="0" x="6967"/>
        <item sd="0" x="6968"/>
        <item sd="0" x="6969"/>
        <item sd="0" x="6970"/>
        <item sd="0" x="6971"/>
        <item sd="0" x="6972"/>
        <item sd="0" x="6973"/>
        <item sd="0" x="6974"/>
        <item sd="0" x="6975"/>
        <item sd="0" x="6976"/>
        <item sd="0" x="6977"/>
        <item sd="0" x="6978"/>
        <item sd="0" x="6979"/>
        <item sd="0" x="6980"/>
        <item sd="0" x="6981"/>
        <item sd="0" x="6982"/>
        <item sd="0" x="6983"/>
        <item sd="0" x="6984"/>
        <item sd="0" x="6985"/>
        <item sd="0" x="6986"/>
        <item sd="0" x="6987"/>
        <item sd="0" x="6988"/>
        <item sd="0" x="6989"/>
        <item sd="0" x="6990"/>
        <item sd="0" x="6991"/>
        <item sd="0" x="6992"/>
        <item sd="0" x="6993"/>
        <item sd="0" x="6994"/>
        <item sd="0" x="6995"/>
        <item sd="0" x="6996"/>
        <item sd="0" x="6997"/>
        <item sd="0" x="6998"/>
        <item sd="0" x="6999"/>
        <item sd="0" x="7000"/>
        <item sd="0" x="7001"/>
        <item sd="0" x="7002"/>
        <item sd="0" x="7003"/>
        <item sd="0" x="7004"/>
        <item sd="0" x="7005"/>
        <item sd="0" x="7006"/>
        <item sd="0" x="7007"/>
        <item sd="0" x="7008"/>
        <item sd="0" x="7009"/>
        <item sd="0" x="7010"/>
        <item sd="0" x="7011"/>
        <item sd="0" x="7012"/>
        <item sd="0" x="7013"/>
        <item sd="0" x="7014"/>
        <item sd="0" x="7015"/>
        <item sd="0" x="7016"/>
        <item sd="0" x="7017"/>
        <item sd="0" x="7018"/>
        <item sd="0" x="7019"/>
        <item sd="0" x="7020"/>
        <item sd="0" x="7021"/>
        <item sd="0" x="7022"/>
        <item sd="0" x="7023"/>
        <item sd="0" x="7024"/>
        <item sd="0" x="7025"/>
        <item sd="0" x="7026"/>
        <item sd="0" x="7027"/>
        <item sd="0" x="7028"/>
        <item sd="0" x="7029"/>
        <item sd="0" x="7030"/>
        <item sd="0" x="7031"/>
        <item sd="0" x="7032"/>
        <item sd="0" x="7033"/>
        <item sd="0" x="7034"/>
        <item sd="0" x="7035"/>
        <item sd="0" x="7036"/>
        <item sd="0" x="7037"/>
        <item sd="0" x="7038"/>
        <item sd="0" x="7039"/>
        <item sd="0" x="7040"/>
        <item sd="0" x="7041"/>
        <item sd="0" x="7042"/>
        <item sd="0" x="7043"/>
        <item sd="0" x="7044"/>
        <item sd="0" x="7045"/>
        <item sd="0" x="7046"/>
        <item sd="0" x="7047"/>
        <item sd="0" x="7048"/>
        <item sd="0" x="7049"/>
        <item sd="0" x="7050"/>
        <item sd="0" x="7051"/>
        <item sd="0" x="7052"/>
        <item sd="0" x="7053"/>
        <item sd="0" x="7054"/>
        <item sd="0" x="7055"/>
        <item sd="0" x="7056"/>
        <item sd="0" x="7057"/>
        <item sd="0" x="7058"/>
        <item sd="0" x="7059"/>
        <item sd="0" x="7060"/>
        <item sd="0" x="7061"/>
        <item sd="0" x="7062"/>
        <item sd="0" x="7063"/>
        <item sd="0" x="7064"/>
        <item sd="0" x="7065"/>
        <item sd="0" x="7066"/>
        <item sd="0" x="7067"/>
        <item sd="0" x="7068"/>
        <item sd="0" x="7069"/>
        <item sd="0" x="7070"/>
        <item sd="0" x="7071"/>
        <item sd="0" x="7072"/>
        <item sd="0" x="7073"/>
        <item sd="0" x="7074"/>
        <item sd="0" x="7075"/>
        <item sd="0" x="7076"/>
        <item sd="0" x="7077"/>
        <item sd="0" x="7078"/>
        <item sd="0" x="7079"/>
        <item sd="0" x="7080"/>
        <item sd="0" x="7081"/>
        <item sd="0" x="7082"/>
        <item sd="0" x="7083"/>
        <item sd="0" x="7084"/>
        <item sd="0" x="7085"/>
        <item sd="0" x="7086"/>
        <item sd="0" x="7087"/>
        <item sd="0" x="7088"/>
        <item sd="0" x="7089"/>
        <item sd="0" x="7090"/>
        <item sd="0" x="7091"/>
        <item sd="0" x="7092"/>
        <item sd="0" x="7093"/>
        <item sd="0" x="7094"/>
        <item sd="0" x="7095"/>
        <item sd="0" x="7096"/>
        <item sd="0" x="7097"/>
        <item sd="0" x="7098"/>
        <item sd="0" x="7099"/>
        <item sd="0" x="7100"/>
        <item sd="0" x="7101"/>
        <item sd="0" x="7102"/>
        <item sd="0" x="7103"/>
        <item sd="0" x="7104"/>
        <item sd="0" x="7105"/>
        <item sd="0" x="7106"/>
        <item sd="0" x="7107"/>
        <item sd="0" x="7108"/>
        <item sd="0" x="7109"/>
        <item sd="0" x="7110"/>
        <item sd="0" x="7111"/>
        <item sd="0" x="7112"/>
        <item sd="0" x="7113"/>
        <item sd="0" x="7114"/>
        <item sd="0" x="7115"/>
        <item sd="0" x="7116"/>
        <item sd="0" x="7117"/>
        <item sd="0" x="7118"/>
        <item sd="0" x="7119"/>
        <item sd="0" x="7120"/>
        <item sd="0" x="7121"/>
        <item sd="0" x="7122"/>
        <item sd="0" x="7123"/>
        <item sd="0" x="7124"/>
        <item sd="0" x="7125"/>
        <item sd="0" x="7126"/>
        <item sd="0" x="7127"/>
        <item sd="0" x="7128"/>
        <item sd="0" x="7129"/>
        <item sd="0" x="7130"/>
        <item sd="0" x="7131"/>
        <item sd="0" x="7132"/>
        <item sd="0" x="7133"/>
        <item sd="0" x="7134"/>
        <item sd="0" x="7135"/>
        <item sd="0" x="7136"/>
        <item sd="0" x="7137"/>
        <item sd="0" x="7138"/>
        <item sd="0" x="7139"/>
        <item sd="0" x="7140"/>
        <item sd="0" x="7141"/>
        <item sd="0" x="7142"/>
        <item sd="0" x="7143"/>
        <item sd="0" x="7144"/>
        <item sd="0" x="7145"/>
        <item sd="0" x="7146"/>
        <item sd="0" x="7147"/>
        <item sd="0" x="7148"/>
        <item sd="0" x="7149"/>
        <item sd="0" x="7150"/>
        <item sd="0" x="7151"/>
        <item sd="0" x="7152"/>
        <item sd="0" x="7153"/>
        <item sd="0" x="7154"/>
        <item sd="0" x="7155"/>
        <item sd="0" x="7156"/>
        <item sd="0" x="7157"/>
        <item sd="0" x="7158"/>
        <item sd="0" x="7159"/>
        <item sd="0" x="7160"/>
        <item sd="0" x="7161"/>
        <item sd="0" x="7162"/>
        <item sd="0" x="7163"/>
        <item sd="0" x="7164"/>
        <item sd="0" x="7165"/>
        <item sd="0" x="7166"/>
        <item sd="0" x="7167"/>
        <item sd="0" x="7168"/>
        <item sd="0" x="7169"/>
        <item sd="0" x="7170"/>
        <item sd="0" x="7171"/>
        <item sd="0" x="7172"/>
        <item sd="0" x="7173"/>
        <item sd="0" x="7174"/>
        <item sd="0" x="7175"/>
        <item sd="0" x="7176"/>
        <item sd="0" x="7177"/>
        <item sd="0" x="7178"/>
        <item sd="0" x="7179"/>
        <item sd="0" x="7180"/>
        <item sd="0" x="7181"/>
        <item sd="0" x="7182"/>
        <item sd="0" x="7183"/>
        <item sd="0" x="7184"/>
        <item sd="0" x="7185"/>
        <item sd="0" x="7186"/>
        <item sd="0" x="7187"/>
        <item sd="0" x="7188"/>
        <item sd="0" x="7189"/>
        <item sd="0" x="7190"/>
        <item sd="0" x="7191"/>
        <item sd="0" x="7192"/>
        <item sd="0" x="7193"/>
        <item sd="0" x="7194"/>
        <item sd="0" x="7195"/>
        <item sd="0" x="7196"/>
        <item sd="0" x="7197"/>
        <item sd="0" x="7198"/>
        <item sd="0" x="7199"/>
        <item sd="0" x="7200"/>
        <item sd="0" x="7201"/>
        <item sd="0" x="7202"/>
        <item sd="0" x="7203"/>
        <item sd="0" x="7204"/>
        <item sd="0" x="7205"/>
        <item sd="0" x="7206"/>
        <item sd="0" x="7207"/>
        <item sd="0" x="7208"/>
        <item sd="0" x="7209"/>
        <item sd="0" x="7210"/>
        <item sd="0" x="7211"/>
        <item sd="0" x="7212"/>
        <item sd="0" x="7213"/>
        <item sd="0" x="7214"/>
        <item sd="0" x="7215"/>
        <item sd="0" x="7216"/>
        <item sd="0" x="7217"/>
        <item sd="0" x="7218"/>
        <item sd="0" x="7219"/>
        <item sd="0" x="7220"/>
        <item sd="0" x="7221"/>
        <item sd="0" x="7222"/>
        <item sd="0" x="7223"/>
        <item sd="0" x="7224"/>
        <item sd="0" x="7225"/>
        <item sd="0" x="7226"/>
        <item sd="0" x="7227"/>
        <item sd="0" x="7228"/>
        <item sd="0" x="7229"/>
        <item sd="0" x="7230"/>
        <item sd="0" x="7231"/>
        <item sd="0" x="7232"/>
        <item sd="0" x="7233"/>
        <item sd="0" x="7234"/>
        <item sd="0" x="7235"/>
        <item sd="0" x="7236"/>
        <item sd="0" x="7237"/>
        <item sd="0" x="7238"/>
        <item sd="0" x="7239"/>
        <item sd="0" x="7240"/>
        <item sd="0" x="7241"/>
        <item sd="0" x="7242"/>
        <item sd="0" x="7243"/>
        <item sd="0" x="7244"/>
        <item sd="0" x="7245"/>
        <item sd="0" x="7246"/>
        <item sd="0" x="7247"/>
        <item sd="0" x="7248"/>
        <item sd="0" x="7249"/>
        <item sd="0" x="7250"/>
        <item sd="0" x="7251"/>
        <item sd="0" x="7252"/>
        <item sd="0" x="7253"/>
        <item sd="0" x="7254"/>
        <item sd="0" x="7255"/>
        <item sd="0" x="7256"/>
        <item sd="0" x="7257"/>
        <item sd="0" x="7258"/>
        <item sd="0" x="7259"/>
        <item sd="0" x="7260"/>
        <item sd="0" x="7261"/>
        <item sd="0" x="7262"/>
        <item sd="0" x="7263"/>
        <item sd="0" x="7264"/>
        <item sd="0" x="7265"/>
        <item sd="0" x="7266"/>
        <item sd="0" x="7267"/>
        <item sd="0" x="7268"/>
        <item sd="0" x="7269"/>
        <item sd="0" x="7270"/>
        <item sd="0" x="7271"/>
        <item sd="0" x="7272"/>
        <item sd="0" x="7273"/>
        <item sd="0" x="7274"/>
        <item sd="0" x="7275"/>
        <item sd="0" x="7276"/>
        <item sd="0" x="7277"/>
        <item sd="0" x="7278"/>
        <item sd="0" x="7279"/>
        <item sd="0" x="7280"/>
        <item sd="0" x="7281"/>
        <item sd="0" x="7282"/>
        <item sd="0" x="7283"/>
        <item sd="0" x="7284"/>
        <item sd="0" x="7285"/>
        <item sd="0" x="7286"/>
        <item sd="0" x="7287"/>
        <item sd="0" x="7288"/>
        <item sd="0" x="7289"/>
        <item sd="0" x="7290"/>
        <item sd="0" x="7291"/>
        <item sd="0" x="7292"/>
        <item sd="0" x="7293"/>
        <item sd="0" x="7294"/>
        <item sd="0" x="7295"/>
        <item sd="0" x="7296"/>
        <item sd="0" x="7297"/>
        <item sd="0" x="7298"/>
        <item sd="0" x="7299"/>
        <item sd="0" x="7300"/>
        <item sd="0" x="7301"/>
        <item sd="0" x="7302"/>
        <item sd="0" x="7303"/>
        <item sd="0" x="7304"/>
        <item sd="0" x="7305"/>
        <item sd="0" x="7306"/>
        <item sd="0" x="7307"/>
        <item sd="0" x="7308"/>
        <item sd="0" x="7309"/>
        <item sd="0" x="7310"/>
        <item sd="0" x="7311"/>
        <item sd="0" x="7312"/>
        <item sd="0" x="7313"/>
        <item sd="0" x="7314"/>
        <item sd="0" x="7315"/>
        <item sd="0" x="7316"/>
        <item sd="0" x="7317"/>
        <item sd="0" x="7318"/>
        <item sd="0" x="7319"/>
        <item sd="0" x="7320"/>
        <item sd="0" x="7321"/>
        <item sd="0" x="7322"/>
        <item sd="0" x="7323"/>
        <item sd="0" x="7324"/>
        <item sd="0" x="7325"/>
        <item sd="0" x="7326"/>
        <item sd="0" x="7327"/>
        <item sd="0" x="7328"/>
        <item sd="0" x="7329"/>
        <item sd="0" x="7330"/>
        <item sd="0" x="7331"/>
        <item sd="0" x="7332"/>
        <item sd="0" x="7333"/>
        <item sd="0" x="7334"/>
        <item sd="0" x="7335"/>
        <item sd="0" x="7336"/>
        <item sd="0" x="7337"/>
        <item sd="0" x="7338"/>
        <item sd="0" x="7339"/>
        <item sd="0" x="7340"/>
        <item sd="0" x="7341"/>
        <item sd="0" x="7342"/>
        <item sd="0" x="7343"/>
        <item sd="0" x="7344"/>
        <item sd="0" x="7345"/>
        <item sd="0" x="7346"/>
        <item sd="0" x="7347"/>
        <item sd="0" x="7348"/>
        <item sd="0" x="7349"/>
        <item sd="0" x="7350"/>
        <item sd="0" x="7351"/>
        <item sd="0" x="7352"/>
        <item sd="0" x="7353"/>
        <item sd="0" x="7354"/>
        <item sd="0" x="7355"/>
        <item sd="0" x="7356"/>
        <item sd="0" x="7357"/>
        <item sd="0" x="7358"/>
        <item sd="0" x="7359"/>
        <item sd="0" x="7360"/>
        <item sd="0" x="7361"/>
        <item sd="0" x="7362"/>
        <item sd="0" x="7363"/>
        <item sd="0" x="7364"/>
        <item sd="0" x="7365"/>
        <item sd="0" x="7366"/>
        <item sd="0" x="7367"/>
        <item sd="0" x="7368"/>
        <item sd="0" x="7369"/>
        <item sd="0" x="7370"/>
        <item sd="0" x="7371"/>
        <item sd="0" x="7372"/>
        <item sd="0" x="7373"/>
        <item sd="0" x="7374"/>
        <item sd="0" x="7375"/>
        <item sd="0" x="7376"/>
        <item sd="0" x="7377"/>
        <item sd="0" x="7378"/>
        <item sd="0" x="7379"/>
        <item sd="0" x="7380"/>
        <item sd="0" x="7381"/>
        <item sd="0" x="7382"/>
        <item sd="0" x="7383"/>
        <item sd="0" x="7384"/>
        <item sd="0" x="7385"/>
        <item sd="0" x="7386"/>
        <item sd="0" x="7387"/>
        <item sd="0" x="7388"/>
        <item sd="0" x="7389"/>
        <item sd="0" x="7390"/>
        <item sd="0" x="7391"/>
        <item sd="0" x="7392"/>
        <item sd="0" x="7393"/>
        <item sd="0" x="7394"/>
        <item sd="0" x="7395"/>
        <item sd="0" x="7396"/>
        <item sd="0" x="7397"/>
        <item sd="0" x="7398"/>
        <item sd="0" x="7399"/>
        <item sd="0" x="7400"/>
        <item sd="0" x="7401"/>
        <item sd="0" x="7402"/>
        <item sd="0" x="7403"/>
        <item sd="0" x="7404"/>
        <item sd="0" x="7405"/>
        <item sd="0" x="7406"/>
        <item sd="0" x="7407"/>
        <item sd="0" x="7408"/>
        <item sd="0" x="7409"/>
        <item sd="0" x="7410"/>
        <item sd="0" x="7411"/>
        <item sd="0" x="7412"/>
        <item sd="0" x="7413"/>
        <item sd="0" x="7414"/>
        <item sd="0" x="7415"/>
        <item sd="0" x="7416"/>
        <item sd="0" x="7417"/>
        <item sd="0" x="7418"/>
        <item sd="0" x="7419"/>
        <item sd="0" x="7420"/>
        <item sd="0" x="7421"/>
        <item sd="0" x="7422"/>
        <item sd="0" x="7423"/>
        <item sd="0" x="7424"/>
        <item sd="0" x="7425"/>
        <item sd="0" x="7426"/>
        <item sd="0" x="7427"/>
        <item sd="0" x="7428"/>
        <item sd="0" x="7429"/>
        <item sd="0" x="7430"/>
        <item sd="0" x="7431"/>
        <item sd="0" x="7432"/>
        <item sd="0" x="7433"/>
        <item sd="0" x="7434"/>
        <item sd="0" x="7435"/>
        <item sd="0" x="7436"/>
        <item sd="0" x="7437"/>
        <item sd="0" x="7438"/>
        <item sd="0" x="7439"/>
        <item sd="0" x="7440"/>
        <item sd="0" x="7441"/>
        <item sd="0" x="7442"/>
        <item sd="0" x="7443"/>
        <item sd="0" x="7444"/>
        <item sd="0" x="7445"/>
        <item sd="0" x="7446"/>
        <item sd="0" x="7447"/>
        <item sd="0" x="7448"/>
        <item sd="0" x="7449"/>
        <item sd="0" x="7450"/>
        <item sd="0" x="7451"/>
        <item sd="0" x="7452"/>
        <item sd="0" x="7453"/>
        <item sd="0" x="7454"/>
        <item sd="0" x="7455"/>
        <item sd="0" x="7456"/>
        <item sd="0" x="7457"/>
        <item sd="0" x="7458"/>
        <item sd="0" x="7459"/>
        <item sd="0" x="7460"/>
        <item sd="0" x="7461"/>
        <item sd="0" x="7462"/>
        <item sd="0" x="7463"/>
        <item sd="0" x="7464"/>
        <item sd="0" x="7465"/>
        <item sd="0" x="7466"/>
        <item sd="0" x="7467"/>
        <item sd="0" x="7468"/>
        <item sd="0" x="7469"/>
        <item sd="0" x="7470"/>
        <item sd="0" x="7471"/>
        <item sd="0" x="7472"/>
        <item sd="0" x="7473"/>
        <item sd="0" x="7474"/>
        <item sd="0" x="7475"/>
        <item sd="0" x="7476"/>
        <item sd="0" x="7477"/>
        <item sd="0" x="7478"/>
        <item sd="0" x="7479"/>
        <item sd="0" x="7480"/>
        <item sd="0" x="7481"/>
        <item sd="0" x="7482"/>
        <item sd="0" x="7483"/>
        <item sd="0" x="7484"/>
        <item sd="0" x="7485"/>
        <item sd="0" x="7486"/>
        <item sd="0" x="7487"/>
        <item sd="0" x="7488"/>
        <item sd="0" x="7489"/>
        <item sd="0" x="7490"/>
        <item sd="0" x="7491"/>
        <item sd="0" x="7492"/>
        <item sd="0" x="7493"/>
        <item sd="0" x="7494"/>
        <item sd="0" x="7495"/>
        <item sd="0" x="7496"/>
        <item sd="0" x="7497"/>
        <item sd="0" x="7498"/>
        <item sd="0" x="7499"/>
        <item sd="0" x="7500"/>
        <item sd="0" x="7501"/>
        <item sd="0" x="7502"/>
        <item sd="0" x="7503"/>
        <item sd="0" x="7504"/>
        <item sd="0" x="7505"/>
        <item sd="0" x="7506"/>
        <item sd="0" x="7507"/>
        <item sd="0" x="7508"/>
        <item sd="0" x="7509"/>
        <item sd="0" x="7510"/>
        <item sd="0" x="7511"/>
        <item sd="0" x="7512"/>
        <item sd="0" x="7513"/>
        <item sd="0" x="7514"/>
        <item sd="0" x="7515"/>
        <item sd="0" x="7516"/>
        <item sd="0" x="7517"/>
        <item sd="0" x="7518"/>
        <item sd="0" x="7519"/>
        <item sd="0" x="7520"/>
        <item sd="0" x="7521"/>
        <item sd="0" x="7522"/>
        <item sd="0" x="7523"/>
        <item sd="0" x="7524"/>
        <item sd="0" x="7525"/>
        <item sd="0" x="7526"/>
        <item sd="0" x="7527"/>
        <item sd="0" x="7528"/>
        <item sd="0" x="7529"/>
        <item sd="0" x="7530"/>
        <item sd="0" x="7531"/>
        <item sd="0" x="7532"/>
        <item sd="0" x="7533"/>
        <item sd="0" x="7534"/>
        <item sd="0" x="7535"/>
        <item sd="0" x="7536"/>
        <item sd="0" x="7537"/>
        <item sd="0" x="7538"/>
        <item sd="0" x="7539"/>
        <item sd="0" x="7540"/>
        <item sd="0" x="7541"/>
        <item sd="0" x="7542"/>
        <item sd="0" x="7543"/>
        <item sd="0" x="7544"/>
        <item sd="0" x="7545"/>
        <item sd="0" x="7546"/>
        <item sd="0" x="7547"/>
        <item sd="0" x="7548"/>
        <item sd="0" x="7549"/>
        <item sd="0" x="7550"/>
        <item sd="0" x="7551"/>
        <item sd="0" x="7552"/>
        <item sd="0" x="7553"/>
        <item sd="0" x="7554"/>
        <item sd="0" x="7555"/>
        <item sd="0" x="7556"/>
        <item sd="0" x="7557"/>
        <item sd="0" x="7558"/>
        <item sd="0" x="7559"/>
        <item sd="0" x="7560"/>
        <item sd="0" x="7561"/>
        <item sd="0" x="7562"/>
        <item sd="0" x="7563"/>
        <item sd="0" x="7564"/>
        <item sd="0" x="7565"/>
        <item sd="0" x="7566"/>
        <item sd="0" x="7567"/>
        <item sd="0" x="7568"/>
        <item sd="0" x="7569"/>
        <item sd="0" x="7570"/>
        <item sd="0" x="7571"/>
        <item sd="0" x="7572"/>
        <item sd="0" x="7573"/>
        <item sd="0" x="7574"/>
        <item sd="0" x="7575"/>
        <item sd="0" x="7576"/>
        <item sd="0" x="7577"/>
        <item sd="0" x="7578"/>
        <item sd="0" x="7579"/>
        <item sd="0" x="7580"/>
        <item sd="0" x="7581"/>
        <item sd="0" x="7582"/>
        <item sd="0" x="7583"/>
        <item sd="0" x="7584"/>
        <item sd="0" x="7585"/>
        <item sd="0" x="7586"/>
        <item sd="0" x="7587"/>
        <item sd="0" x="7588"/>
        <item sd="0" x="7589"/>
        <item sd="0" x="7590"/>
        <item sd="0" x="7591"/>
        <item sd="0" x="7592"/>
        <item sd="0" x="7593"/>
        <item sd="0" x="7594"/>
        <item sd="0" x="7595"/>
        <item sd="0" x="7596"/>
        <item sd="0" x="7597"/>
        <item sd="0" x="7598"/>
        <item sd="0" x="7599"/>
        <item sd="0" x="7600"/>
        <item sd="0" x="7601"/>
        <item sd="0" x="7602"/>
        <item sd="0" x="7603"/>
        <item sd="0" x="7604"/>
        <item sd="0" x="7605"/>
        <item sd="0" x="7606"/>
        <item sd="0" x="7607"/>
        <item sd="0" x="7608"/>
        <item sd="0" x="7609"/>
        <item sd="0" x="7610"/>
        <item sd="0" x="7611"/>
        <item sd="0" x="7612"/>
        <item sd="0" x="7613"/>
        <item sd="0" x="7614"/>
        <item sd="0" x="7615"/>
        <item sd="0" x="7616"/>
        <item sd="0" x="7617"/>
        <item sd="0" x="7618"/>
        <item sd="0" x="7619"/>
        <item sd="0" x="7620"/>
        <item sd="0" x="7621"/>
        <item sd="0" x="7622"/>
        <item sd="0" x="7623"/>
        <item sd="0" x="7624"/>
        <item sd="0" x="7625"/>
        <item sd="0" x="7626"/>
        <item sd="0" x="7627"/>
        <item sd="0" x="7628"/>
        <item sd="0" x="7629"/>
        <item sd="0" x="7630"/>
        <item sd="0" x="7631"/>
        <item sd="0" x="7632"/>
        <item sd="0" x="7633"/>
        <item sd="0" x="7634"/>
        <item sd="0" x="7635"/>
        <item sd="0" x="7636"/>
        <item sd="0" x="7637"/>
        <item sd="0" x="7638"/>
        <item sd="0" x="7639"/>
        <item sd="0" x="7640"/>
        <item sd="0" x="7641"/>
        <item sd="0" x="7642"/>
        <item sd="0" x="7643"/>
        <item sd="0" x="7644"/>
        <item sd="0" x="7645"/>
        <item sd="0" x="7646"/>
        <item sd="0" x="7647"/>
        <item sd="0" x="7648"/>
        <item sd="0" x="7649"/>
        <item sd="0" x="7650"/>
        <item sd="0" x="7651"/>
        <item sd="0" x="7652"/>
        <item sd="0" x="7653"/>
        <item sd="0" x="7654"/>
        <item sd="0" x="7655"/>
        <item sd="0" x="7656"/>
        <item sd="0" x="7657"/>
        <item sd="0" x="7658"/>
        <item sd="0" x="7659"/>
        <item sd="0" x="7660"/>
        <item sd="0" x="7661"/>
        <item sd="0" x="7662"/>
        <item sd="0" x="7663"/>
        <item sd="0" x="7664"/>
        <item sd="0" x="7665"/>
        <item sd="0" x="7666"/>
        <item sd="0" x="7667"/>
        <item sd="0" x="7668"/>
        <item sd="0" x="7669"/>
        <item sd="0" x="7670"/>
        <item sd="0" x="7671"/>
        <item sd="0" x="7672"/>
        <item sd="0" x="7673"/>
        <item sd="0" x="7674"/>
        <item sd="0" x="7675"/>
        <item sd="0" x="7676"/>
        <item sd="0" x="7677"/>
        <item sd="0" x="7678"/>
        <item sd="0" x="7679"/>
        <item sd="0" x="7680"/>
        <item sd="0" x="7681"/>
        <item sd="0" x="7682"/>
        <item sd="0" x="7683"/>
        <item sd="0" x="7684"/>
        <item sd="0" x="7685"/>
        <item sd="0" x="7686"/>
        <item sd="0" x="7687"/>
        <item sd="0" x="7688"/>
        <item sd="0" x="7689"/>
        <item sd="0" x="7690"/>
        <item sd="0" x="7691"/>
        <item sd="0" x="7692"/>
        <item sd="0" x="7693"/>
        <item sd="0" x="7694"/>
        <item sd="0" x="7695"/>
        <item sd="0" x="7696"/>
        <item sd="0" x="7697"/>
        <item sd="0" x="7698"/>
        <item sd="0" x="7699"/>
        <item sd="0" x="7700"/>
        <item sd="0" x="7701"/>
        <item sd="0" x="7702"/>
        <item sd="0" x="7703"/>
        <item sd="0" x="7704"/>
        <item sd="0" x="7705"/>
        <item sd="0" x="7706"/>
        <item sd="0" x="7707"/>
        <item sd="0" x="7708"/>
        <item sd="0" x="7709"/>
        <item sd="0" x="7710"/>
        <item sd="0" x="7711"/>
        <item sd="0" x="7712"/>
        <item sd="0" x="7713"/>
        <item sd="0" x="7714"/>
        <item sd="0" x="7715"/>
        <item sd="0" x="7716"/>
        <item sd="0" x="7717"/>
        <item sd="0" x="7718"/>
        <item sd="0" x="7719"/>
        <item sd="0" x="7720"/>
        <item sd="0" x="7721"/>
        <item sd="0" x="7722"/>
        <item sd="0" x="7723"/>
        <item sd="0" x="7724"/>
        <item sd="0" x="7725"/>
        <item sd="0" x="7726"/>
        <item sd="0" x="7727"/>
        <item sd="0" x="7728"/>
        <item sd="0" x="7729"/>
        <item sd="0" x="7730"/>
        <item sd="0" x="7731"/>
        <item sd="0" x="7732"/>
        <item sd="0" x="7733"/>
        <item sd="0" x="7734"/>
        <item sd="0" x="7735"/>
        <item sd="0" x="7736"/>
        <item sd="0" x="7737"/>
        <item sd="0" x="7738"/>
        <item sd="0" x="7739"/>
        <item sd="0" x="7740"/>
        <item sd="0" x="7741"/>
        <item sd="0" x="7742"/>
        <item sd="0" x="7743"/>
        <item sd="0" x="7744"/>
        <item sd="0" x="7745"/>
        <item sd="0" x="7746"/>
        <item sd="0" x="7747"/>
        <item sd="0" x="7748"/>
        <item sd="0" x="7749"/>
        <item sd="0" x="7750"/>
        <item sd="0" x="7751"/>
        <item sd="0" x="7752"/>
        <item sd="0" x="7753"/>
        <item sd="0" x="7754"/>
        <item sd="0" x="7755"/>
        <item sd="0" x="7756"/>
        <item sd="0" x="7757"/>
        <item sd="0" x="7758"/>
        <item sd="0" x="7759"/>
        <item sd="0" x="7760"/>
        <item sd="0" x="7761"/>
        <item sd="0" x="7762"/>
        <item sd="0" x="7763"/>
        <item sd="0" x="7764"/>
        <item sd="0" x="7765"/>
        <item sd="0" x="7766"/>
        <item sd="0" x="7767"/>
        <item sd="0" x="7768"/>
        <item sd="0" x="7769"/>
        <item sd="0" x="7770"/>
        <item sd="0" x="7771"/>
        <item sd="0" x="7772"/>
        <item sd="0" x="7773"/>
        <item sd="0" x="7774"/>
        <item sd="0" x="7775"/>
        <item sd="0" x="7776"/>
        <item sd="0" x="7777"/>
        <item sd="0" x="7778"/>
        <item sd="0" x="7779"/>
        <item sd="0" x="7780"/>
        <item sd="0" x="7781"/>
        <item sd="0" x="7782"/>
        <item sd="0" x="7783"/>
        <item sd="0" x="7784"/>
        <item sd="0" x="7785"/>
        <item sd="0" x="7786"/>
        <item sd="0" x="7787"/>
        <item sd="0" x="7788"/>
        <item sd="0" x="7789"/>
        <item sd="0" x="7790"/>
        <item sd="0" x="7791"/>
        <item sd="0" x="7792"/>
        <item sd="0" x="7793"/>
        <item sd="0" x="7794"/>
        <item sd="0" x="7795"/>
        <item sd="0" x="7796"/>
        <item sd="0" x="7797"/>
        <item sd="0" x="7798"/>
        <item sd="0" x="7799"/>
        <item sd="0" x="7800"/>
        <item sd="0" x="7801"/>
        <item sd="0" x="7802"/>
        <item sd="0" x="7803"/>
        <item sd="0" x="7804"/>
        <item sd="0" x="7805"/>
        <item sd="0" x="7806"/>
        <item sd="0" x="7807"/>
        <item sd="0" x="7808"/>
        <item sd="0" x="7809"/>
        <item sd="0" x="7810"/>
        <item sd="0" x="7811"/>
        <item sd="0" x="7812"/>
        <item sd="0" x="7813"/>
        <item sd="0" x="7814"/>
        <item sd="0" x="7815"/>
        <item sd="0" x="7816"/>
        <item sd="0" x="7817"/>
        <item sd="0" x="7818"/>
        <item sd="0" x="7819"/>
        <item sd="0" x="7820"/>
        <item sd="0" x="7821"/>
        <item sd="0" x="7822"/>
        <item sd="0" x="7823"/>
        <item sd="0" x="7824"/>
        <item sd="0" x="7825"/>
        <item sd="0" x="7826"/>
        <item sd="0" x="7827"/>
        <item sd="0" x="7828"/>
        <item sd="0" x="7829"/>
        <item sd="0" x="7830"/>
        <item sd="0" x="7831"/>
        <item sd="0" x="7832"/>
        <item sd="0" x="7833"/>
        <item sd="0" x="7834"/>
        <item sd="0" x="7835"/>
        <item sd="0" x="7836"/>
        <item sd="0" x="7837"/>
        <item sd="0" x="7838"/>
        <item sd="0" x="7839"/>
        <item sd="0" x="7840"/>
        <item sd="0" x="7841"/>
        <item sd="0" x="7842"/>
        <item sd="0" x="7843"/>
        <item sd="0" x="7844"/>
        <item sd="0" x="7845"/>
        <item sd="0" x="7846"/>
        <item sd="0" x="7847"/>
        <item sd="0" x="7848"/>
        <item sd="0" x="7849"/>
        <item sd="0" x="7850"/>
        <item sd="0" x="7851"/>
        <item sd="0" x="7852"/>
        <item sd="0" x="7853"/>
        <item sd="0" x="7854"/>
        <item sd="0" x="7855"/>
        <item sd="0" x="7856"/>
        <item sd="0" x="7857"/>
        <item sd="0" x="7858"/>
        <item sd="0" x="7859"/>
        <item sd="0" x="7860"/>
        <item sd="0" x="7861"/>
        <item sd="0" x="7862"/>
        <item sd="0" x="7863"/>
        <item sd="0" x="7864"/>
        <item sd="0" x="7865"/>
        <item sd="0" x="7866"/>
        <item sd="0" x="7867"/>
        <item sd="0" x="7868"/>
        <item sd="0" x="7869"/>
        <item sd="0" x="7870"/>
        <item sd="0" x="7871"/>
        <item sd="0" x="7872"/>
        <item sd="0" x="7873"/>
        <item sd="0" x="7874"/>
        <item sd="0" x="7875"/>
        <item sd="0" x="7876"/>
        <item sd="0" x="7877"/>
        <item sd="0" x="7878"/>
        <item sd="0" x="7879"/>
        <item sd="0" x="7880"/>
        <item sd="0" x="7881"/>
        <item sd="0" x="7882"/>
        <item sd="0" x="7883"/>
        <item sd="0" x="7884"/>
        <item sd="0" x="7885"/>
        <item sd="0" x="7886"/>
        <item sd="0" x="7887"/>
        <item sd="0" x="7888"/>
        <item sd="0" x="7889"/>
        <item sd="0" x="7890"/>
        <item sd="0" x="7891"/>
        <item sd="0" x="7892"/>
        <item sd="0" x="7893"/>
        <item sd="0" x="7894"/>
        <item sd="0" x="7895"/>
        <item sd="0" x="7896"/>
        <item sd="0" x="7897"/>
        <item sd="0" x="7898"/>
        <item sd="0" x="7899"/>
        <item sd="0" x="7900"/>
        <item sd="0" x="7901"/>
        <item sd="0" x="7902"/>
        <item sd="0" x="7903"/>
        <item sd="0" x="7904"/>
        <item sd="0" x="7905"/>
        <item sd="0" x="7906"/>
        <item sd="0" x="7907"/>
        <item sd="0" x="7908"/>
        <item sd="0" x="7909"/>
        <item sd="0" x="7910"/>
        <item sd="0" x="7911"/>
        <item sd="0" x="7912"/>
        <item sd="0" x="7913"/>
        <item sd="0" x="7914"/>
        <item sd="0" x="7915"/>
        <item sd="0" x="7916"/>
        <item sd="0" x="7917"/>
        <item sd="0" x="7918"/>
        <item sd="0" x="7919"/>
        <item sd="0" x="7920"/>
        <item sd="0" x="7921"/>
        <item sd="0" x="7922"/>
        <item sd="0" x="7923"/>
        <item sd="0" x="7924"/>
        <item sd="0" x="7925"/>
        <item sd="0" x="7926"/>
        <item sd="0" x="7927"/>
        <item sd="0" x="7928"/>
        <item sd="0" x="7929"/>
        <item sd="0" x="7930"/>
        <item sd="0" x="7931"/>
        <item sd="0" x="7932"/>
        <item sd="0" x="7933"/>
        <item sd="0" x="7934"/>
        <item sd="0" x="7935"/>
        <item sd="0" x="7936"/>
        <item sd="0" x="7937"/>
        <item sd="0" x="7938"/>
        <item sd="0" x="7939"/>
        <item sd="0" x="7940"/>
        <item sd="0" x="7941"/>
        <item sd="0" x="7942"/>
        <item sd="0" x="7943"/>
        <item sd="0" x="7944"/>
        <item sd="0" x="7945"/>
        <item sd="0" x="7946"/>
        <item sd="0" x="7947"/>
        <item sd="0" x="7948"/>
        <item sd="0" x="7949"/>
        <item sd="0" x="7950"/>
        <item sd="0" x="7951"/>
        <item sd="0" x="7952"/>
        <item sd="0" x="7953"/>
        <item sd="0" x="7954"/>
        <item sd="0" x="7955"/>
        <item sd="0" x="7956"/>
        <item sd="0" x="7957"/>
        <item sd="0" x="7958"/>
        <item sd="0" x="7959"/>
        <item sd="0" x="7960"/>
        <item sd="0" x="7961"/>
        <item sd="0" x="7962"/>
        <item sd="0" x="7963"/>
        <item sd="0" x="7964"/>
        <item sd="0" x="7965"/>
        <item sd="0" x="7966"/>
        <item sd="0" x="7967"/>
        <item sd="0" x="7968"/>
        <item sd="0" x="7969"/>
        <item sd="0" x="7970"/>
        <item sd="0" x="7971"/>
        <item sd="0" x="7972"/>
        <item sd="0" x="7973"/>
        <item sd="0" x="7974"/>
        <item sd="0" x="7975"/>
        <item sd="0" x="7976"/>
        <item sd="0" x="7977"/>
        <item sd="0" x="7978"/>
        <item sd="0" x="7979"/>
        <item sd="0" x="7980"/>
        <item sd="0" x="7981"/>
        <item sd="0" x="7982"/>
        <item sd="0" x="7983"/>
        <item sd="0" x="7984"/>
        <item sd="0" x="7985"/>
        <item sd="0" x="7986"/>
        <item sd="0" x="7987"/>
        <item sd="0" x="7988"/>
        <item sd="0" x="7989"/>
        <item sd="0" x="7990"/>
        <item sd="0" x="7991"/>
        <item sd="0" x="7992"/>
        <item sd="0" x="7993"/>
        <item sd="0" x="7994"/>
        <item sd="0" x="7995"/>
        <item sd="0" x="7996"/>
        <item sd="0" x="7997"/>
        <item sd="0" x="7998"/>
        <item sd="0" x="7999"/>
        <item sd="0" x="8000"/>
        <item sd="0" x="8001"/>
        <item sd="0" x="8002"/>
        <item sd="0" x="8003"/>
        <item sd="0" x="8004"/>
        <item sd="0" x="8005"/>
        <item sd="0" x="8006"/>
        <item sd="0" x="8007"/>
        <item sd="0" x="8008"/>
        <item sd="0" x="8009"/>
        <item sd="0" x="8010"/>
        <item sd="0" x="8011"/>
        <item sd="0" x="8012"/>
        <item sd="0" x="8013"/>
        <item sd="0" x="8014"/>
        <item sd="0" x="8015"/>
        <item sd="0" x="8016"/>
        <item sd="0" x="8017"/>
        <item sd="0" x="8018"/>
        <item sd="0" x="8019"/>
        <item sd="0" x="8020"/>
        <item sd="0" x="8021"/>
        <item sd="0" x="8022"/>
        <item sd="0" x="8023"/>
        <item sd="0" x="8024"/>
        <item sd="0" x="8025"/>
        <item sd="0" x="8026"/>
        <item sd="0" x="8027"/>
        <item sd="0" x="8028"/>
        <item sd="0" x="8029"/>
        <item sd="0" x="8030"/>
        <item sd="0" x="8031"/>
        <item sd="0" x="8032"/>
        <item sd="0" x="8033"/>
        <item sd="0" x="8034"/>
        <item sd="0" x="8035"/>
        <item sd="0" x="8036"/>
        <item sd="0" x="8037"/>
        <item sd="0" x="8038"/>
        <item sd="0" x="8039"/>
        <item sd="0" x="8040"/>
        <item sd="0" x="8041"/>
        <item sd="0" x="8042"/>
        <item sd="0" x="8043"/>
        <item sd="0" x="8044"/>
        <item sd="0" x="8045"/>
        <item sd="0" x="8046"/>
        <item sd="0" x="8047"/>
        <item sd="0" x="8048"/>
        <item sd="0" x="8049"/>
        <item sd="0" x="8050"/>
        <item sd="0" x="8051"/>
        <item sd="0" x="8052"/>
        <item sd="0" x="8053"/>
        <item sd="0" x="8054"/>
        <item sd="0" x="8055"/>
        <item sd="0" x="8056"/>
        <item sd="0" x="8057"/>
        <item sd="0" x="8058"/>
        <item sd="0" x="8059"/>
        <item sd="0" x="8060"/>
        <item sd="0" x="8061"/>
        <item sd="0" x="8062"/>
        <item sd="0" x="8063"/>
        <item sd="0" x="8064"/>
        <item sd="0" x="8065"/>
        <item sd="0" x="8066"/>
        <item sd="0" x="8067"/>
        <item sd="0" x="8068"/>
        <item sd="0" x="8069"/>
        <item sd="0" x="8070"/>
        <item sd="0" x="8071"/>
        <item sd="0" x="8072"/>
        <item sd="0" x="8073"/>
        <item sd="0" x="8074"/>
        <item sd="0" x="8075"/>
        <item sd="0" x="8076"/>
        <item sd="0" x="8077"/>
        <item sd="0" x="8078"/>
        <item sd="0" x="8079"/>
        <item sd="0" x="8080"/>
        <item sd="0" x="8081"/>
        <item sd="0" x="8082"/>
        <item sd="0" x="8083"/>
        <item sd="0" x="8084"/>
        <item sd="0" x="8085"/>
        <item sd="0" x="8086"/>
        <item sd="0" x="8087"/>
        <item sd="0" x="8088"/>
        <item sd="0" x="8089"/>
        <item sd="0" x="8090"/>
        <item sd="0" x="8091"/>
        <item sd="0" x="8092"/>
        <item sd="0" x="8093"/>
        <item sd="0" x="8094"/>
        <item sd="0" x="8095"/>
        <item sd="0" x="8096"/>
        <item sd="0" x="8097"/>
        <item sd="0" x="8098"/>
        <item sd="0" x="8099"/>
        <item sd="0" x="8100"/>
        <item sd="0" x="8101"/>
        <item sd="0" x="8102"/>
        <item sd="0" x="8103"/>
        <item sd="0" x="8104"/>
        <item sd="0" x="8105"/>
        <item sd="0" x="8106"/>
        <item sd="0" x="8107"/>
        <item sd="0" x="8108"/>
        <item sd="0" x="8109"/>
        <item sd="0" x="8110"/>
        <item sd="0" x="8111"/>
        <item sd="0" x="8112"/>
        <item sd="0" x="8113"/>
        <item sd="0" x="8114"/>
        <item sd="0" x="8115"/>
        <item sd="0" x="8116"/>
        <item sd="0" x="8117"/>
        <item sd="0" x="8118"/>
        <item sd="0" x="8119"/>
        <item sd="0" x="8120"/>
        <item sd="0" x="8121"/>
        <item sd="0" x="8122"/>
        <item sd="0" x="8123"/>
        <item sd="0" x="8124"/>
        <item sd="0" x="8125"/>
        <item sd="0" x="8126"/>
        <item sd="0" x="8127"/>
        <item sd="0" x="8128"/>
        <item sd="0" x="8129"/>
        <item sd="0" x="8130"/>
        <item sd="0" x="8131"/>
        <item sd="0" x="8132"/>
        <item sd="0" x="8133"/>
        <item sd="0" x="8134"/>
        <item sd="0" x="8135"/>
        <item sd="0" x="8136"/>
        <item sd="0" x="8137"/>
        <item sd="0" x="8138"/>
        <item sd="0" x="8139"/>
        <item sd="0" x="8140"/>
        <item sd="0" x="8141"/>
        <item sd="0" x="8142"/>
        <item sd="0" x="8143"/>
        <item sd="0" x="8144"/>
        <item sd="0" x="8145"/>
        <item sd="0" x="8146"/>
        <item sd="0" x="8147"/>
        <item sd="0" x="8148"/>
        <item sd="0" x="8149"/>
        <item sd="0" x="8150"/>
        <item sd="0" x="8151"/>
        <item sd="0" x="8152"/>
        <item sd="0" x="8153"/>
        <item sd="0" x="8154"/>
        <item sd="0" x="8155"/>
        <item sd="0" x="8156"/>
        <item sd="0" x="8157"/>
        <item sd="0" x="8158"/>
        <item sd="0" x="8159"/>
        <item sd="0" x="8160"/>
        <item sd="0" x="8161"/>
        <item sd="0" x="8162"/>
        <item sd="0" x="8163"/>
        <item sd="0" x="8164"/>
        <item sd="0" x="8165"/>
        <item sd="0" x="8166"/>
        <item sd="0" x="8167"/>
        <item sd="0" x="8168"/>
        <item sd="0" x="8169"/>
        <item sd="0" x="8170"/>
        <item sd="0" x="8171"/>
        <item sd="0" x="8172"/>
        <item sd="0" x="8173"/>
        <item sd="0" x="8174"/>
        <item sd="0" x="8175"/>
        <item sd="0" x="8176"/>
        <item sd="0" x="8177"/>
        <item sd="0" x="8178"/>
        <item sd="0" x="8179"/>
        <item sd="0" x="8180"/>
        <item sd="0" x="8181"/>
        <item sd="0" x="8182"/>
        <item sd="0" x="8183"/>
        <item sd="0" x="8184"/>
        <item sd="0" x="8185"/>
        <item sd="0" x="8186"/>
        <item sd="0" x="8187"/>
        <item sd="0" x="8188"/>
        <item sd="0" x="8189"/>
        <item sd="0" x="8190"/>
        <item sd="0" x="8191"/>
        <item sd="0" x="8192"/>
        <item sd="0" x="8193"/>
        <item sd="0" x="8194"/>
        <item sd="0" x="8195"/>
        <item sd="0" x="8196"/>
        <item sd="0" x="8197"/>
        <item sd="0" x="8198"/>
        <item sd="0" x="8199"/>
        <item sd="0" x="8200"/>
        <item sd="0" x="8201"/>
        <item sd="0" x="8202"/>
        <item sd="0" x="8203"/>
        <item sd="0" x="8204"/>
        <item sd="0" x="8205"/>
        <item sd="0" x="8206"/>
        <item sd="0" x="8207"/>
        <item sd="0" x="8208"/>
        <item sd="0" x="8209"/>
        <item sd="0" x="8210"/>
        <item sd="0" x="8211"/>
        <item sd="0" x="8212"/>
        <item sd="0" x="8213"/>
        <item sd="0" x="8214"/>
        <item sd="0" x="8215"/>
        <item sd="0" x="8216"/>
        <item sd="0" x="8217"/>
        <item sd="0" x="8218"/>
        <item sd="0" x="8219"/>
        <item sd="0" x="8220"/>
        <item sd="0" x="8221"/>
        <item sd="0" x="8222"/>
        <item sd="0" x="8223"/>
        <item sd="0" x="8224"/>
        <item sd="0" x="8225"/>
        <item sd="0" x="8226"/>
        <item sd="0" x="8227"/>
        <item sd="0" x="8228"/>
        <item sd="0" x="8229"/>
        <item sd="0" x="8230"/>
        <item sd="0" x="8231"/>
        <item sd="0" x="8232"/>
        <item sd="0" x="8233"/>
        <item sd="0" x="8234"/>
        <item sd="0" x="8235"/>
        <item sd="0" x="8236"/>
        <item sd="0" x="8237"/>
        <item sd="0" x="8238"/>
        <item sd="0" x="8239"/>
        <item sd="0" x="8240"/>
        <item sd="0" x="8241"/>
        <item sd="0" x="8242"/>
        <item sd="0" x="8243"/>
        <item sd="0" x="8244"/>
        <item sd="0" x="8245"/>
        <item sd="0" x="8246"/>
        <item sd="0" x="8247"/>
        <item sd="0" x="8248"/>
        <item sd="0" x="8249"/>
        <item sd="0" x="8250"/>
        <item sd="0" x="8251"/>
        <item sd="0" x="8252"/>
        <item sd="0" x="8253"/>
        <item sd="0" x="8254"/>
        <item sd="0" x="8255"/>
        <item sd="0" x="8256"/>
        <item sd="0" x="8257"/>
        <item sd="0" x="8258"/>
        <item sd="0" x="8259"/>
        <item sd="0" x="8260"/>
        <item sd="0" x="8261"/>
        <item sd="0" x="8262"/>
        <item sd="0" x="8263"/>
        <item sd="0" x="8264"/>
        <item sd="0" x="8265"/>
        <item sd="0" x="8266"/>
        <item sd="0" x="8267"/>
        <item sd="0" x="8268"/>
        <item sd="0" x="8269"/>
        <item sd="0" x="8270"/>
        <item sd="0" x="8271"/>
        <item sd="0" x="8272"/>
        <item sd="0" x="8273"/>
        <item sd="0" x="8274"/>
        <item sd="0" x="8275"/>
        <item sd="0" x="8276"/>
        <item sd="0" x="8277"/>
        <item sd="0" x="8278"/>
        <item sd="0" x="8279"/>
        <item sd="0" x="8280"/>
        <item sd="0" x="8281"/>
        <item sd="0" x="8282"/>
        <item sd="0" x="8283"/>
        <item sd="0" x="8284"/>
        <item sd="0" x="8285"/>
        <item sd="0" x="8286"/>
        <item sd="0" x="8287"/>
        <item sd="0" x="8288"/>
        <item sd="0" x="8289"/>
        <item sd="0" x="8290"/>
        <item sd="0" x="8291"/>
        <item sd="0" x="8292"/>
        <item sd="0" x="8293"/>
        <item sd="0" x="8294"/>
        <item sd="0" x="8295"/>
        <item sd="0" x="8296"/>
        <item sd="0" x="8297"/>
        <item sd="0" x="8298"/>
        <item sd="0" x="8299"/>
        <item sd="0" x="8300"/>
        <item sd="0" x="8301"/>
        <item sd="0" x="8302"/>
        <item sd="0" x="8303"/>
        <item sd="0" x="8304"/>
        <item sd="0" x="8305"/>
        <item sd="0" x="8306"/>
        <item sd="0" x="8307"/>
        <item sd="0" x="8308"/>
        <item sd="0" x="8309"/>
        <item sd="0" x="8310"/>
        <item sd="0" x="8311"/>
        <item sd="0" x="8312"/>
        <item sd="0" x="8313"/>
        <item sd="0" x="8314"/>
        <item sd="0" x="8315"/>
        <item sd="0" x="8316"/>
        <item sd="0" x="8317"/>
        <item sd="0" x="8318"/>
        <item sd="0" x="8319"/>
        <item sd="0" x="8320"/>
        <item sd="0" x="8321"/>
        <item sd="0" x="8322"/>
        <item sd="0" x="8323"/>
        <item sd="0" x="8324"/>
        <item sd="0" x="8325"/>
        <item sd="0" x="8326"/>
        <item sd="0" x="8327"/>
        <item sd="0" x="8328"/>
        <item sd="0" x="8329"/>
        <item sd="0" x="8330"/>
        <item sd="0" x="8331"/>
        <item sd="0" x="8332"/>
        <item sd="0" x="8333"/>
        <item sd="0" x="8334"/>
        <item sd="0" x="8335"/>
        <item sd="0" x="8336"/>
        <item sd="0" x="8337"/>
        <item sd="0" x="8338"/>
        <item sd="0" x="8339"/>
        <item sd="0" x="8340"/>
        <item sd="0" x="8341"/>
        <item sd="0" x="8342"/>
        <item sd="0" x="8343"/>
        <item sd="0" x="8344"/>
        <item sd="0" x="8345"/>
        <item sd="0" x="8346"/>
        <item sd="0" x="8347"/>
        <item sd="0" x="8348"/>
        <item sd="0" x="8349"/>
        <item sd="0" x="8350"/>
        <item sd="0" x="8351"/>
        <item sd="0" x="8352"/>
        <item sd="0" x="8353"/>
        <item sd="0" x="8354"/>
        <item sd="0" x="8355"/>
        <item sd="0" x="8356"/>
        <item sd="0" x="8357"/>
        <item sd="0" x="8358"/>
        <item sd="0" x="8359"/>
        <item sd="0" x="8360"/>
        <item sd="0" x="8361"/>
        <item sd="0" x="8362"/>
        <item sd="0" x="8363"/>
        <item sd="0" x="8364"/>
        <item sd="0" x="8365"/>
        <item sd="0" x="8366"/>
        <item sd="0" x="8367"/>
        <item sd="0" x="8368"/>
        <item sd="0" x="8369"/>
        <item sd="0" x="8370"/>
        <item sd="0" x="8371"/>
        <item sd="0" x="8372"/>
        <item sd="0" x="8373"/>
        <item sd="0" x="8374"/>
        <item sd="0" x="8375"/>
        <item sd="0" x="8376"/>
        <item sd="0" x="8377"/>
        <item sd="0" x="8378"/>
        <item sd="0" x="8379"/>
        <item sd="0" x="8380"/>
        <item sd="0" x="8381"/>
        <item sd="0" x="8382"/>
        <item sd="0" x="8383"/>
        <item sd="0" x="8384"/>
        <item sd="0" x="8385"/>
        <item sd="0" x="8386"/>
        <item sd="0" x="8387"/>
        <item sd="0" x="8388"/>
        <item sd="0" x="8389"/>
        <item sd="0" x="8390"/>
        <item sd="0" x="8391"/>
        <item sd="0" x="8392"/>
        <item sd="0" x="8393"/>
        <item sd="0" x="8394"/>
        <item sd="0" x="8395"/>
        <item sd="0" x="8396"/>
        <item sd="0" x="8397"/>
        <item sd="0" x="8398"/>
        <item sd="0" x="8399"/>
        <item sd="0" x="8400"/>
        <item sd="0" x="8401"/>
        <item sd="0" x="8402"/>
        <item sd="0" x="8403"/>
        <item sd="0" x="8404"/>
        <item sd="0" x="8405"/>
        <item sd="0" x="8406"/>
        <item sd="0" x="8407"/>
        <item sd="0" x="8408"/>
        <item sd="0" x="8409"/>
        <item sd="0" x="8410"/>
        <item sd="0" x="8411"/>
        <item sd="0" x="8412"/>
        <item sd="0" x="8413"/>
        <item sd="0" x="8414"/>
        <item sd="0" x="8415"/>
        <item sd="0" x="8416"/>
        <item sd="0" x="8417"/>
        <item sd="0" x="8418"/>
        <item sd="0" x="8419"/>
        <item sd="0" x="8420"/>
        <item sd="0" x="8421"/>
        <item sd="0" x="8422"/>
        <item sd="0" x="8423"/>
        <item sd="0" x="8424"/>
        <item sd="0" x="8425"/>
        <item sd="0" x="8426"/>
        <item sd="0" x="8427"/>
        <item sd="0" x="8428"/>
        <item sd="0" x="8429"/>
        <item sd="0" x="8430"/>
        <item sd="0" x="8431"/>
        <item sd="0" x="8432"/>
        <item sd="0" x="8433"/>
        <item sd="0" x="8434"/>
        <item sd="0" x="8435"/>
        <item sd="0" x="8436"/>
        <item sd="0" x="8437"/>
        <item sd="0" x="8438"/>
        <item sd="0" x="8439"/>
        <item sd="0" x="8440"/>
        <item sd="0" x="8441"/>
        <item sd="0" x="8442"/>
        <item sd="0" x="8443"/>
        <item sd="0" x="8444"/>
        <item sd="0" x="8445"/>
        <item sd="0" x="8446"/>
        <item sd="0" x="8447"/>
        <item sd="0" x="8448"/>
        <item sd="0" x="8449"/>
        <item sd="0" x="8450"/>
        <item sd="0" x="8451"/>
        <item sd="0" x="8452"/>
        <item sd="0" x="8453"/>
        <item sd="0" x="8454"/>
        <item sd="0" x="8455"/>
        <item sd="0" x="8456"/>
        <item sd="0" x="8457"/>
        <item sd="0" x="8458"/>
        <item sd="0" x="8459"/>
        <item sd="0" x="8460"/>
        <item sd="0" x="8461"/>
        <item sd="0" x="8462"/>
        <item sd="0" x="8463"/>
        <item sd="0" x="8464"/>
        <item sd="0" x="8465"/>
        <item sd="0" x="8466"/>
        <item sd="0" x="8467"/>
        <item sd="0" x="8468"/>
        <item sd="0" x="8469"/>
        <item sd="0" x="8470"/>
        <item sd="0" x="8471"/>
        <item sd="0" x="8472"/>
        <item sd="0" x="8473"/>
        <item sd="0" x="8474"/>
        <item sd="0" x="8475"/>
        <item sd="0" x="8476"/>
        <item sd="0" x="8477"/>
        <item sd="0" x="8478"/>
        <item sd="0" x="8479"/>
        <item sd="0" x="8480"/>
        <item sd="0" x="8481"/>
        <item sd="0" x="8482"/>
        <item sd="0" x="8483"/>
        <item sd="0" x="8484"/>
        <item sd="0" x="8485"/>
        <item sd="0" x="8486"/>
        <item sd="0" x="8487"/>
        <item sd="0" x="8488"/>
        <item sd="0" x="8489"/>
        <item sd="0" x="8490"/>
        <item sd="0" x="8491"/>
        <item sd="0" x="8492"/>
        <item sd="0" x="8493"/>
        <item sd="0" x="8494"/>
        <item sd="0" x="8495"/>
        <item sd="0" x="8496"/>
        <item sd="0" x="8497"/>
        <item sd="0" x="8498"/>
        <item sd="0" x="8499"/>
        <item sd="0" x="8500"/>
        <item sd="0" x="8501"/>
        <item sd="0" x="8502"/>
        <item sd="0" x="8503"/>
        <item sd="0" x="8504"/>
        <item sd="0" x="8505"/>
        <item sd="0" x="8506"/>
        <item sd="0" x="8507"/>
        <item sd="0" x="8508"/>
        <item sd="0" x="8509"/>
        <item sd="0" x="8510"/>
        <item sd="0" x="8511"/>
        <item sd="0" x="8512"/>
        <item sd="0" x="8513"/>
        <item sd="0" x="8514"/>
        <item sd="0" x="8515"/>
        <item sd="0" x="8516"/>
        <item sd="0" x="8517"/>
        <item sd="0" x="8518"/>
        <item sd="0" x="8519"/>
        <item sd="0" x="8520"/>
        <item sd="0" x="8521"/>
        <item sd="0" x="8522"/>
        <item sd="0" x="8523"/>
        <item sd="0" x="8524"/>
        <item sd="0" x="8525"/>
        <item sd="0" x="8526"/>
        <item sd="0" x="8527"/>
        <item sd="0" x="8528"/>
        <item sd="0" x="8529"/>
        <item sd="0" x="8530"/>
        <item sd="0" x="8531"/>
        <item sd="0" x="8532"/>
        <item sd="0" x="8533"/>
        <item sd="0" x="8534"/>
        <item sd="0" x="8535"/>
        <item sd="0" x="8536"/>
        <item sd="0" x="8537"/>
        <item sd="0" x="8538"/>
        <item sd="0" x="8539"/>
        <item sd="0" x="8540"/>
        <item sd="0" x="8541"/>
        <item sd="0" x="8542"/>
        <item sd="0" x="8543"/>
        <item sd="0" x="8544"/>
        <item sd="0" x="8545"/>
        <item sd="0" x="8546"/>
        <item sd="0" x="8547"/>
        <item sd="0" x="8548"/>
        <item sd="0" x="8549"/>
        <item sd="0" x="8550"/>
        <item sd="0" x="8551"/>
        <item sd="0" x="8552"/>
        <item sd="0" x="8553"/>
        <item sd="0" x="8554"/>
        <item sd="0" x="8555"/>
        <item sd="0" x="8556"/>
        <item sd="0" x="8557"/>
        <item sd="0" x="8558"/>
        <item sd="0" x="8559"/>
        <item sd="0" x="8560"/>
        <item sd="0" x="8561"/>
        <item sd="0" x="8562"/>
        <item sd="0" x="8563"/>
        <item sd="0" x="8564"/>
        <item sd="0" x="8565"/>
        <item sd="0" x="8566"/>
        <item sd="0" x="8567"/>
        <item sd="0" x="8568"/>
        <item sd="0" x="8569"/>
        <item sd="0" x="8570"/>
        <item sd="0" x="8571"/>
        <item sd="0" x="8572"/>
        <item sd="0" x="8573"/>
        <item sd="0" x="8574"/>
        <item sd="0" x="8575"/>
        <item sd="0" x="8576"/>
        <item sd="0" x="8577"/>
        <item sd="0" x="8578"/>
        <item sd="0" x="8579"/>
        <item sd="0" x="8580"/>
        <item sd="0" x="8581"/>
        <item sd="0" x="8582"/>
        <item sd="0" x="8583"/>
        <item sd="0" x="8584"/>
        <item sd="0" x="8585"/>
        <item sd="0" x="8586"/>
        <item sd="0" x="8587"/>
        <item sd="0" x="8588"/>
        <item sd="0" x="8589"/>
        <item sd="0" x="8590"/>
        <item sd="0" x="8591"/>
        <item sd="0" x="8592"/>
        <item sd="0" x="8593"/>
        <item sd="0" x="8594"/>
        <item sd="0" x="8595"/>
        <item sd="0" x="8596"/>
        <item sd="0" x="8597"/>
        <item sd="0" x="8598"/>
        <item sd="0" x="8599"/>
        <item sd="0" x="8600"/>
        <item sd="0" x="8601"/>
        <item sd="0" x="8602"/>
        <item sd="0" x="8603"/>
        <item sd="0" x="8604"/>
        <item sd="0" x="8605"/>
        <item sd="0" x="8606"/>
        <item sd="0" x="8607"/>
        <item sd="0" x="8608"/>
        <item sd="0" x="8609"/>
        <item sd="0" x="8610"/>
        <item sd="0" x="8611"/>
        <item sd="0" x="8612"/>
        <item sd="0" x="8613"/>
        <item sd="0" x="8614"/>
        <item sd="0" x="8615"/>
        <item sd="0" x="8616"/>
        <item sd="0" x="8617"/>
        <item sd="0" x="8618"/>
        <item sd="0" x="8619"/>
        <item sd="0" x="8620"/>
        <item sd="0" x="8621"/>
        <item sd="0" x="8622"/>
        <item sd="0" x="8623"/>
        <item sd="0" x="8624"/>
        <item sd="0" x="8625"/>
        <item sd="0" x="8626"/>
        <item sd="0" x="8627"/>
        <item sd="0" x="8628"/>
        <item sd="0" x="8629"/>
        <item sd="0" x="8630"/>
        <item sd="0" x="8631"/>
        <item sd="0" x="8632"/>
        <item sd="0" x="8633"/>
        <item sd="0" x="8634"/>
        <item sd="0" x="8635"/>
        <item sd="0" x="8636"/>
        <item sd="0" x="8637"/>
        <item sd="0" x="8638"/>
        <item sd="0" x="8639"/>
        <item sd="0" x="8640"/>
        <item sd="0" x="8641"/>
        <item sd="0" x="8642"/>
        <item sd="0" x="8643"/>
        <item sd="0" x="8644"/>
        <item sd="0" x="8645"/>
        <item sd="0" x="8646"/>
        <item sd="0" x="8647"/>
        <item sd="0" x="8648"/>
        <item sd="0" x="8649"/>
        <item sd="0" x="8650"/>
        <item sd="0" x="8651"/>
        <item sd="0" x="8652"/>
        <item sd="0" x="8653"/>
        <item sd="0" x="8654"/>
        <item sd="0" x="8655"/>
        <item sd="0" x="8656"/>
        <item sd="0" x="8657"/>
        <item sd="0" x="8658"/>
        <item sd="0" x="8659"/>
        <item sd="0" x="8660"/>
        <item sd="0" x="8661"/>
        <item sd="0" x="8662"/>
        <item sd="0" x="8663"/>
        <item sd="0" x="8664"/>
        <item sd="0" x="8665"/>
        <item sd="0" x="8666"/>
        <item sd="0" x="8667"/>
        <item sd="0" x="8668"/>
        <item sd="0" x="8669"/>
        <item sd="0" x="8670"/>
        <item sd="0" x="8671"/>
        <item sd="0" x="8672"/>
        <item sd="0" x="8673"/>
        <item sd="0" x="8674"/>
        <item sd="0" x="8675"/>
        <item sd="0" x="8676"/>
        <item sd="0" x="8677"/>
        <item sd="0" x="8678"/>
        <item sd="0" x="8679"/>
        <item sd="0" x="8680"/>
        <item sd="0" x="8681"/>
        <item sd="0" x="8682"/>
        <item sd="0" x="8683"/>
        <item sd="0" x="8684"/>
        <item sd="0" x="8685"/>
        <item sd="0" x="8686"/>
        <item sd="0" x="8687"/>
        <item sd="0" x="8688"/>
        <item sd="0" x="8689"/>
        <item sd="0" x="8690"/>
        <item sd="0" x="8691"/>
        <item sd="0" x="8692"/>
        <item sd="0" x="8693"/>
        <item sd="0" x="8694"/>
        <item sd="0" x="8695"/>
        <item sd="0" x="8696"/>
        <item sd="0" x="8697"/>
        <item sd="0" x="8698"/>
        <item sd="0" x="8699"/>
        <item sd="0" x="8700"/>
        <item sd="0" x="8701"/>
        <item sd="0" x="8702"/>
        <item sd="0" x="8703"/>
        <item sd="0" x="8704"/>
        <item sd="0" x="8705"/>
        <item sd="0" x="8706"/>
        <item sd="0" x="8707"/>
        <item sd="0" x="8708"/>
        <item sd="0" x="8709"/>
        <item sd="0" x="8710"/>
        <item sd="0" x="8711"/>
        <item sd="0" x="8712"/>
        <item sd="0" x="8713"/>
        <item sd="0" x="8714"/>
        <item sd="0" x="8715"/>
        <item sd="0" x="8716"/>
        <item sd="0" x="8717"/>
        <item sd="0" x="8718"/>
        <item sd="0" x="8719"/>
        <item sd="0" x="8720"/>
        <item sd="0" x="8721"/>
        <item sd="0" x="8722"/>
        <item sd="0" x="8723"/>
        <item sd="0" x="8724"/>
        <item sd="0" x="8725"/>
        <item sd="0" x="8726"/>
        <item sd="0" x="8727"/>
        <item sd="0" x="8728"/>
        <item sd="0" x="8729"/>
        <item sd="0" x="8730"/>
        <item sd="0" x="8731"/>
        <item sd="0" x="8732"/>
        <item sd="0" x="8733"/>
        <item sd="0" x="8734"/>
        <item sd="0" x="8735"/>
        <item sd="0" x="8736"/>
        <item sd="0" x="8737"/>
        <item sd="0" x="8738"/>
        <item sd="0" x="8739"/>
        <item sd="0" x="8740"/>
        <item sd="0" x="8741"/>
        <item sd="0" x="8742"/>
        <item sd="0" x="8743"/>
        <item sd="0" x="8744"/>
        <item sd="0" x="8745"/>
        <item sd="0" x="8746"/>
        <item sd="0" x="8747"/>
        <item sd="0" x="8748"/>
        <item sd="0" x="8749"/>
        <item sd="0" x="8750"/>
        <item sd="0" x="8751"/>
        <item sd="0" x="8752"/>
        <item sd="0" x="8753"/>
        <item sd="0" x="8754"/>
        <item sd="0" x="8755"/>
        <item sd="0" x="8756"/>
        <item sd="0" x="8757"/>
        <item sd="0" x="8758"/>
        <item sd="0" x="8759"/>
        <item sd="0" x="8760"/>
        <item sd="0" x="8761"/>
        <item sd="0" x="8762"/>
        <item sd="0" x="8763"/>
        <item sd="0" x="8764"/>
        <item sd="0" x="8765"/>
        <item sd="0" x="8766"/>
        <item sd="0" x="8767"/>
        <item sd="0" x="8768"/>
        <item sd="0" x="8769"/>
        <item sd="0" x="8770"/>
        <item sd="0" x="8771"/>
        <item sd="0" x="8772"/>
        <item sd="0" x="8773"/>
        <item sd="0" x="8774"/>
        <item sd="0" x="8775"/>
        <item sd="0" x="8776"/>
        <item sd="0" x="8777"/>
        <item sd="0" x="8778"/>
        <item sd="0" x="8779"/>
        <item sd="0" x="8780"/>
        <item sd="0" x="8781"/>
        <item sd="0" x="8782"/>
        <item sd="0" x="8783"/>
        <item sd="0" x="8784"/>
        <item sd="0" x="8785"/>
        <item sd="0" x="8786"/>
        <item sd="0" x="8787"/>
        <item sd="0" x="8788"/>
        <item sd="0" x="8789"/>
        <item sd="0" x="8790"/>
        <item sd="0" x="8791"/>
        <item sd="0" x="8792"/>
        <item sd="0" x="8793"/>
        <item sd="0" x="8794"/>
        <item sd="0" x="8795"/>
        <item sd="0" x="8796"/>
        <item sd="0" x="8797"/>
        <item sd="0" x="8798"/>
        <item sd="0" x="8799"/>
        <item sd="0" x="8800"/>
        <item sd="0" x="8801"/>
        <item sd="0" x="8802"/>
        <item sd="0" x="8803"/>
        <item sd="0" x="8804"/>
        <item sd="0" x="8805"/>
        <item sd="0" x="8806"/>
        <item sd="0" x="8807"/>
        <item sd="0" x="8808"/>
        <item sd="0" x="8809"/>
        <item sd="0" x="8810"/>
        <item sd="0" x="8811"/>
        <item sd="0" x="8812"/>
        <item sd="0" x="8813"/>
        <item sd="0" x="8814"/>
        <item sd="0" x="8815"/>
        <item sd="0" x="8816"/>
        <item sd="0" x="8817"/>
        <item sd="0" x="8818"/>
        <item sd="0" x="8819"/>
        <item sd="0" x="8820"/>
        <item sd="0" x="8821"/>
        <item sd="0" x="8822"/>
        <item sd="0" x="8823"/>
        <item sd="0" x="8824"/>
        <item sd="0" x="8825"/>
        <item sd="0" x="8826"/>
        <item sd="0" x="8827"/>
        <item sd="0" x="8828"/>
        <item sd="0" x="8829"/>
        <item sd="0" x="8830"/>
        <item sd="0" x="8831"/>
        <item sd="0" x="8832"/>
        <item sd="0" x="8833"/>
        <item sd="0" x="8834"/>
        <item sd="0" x="8835"/>
        <item sd="0" x="8836"/>
        <item sd="0" x="8837"/>
        <item sd="0" x="8838"/>
        <item sd="0" x="8839"/>
        <item sd="0" x="8840"/>
        <item sd="0" x="8841"/>
        <item sd="0" x="8842"/>
        <item sd="0" x="8843"/>
        <item sd="0" x="8844"/>
        <item sd="0" x="8845"/>
        <item sd="0" x="8846"/>
        <item sd="0" x="8847"/>
        <item sd="0" x="8848"/>
        <item sd="0" x="8849"/>
        <item sd="0" x="8850"/>
        <item sd="0" x="8851"/>
        <item sd="0" x="8852"/>
        <item sd="0" x="8853"/>
        <item sd="0" x="8854"/>
        <item sd="0" x="8855"/>
        <item sd="0" x="8856"/>
        <item sd="0" x="8857"/>
        <item sd="0" x="8858"/>
        <item sd="0" x="8859"/>
        <item sd="0" x="8860"/>
        <item sd="0" x="8861"/>
        <item sd="0" x="8862"/>
        <item sd="0" x="8863"/>
        <item sd="0" x="8864"/>
        <item sd="0" x="8865"/>
        <item sd="0" x="8866"/>
        <item sd="0" x="8867"/>
        <item sd="0" x="8868"/>
        <item sd="0" x="8869"/>
        <item sd="0" x="8870"/>
        <item sd="0" x="8871"/>
        <item sd="0" x="8872"/>
        <item sd="0" x="8873"/>
        <item sd="0" x="8874"/>
        <item sd="0" x="8875"/>
        <item sd="0" x="8876"/>
        <item sd="0" x="8877"/>
        <item sd="0" x="8878"/>
        <item sd="0" x="8879"/>
        <item sd="0" x="8880"/>
        <item sd="0" x="8881"/>
        <item sd="0" x="8882"/>
        <item sd="0" x="8883"/>
        <item sd="0" x="8884"/>
        <item sd="0" x="8885"/>
        <item sd="0" x="8886"/>
        <item sd="0" x="8887"/>
        <item sd="0" x="8888"/>
        <item sd="0" x="8889"/>
        <item sd="0" x="8890"/>
        <item sd="0" x="8891"/>
        <item sd="0" x="8892"/>
        <item sd="0" x="8893"/>
        <item sd="0" x="8894"/>
        <item sd="0" x="8895"/>
        <item sd="0" x="8896"/>
        <item sd="0" x="8897"/>
        <item sd="0" x="8898"/>
        <item sd="0" x="8899"/>
        <item sd="0" x="8900"/>
        <item sd="0" x="8901"/>
        <item sd="0" x="8902"/>
        <item sd="0" x="8903"/>
        <item sd="0" x="8904"/>
        <item sd="0" x="8905"/>
        <item sd="0" x="8906"/>
        <item sd="0" x="8907"/>
        <item sd="0" x="8908"/>
        <item sd="0" x="8909"/>
        <item sd="0" x="8910"/>
        <item sd="0" x="8911"/>
        <item sd="0" x="8912"/>
        <item sd="0" x="8913"/>
        <item sd="0" x="8914"/>
        <item sd="0" x="8915"/>
        <item sd="0" x="8916"/>
        <item sd="0" x="8917"/>
        <item sd="0" x="8918"/>
        <item sd="0" x="8919"/>
        <item sd="0" x="8920"/>
        <item sd="0" x="8921"/>
        <item sd="0" x="8922"/>
        <item sd="0" x="8923"/>
        <item sd="0" x="8924"/>
        <item sd="0" x="8925"/>
        <item sd="0" x="8926"/>
        <item sd="0" x="8927"/>
        <item sd="0" x="8928"/>
        <item sd="0" x="8929"/>
        <item sd="0" x="8930"/>
        <item sd="0" x="8931"/>
        <item sd="0" x="8932"/>
        <item sd="0" x="8933"/>
        <item sd="0" x="8934"/>
        <item sd="0" x="8935"/>
        <item sd="0" x="8936"/>
        <item sd="0" x="8937"/>
        <item sd="0" x="8938"/>
        <item sd="0" x="8939"/>
        <item sd="0" x="8940"/>
        <item sd="0" x="8941"/>
        <item sd="0" x="8942"/>
        <item sd="0" x="8943"/>
        <item sd="0" x="8944"/>
        <item sd="0" x="8945"/>
        <item sd="0" x="8946"/>
        <item sd="0" x="8947"/>
        <item sd="0" x="8948"/>
        <item sd="0" x="8949"/>
        <item sd="0" x="8950"/>
        <item sd="0" x="8951"/>
        <item sd="0" x="8952"/>
        <item sd="0" x="8953"/>
        <item sd="0" x="8954"/>
        <item sd="0" x="8955"/>
        <item sd="0" x="8956"/>
        <item sd="0" x="8957"/>
        <item sd="0" x="8958"/>
        <item sd="0" x="8959"/>
        <item sd="0" x="8960"/>
        <item sd="0" x="8961"/>
        <item sd="0" x="8962"/>
        <item sd="0" x="8963"/>
        <item sd="0" x="8964"/>
        <item sd="0" x="8965"/>
        <item sd="0" x="8966"/>
        <item sd="0" x="8967"/>
        <item sd="0" x="8968"/>
        <item sd="0" x="8969"/>
        <item sd="0" x="8970"/>
        <item sd="0" x="8971"/>
        <item sd="0" x="8972"/>
        <item sd="0" x="8973"/>
        <item sd="0" x="8974"/>
        <item sd="0" x="8975"/>
        <item sd="0" x="8976"/>
        <item sd="0" x="8977"/>
        <item sd="0" x="8978"/>
        <item sd="0" x="8979"/>
        <item sd="0" x="8980"/>
        <item sd="0" x="8981"/>
        <item sd="0" x="8982"/>
        <item sd="0" x="8983"/>
        <item sd="0" x="8984"/>
        <item sd="0" x="8985"/>
        <item sd="0" x="8986"/>
        <item sd="0" x="8987"/>
        <item sd="0" x="8988"/>
        <item sd="0" x="8989"/>
        <item sd="0" x="8990"/>
        <item sd="0" x="8991"/>
        <item sd="0" x="8992"/>
        <item sd="0" x="8993"/>
        <item sd="0" x="8994"/>
        <item sd="0" x="8995"/>
        <item sd="0" x="8996"/>
        <item sd="0" x="8997"/>
        <item sd="0" x="8998"/>
        <item sd="0" x="8999"/>
        <item sd="0" x="9000"/>
        <item sd="0" x="9001"/>
        <item sd="0" x="9002"/>
        <item sd="0" x="9003"/>
        <item sd="0" x="9004"/>
        <item sd="0" x="9005"/>
        <item sd="0" x="9006"/>
        <item sd="0" x="9007"/>
        <item sd="0" x="9008"/>
        <item sd="0" x="9009"/>
        <item sd="0" x="9010"/>
        <item sd="0" x="9011"/>
        <item sd="0" x="9012"/>
        <item sd="0" x="9013"/>
        <item sd="0" x="9014"/>
        <item sd="0" x="9015"/>
        <item sd="0" x="9016"/>
        <item sd="0" x="9017"/>
        <item sd="0" x="9018"/>
        <item sd="0" x="9019"/>
        <item sd="0" x="9020"/>
        <item sd="0" x="9021"/>
        <item sd="0" x="9022"/>
        <item sd="0" x="9023"/>
        <item sd="0" x="9024"/>
        <item sd="0" x="9025"/>
        <item sd="0" x="9026"/>
        <item sd="0" x="9027"/>
        <item sd="0" x="9028"/>
        <item sd="0" x="9029"/>
        <item sd="0" x="9030"/>
        <item sd="0" x="9031"/>
        <item sd="0" x="9032"/>
        <item sd="0" x="9033"/>
        <item sd="0" x="9034"/>
        <item sd="0" x="9035"/>
        <item sd="0" x="9036"/>
        <item sd="0" x="9037"/>
        <item sd="0" x="9038"/>
        <item sd="0" x="9039"/>
        <item sd="0" x="9040"/>
        <item sd="0" x="9041"/>
        <item sd="0" x="9042"/>
        <item sd="0" x="9043"/>
        <item sd="0" x="9044"/>
        <item sd="0" x="9045"/>
        <item sd="0" x="9046"/>
        <item sd="0" x="9047"/>
        <item sd="0" x="9048"/>
        <item sd="0" x="9049"/>
        <item sd="0" x="9050"/>
        <item sd="0" x="9051"/>
        <item sd="0" x="9052"/>
        <item sd="0" x="9053"/>
        <item sd="0" x="9054"/>
        <item sd="0" x="9055"/>
        <item sd="0" x="9056"/>
        <item sd="0" x="9057"/>
        <item sd="0" x="9058"/>
        <item sd="0" x="9059"/>
        <item sd="0" x="9060"/>
        <item sd="0" x="9061"/>
        <item sd="0" x="9062"/>
        <item sd="0" x="9063"/>
        <item sd="0" x="9064"/>
        <item sd="0" x="9065"/>
        <item sd="0" x="9066"/>
        <item sd="0" x="9067"/>
        <item sd="0" x="9068"/>
        <item sd="0" x="9069"/>
        <item sd="0" x="9070"/>
        <item sd="0" x="9071"/>
        <item sd="0" x="9072"/>
        <item sd="0" x="9073"/>
        <item sd="0" x="9074"/>
        <item sd="0" x="9075"/>
        <item sd="0" x="9076"/>
        <item sd="0" x="9077"/>
        <item sd="0" x="9078"/>
        <item sd="0" x="9079"/>
        <item sd="0" x="9080"/>
        <item sd="0" x="9081"/>
        <item sd="0" x="9082"/>
        <item sd="0" x="9083"/>
        <item sd="0" x="9084"/>
        <item sd="0" x="9085"/>
        <item sd="0" x="9086"/>
        <item sd="0" x="9087"/>
        <item sd="0" x="9088"/>
        <item sd="0" x="9089"/>
        <item sd="0" x="9090"/>
        <item sd="0" x="9091"/>
        <item sd="0" x="9092"/>
        <item sd="0" x="9093"/>
        <item sd="0" x="9094"/>
        <item sd="0" x="9095"/>
        <item sd="0" x="9096"/>
        <item sd="0" x="9097"/>
        <item sd="0" x="9098"/>
        <item sd="0" x="9099"/>
        <item sd="0" x="9100"/>
        <item sd="0" x="9101"/>
        <item sd="0" x="9102"/>
        <item sd="0" x="9103"/>
        <item sd="0" x="9104"/>
        <item sd="0" x="9105"/>
        <item sd="0" x="9106"/>
        <item sd="0" x="9107"/>
        <item sd="0" x="9108"/>
        <item sd="0" x="9109"/>
        <item sd="0" x="9110"/>
        <item sd="0" x="9111"/>
        <item sd="0" x="9112"/>
        <item sd="0" x="9113"/>
        <item sd="0" x="9114"/>
        <item sd="0" x="9115"/>
        <item sd="0" x="9116"/>
        <item sd="0" x="9117"/>
        <item sd="0" x="9118"/>
        <item sd="0" x="9119"/>
        <item sd="0" x="9120"/>
        <item sd="0" x="9121"/>
        <item sd="0" x="9122"/>
        <item sd="0" x="9123"/>
        <item sd="0" x="9124"/>
        <item sd="0" x="9125"/>
        <item sd="0" x="9126"/>
        <item sd="0" x="9127"/>
        <item sd="0" x="9128"/>
        <item sd="0" x="9129"/>
        <item sd="0" x="9130"/>
        <item sd="0" x="9131"/>
        <item sd="0" x="9132"/>
        <item sd="0" x="9133"/>
        <item sd="0" x="9134"/>
        <item sd="0" x="9135"/>
        <item sd="0" x="9136"/>
        <item sd="0" x="9137"/>
        <item sd="0" x="9138"/>
        <item sd="0" x="9139"/>
        <item sd="0" x="9140"/>
        <item sd="0" x="9141"/>
        <item sd="0" x="9142"/>
        <item sd="0" x="9143"/>
        <item sd="0" x="9144"/>
        <item sd="0" x="9145"/>
        <item sd="0" x="9146"/>
        <item sd="0" x="9147"/>
        <item sd="0" x="9148"/>
        <item sd="0" x="9149"/>
        <item sd="0" x="9150"/>
        <item sd="0" x="9151"/>
        <item sd="0" x="9152"/>
        <item sd="0" x="9153"/>
        <item sd="0" x="9154"/>
        <item sd="0" x="9155"/>
        <item sd="0" x="9156"/>
        <item sd="0" x="9157"/>
        <item sd="0" x="9158"/>
        <item sd="0" x="9159"/>
        <item sd="0" x="9160"/>
        <item sd="0" x="9161"/>
        <item sd="0" x="9162"/>
        <item sd="0" x="9163"/>
        <item sd="0" x="9164"/>
        <item sd="0" x="9165"/>
        <item sd="0" x="9166"/>
        <item sd="0" x="9167"/>
        <item sd="0" x="9168"/>
        <item sd="0" x="9169"/>
        <item sd="0" x="9170"/>
        <item sd="0" x="9171"/>
        <item sd="0" x="9172"/>
        <item sd="0" x="9173"/>
        <item sd="0" x="9174"/>
        <item sd="0" x="9175"/>
        <item sd="0" x="9176"/>
        <item sd="0" x="9177"/>
        <item sd="0" x="9178"/>
        <item sd="0" x="9179"/>
        <item sd="0" x="9180"/>
        <item sd="0" x="9181"/>
        <item sd="0" x="9182"/>
        <item sd="0" x="9183"/>
        <item sd="0" x="9184"/>
        <item sd="0" x="9185"/>
        <item sd="0" x="9186"/>
        <item sd="0" x="9187"/>
        <item sd="0" x="9188"/>
        <item sd="0" x="9189"/>
        <item sd="0" x="9190"/>
        <item sd="0" x="9191"/>
        <item sd="0" x="9192"/>
        <item sd="0" x="9193"/>
        <item sd="0" x="9194"/>
        <item sd="0" x="9195"/>
        <item sd="0" x="9196"/>
        <item sd="0" x="9197"/>
        <item sd="0" x="9198"/>
        <item sd="0" x="9199"/>
        <item sd="0" x="9200"/>
        <item sd="0" x="9201"/>
        <item sd="0" x="9202"/>
        <item sd="0" x="9203"/>
        <item sd="0" x="9204"/>
        <item sd="0" x="9205"/>
        <item sd="0" x="9206"/>
        <item sd="0" x="9207"/>
        <item sd="0" x="9208"/>
        <item sd="0" x="9209"/>
        <item sd="0" x="9210"/>
        <item sd="0" x="9211"/>
        <item sd="0" x="9212"/>
        <item sd="0" x="9213"/>
        <item sd="0" x="9214"/>
        <item sd="0" x="9215"/>
        <item sd="0" x="9216"/>
        <item sd="0" x="9217"/>
        <item sd="0" x="9218"/>
        <item sd="0" x="9219"/>
        <item sd="0" x="9220"/>
        <item sd="0" x="9221"/>
        <item sd="0" x="9222"/>
        <item sd="0" x="9223"/>
        <item sd="0" x="9224"/>
        <item sd="0" x="9225"/>
        <item sd="0" x="9226"/>
        <item sd="0" x="9227"/>
        <item sd="0" x="9228"/>
        <item sd="0" x="9229"/>
        <item sd="0" x="9230"/>
        <item sd="0" x="9231"/>
        <item sd="0" x="9232"/>
        <item sd="0" x="9233"/>
        <item sd="0" x="9234"/>
        <item sd="0" x="9235"/>
        <item sd="0" x="9236"/>
        <item sd="0" x="9237"/>
        <item sd="0" x="9238"/>
        <item sd="0" x="9239"/>
        <item sd="0" x="9240"/>
        <item sd="0" x="9241"/>
        <item sd="0" x="9242"/>
        <item sd="0" x="9243"/>
        <item sd="0" x="9244"/>
        <item sd="0" x="9245"/>
        <item sd="0" x="9246"/>
        <item sd="0" x="9247"/>
        <item sd="0" x="9248"/>
        <item sd="0" x="9249"/>
        <item sd="0" x="9250"/>
        <item sd="0" x="9251"/>
        <item sd="0" x="9252"/>
        <item sd="0" x="9253"/>
        <item sd="0" x="9254"/>
        <item sd="0" x="9255"/>
        <item sd="0" x="9256"/>
        <item sd="0" x="9257"/>
        <item sd="0" x="9258"/>
        <item sd="0" x="9259"/>
        <item sd="0" x="9260"/>
        <item sd="0" x="9261"/>
        <item sd="0" x="9262"/>
        <item sd="0" x="9263"/>
        <item sd="0" x="9264"/>
        <item sd="0" x="9265"/>
        <item sd="0" x="9266"/>
        <item sd="0" x="9267"/>
        <item sd="0" x="9268"/>
        <item sd="0" x="9269"/>
        <item sd="0" x="9270"/>
        <item sd="0" x="9271"/>
        <item sd="0" x="9272"/>
        <item sd="0" x="9273"/>
        <item sd="0" x="9274"/>
        <item sd="0" x="9275"/>
        <item sd="0" x="9276"/>
        <item sd="0" x="9277"/>
        <item sd="0" x="9278"/>
        <item sd="0" x="9279"/>
        <item sd="0" x="9280"/>
        <item sd="0" x="9281"/>
        <item sd="0" x="9282"/>
        <item sd="0" x="9283"/>
        <item sd="0" x="9284"/>
        <item sd="0" x="9285"/>
        <item sd="0" x="9286"/>
        <item sd="0" x="9287"/>
        <item sd="0" x="9288"/>
        <item sd="0" x="9289"/>
        <item sd="0" x="9290"/>
        <item sd="0" x="9291"/>
        <item sd="0" x="9292"/>
        <item sd="0" x="9293"/>
        <item sd="0" x="9294"/>
        <item sd="0" x="9295"/>
        <item sd="0" x="9296"/>
        <item sd="0" x="9297"/>
        <item sd="0" x="9298"/>
        <item sd="0" x="9299"/>
        <item sd="0" x="9300"/>
        <item sd="0" x="9301"/>
        <item sd="0" x="9302"/>
        <item sd="0" x="9303"/>
        <item sd="0" x="9304"/>
        <item sd="0" x="9305"/>
        <item sd="0" x="9306"/>
        <item sd="0" x="9307"/>
        <item sd="0" x="9308"/>
        <item sd="0" x="9309"/>
        <item sd="0" x="9310"/>
        <item sd="0" x="9311"/>
        <item sd="0" x="9312"/>
        <item sd="0" x="9313"/>
        <item sd="0" x="9314"/>
        <item sd="0" x="9315"/>
        <item sd="0" x="9316"/>
        <item sd="0" x="9317"/>
        <item sd="0" x="9318"/>
        <item sd="0" x="9319"/>
        <item sd="0" x="9320"/>
        <item sd="0" x="9321"/>
        <item sd="0" x="9322"/>
        <item sd="0" x="9323"/>
        <item sd="0" x="9324"/>
        <item sd="0" x="9325"/>
        <item sd="0" x="9326"/>
        <item sd="0" x="9327"/>
        <item sd="0" x="9328"/>
        <item sd="0" x="9329"/>
        <item sd="0" x="9330"/>
        <item sd="0" x="9331"/>
        <item sd="0" x="9332"/>
        <item sd="0" x="9333"/>
        <item sd="0" x="9334"/>
        <item sd="0" x="9335"/>
        <item sd="0" x="9336"/>
        <item sd="0" x="9337"/>
        <item sd="0" x="9338"/>
        <item sd="0" x="9339"/>
        <item sd="0" x="9340"/>
        <item sd="0" x="9341"/>
        <item sd="0" x="9342"/>
        <item sd="0" x="9343"/>
        <item sd="0" x="9344"/>
        <item sd="0" x="9345"/>
        <item sd="0" x="9346"/>
        <item sd="0" x="9347"/>
        <item sd="0" x="9348"/>
        <item sd="0" x="9349"/>
        <item sd="0" x="9350"/>
        <item sd="0" x="9351"/>
        <item sd="0" x="9352"/>
        <item sd="0" x="9353"/>
        <item sd="0" x="9354"/>
        <item sd="0" x="9355"/>
        <item sd="0" x="9356"/>
        <item sd="0" x="9357"/>
        <item sd="0" x="9358"/>
        <item sd="0" x="9359"/>
        <item sd="0" x="9360"/>
        <item sd="0" x="9361"/>
        <item sd="0" x="9362"/>
        <item sd="0" x="9363"/>
        <item sd="0" x="9364"/>
        <item sd="0" x="9365"/>
        <item sd="0" x="9366"/>
        <item sd="0" x="9367"/>
        <item sd="0" x="9368"/>
        <item sd="0" x="9369"/>
        <item sd="0" x="9370"/>
        <item sd="0" x="9371"/>
        <item sd="0" x="9372"/>
        <item sd="0" x="9373"/>
        <item sd="0" x="9374"/>
        <item sd="0" x="9375"/>
        <item sd="0" x="9376"/>
        <item sd="0" x="9377"/>
        <item sd="0" x="9378"/>
        <item sd="0" x="9379"/>
        <item sd="0" x="9380"/>
        <item sd="0" x="9381"/>
        <item sd="0" x="9382"/>
        <item sd="0" x="9383"/>
        <item sd="0" x="9384"/>
        <item sd="0" x="9385"/>
        <item sd="0" x="9386"/>
        <item sd="0" x="9387"/>
        <item sd="0" x="9388"/>
        <item sd="0" x="9389"/>
        <item sd="0" x="9390"/>
        <item sd="0" x="9391"/>
        <item sd="0" x="9392"/>
        <item sd="0" x="9393"/>
        <item sd="0" x="9394"/>
        <item sd="0" x="9395"/>
        <item sd="0" x="9396"/>
        <item sd="0" x="9397"/>
        <item sd="0" x="9398"/>
        <item sd="0" x="9399"/>
        <item sd="0" x="9400"/>
        <item sd="0" x="9401"/>
        <item sd="0" x="9402"/>
        <item sd="0" x="9403"/>
        <item sd="0" x="9404"/>
        <item sd="0" x="9405"/>
        <item sd="0" x="9406"/>
        <item sd="0" x="9407"/>
        <item sd="0" x="9408"/>
        <item sd="0" x="9409"/>
        <item sd="0" x="9410"/>
        <item sd="0" x="9411"/>
        <item sd="0" x="9412"/>
        <item sd="0" x="9413"/>
        <item sd="0" x="9414"/>
        <item sd="0" x="9415"/>
        <item sd="0" x="9416"/>
        <item sd="0" x="9417"/>
        <item sd="0" x="9418"/>
        <item sd="0" x="9419"/>
        <item sd="0" x="9420"/>
        <item sd="0" x="9421"/>
        <item sd="0" x="9422"/>
        <item sd="0" x="9423"/>
        <item sd="0" x="9424"/>
        <item sd="0" x="9425"/>
        <item sd="0" x="9426"/>
        <item sd="0" x="9427"/>
        <item sd="0" x="9428"/>
        <item sd="0" x="9429"/>
        <item sd="0" x="9430"/>
        <item sd="0" x="9431"/>
        <item sd="0" x="9432"/>
        <item sd="0" x="9433"/>
        <item sd="0" x="9434"/>
        <item sd="0" x="9435"/>
        <item sd="0" x="9436"/>
        <item sd="0" x="9437"/>
        <item sd="0" x="9438"/>
        <item sd="0" x="9439"/>
        <item sd="0" x="9440"/>
        <item sd="0" x="9441"/>
        <item sd="0" x="9442"/>
        <item sd="0" x="9443"/>
        <item sd="0" x="9444"/>
        <item sd="0" x="9445"/>
        <item sd="0" x="9446"/>
        <item sd="0" x="9447"/>
        <item sd="0" x="9448"/>
        <item sd="0" x="9449"/>
        <item sd="0" x="9450"/>
        <item sd="0" x="9451"/>
        <item sd="0" x="9452"/>
        <item sd="0" x="9453"/>
        <item sd="0" x="9454"/>
        <item sd="0" x="9455"/>
        <item sd="0" x="9456"/>
        <item sd="0" x="9457"/>
        <item sd="0" x="9458"/>
        <item sd="0" x="9459"/>
        <item sd="0" x="9460"/>
        <item sd="0" x="9461"/>
        <item sd="0" x="9462"/>
        <item sd="0" x="9463"/>
        <item sd="0" x="9464"/>
        <item sd="0" x="9465"/>
        <item sd="0" x="9466"/>
        <item sd="0" x="9467"/>
        <item sd="0" x="9468"/>
        <item sd="0" x="9469"/>
        <item sd="0" x="9470"/>
        <item sd="0" x="9471"/>
        <item sd="0" x="9472"/>
        <item sd="0" x="9473"/>
        <item sd="0" x="9474"/>
        <item sd="0" x="9475"/>
        <item sd="0" x="9476"/>
        <item sd="0" x="9477"/>
        <item sd="0" x="9478"/>
        <item sd="0" x="9479"/>
        <item sd="0" x="9480"/>
        <item sd="0" x="9481"/>
        <item sd="0" x="9482"/>
        <item sd="0" x="9483"/>
        <item sd="0" x="9484"/>
        <item sd="0" x="9485"/>
        <item sd="0" x="9486"/>
        <item sd="0" x="9487"/>
        <item sd="0" x="9488"/>
        <item sd="0" x="9489"/>
        <item sd="0" x="9490"/>
        <item sd="0" x="9491"/>
        <item sd="0" x="9492"/>
        <item sd="0" x="9493"/>
        <item sd="0" x="9494"/>
        <item sd="0" x="9495"/>
        <item sd="0" x="9496"/>
        <item sd="0" x="9497"/>
        <item sd="0" x="9498"/>
        <item sd="0" x="9499"/>
        <item sd="0" x="9500"/>
        <item sd="0" x="9501"/>
        <item sd="0" x="9502"/>
        <item sd="0" x="9503"/>
        <item sd="0" x="9504"/>
        <item sd="0" x="9505"/>
        <item sd="0" x="9506"/>
        <item sd="0" x="9507"/>
        <item sd="0" x="9508"/>
        <item sd="0" x="9509"/>
        <item sd="0" x="9510"/>
        <item sd="0" x="9511"/>
        <item sd="0" x="9512"/>
        <item sd="0" x="9513"/>
        <item sd="0" x="9514"/>
        <item sd="0" x="9515"/>
        <item sd="0" x="9516"/>
        <item sd="0" x="9517"/>
        <item sd="0" x="9518"/>
        <item sd="0" x="9519"/>
        <item sd="0" x="9520"/>
        <item sd="0" x="9521"/>
        <item sd="0" x="9522"/>
        <item sd="0" x="9523"/>
        <item sd="0" x="9524"/>
        <item sd="0" x="9525"/>
        <item sd="0" x="9526"/>
        <item sd="0" x="9527"/>
        <item sd="0" x="9528"/>
        <item sd="0" x="9529"/>
        <item sd="0" x="9530"/>
        <item sd="0" x="9531"/>
        <item sd="0" x="9532"/>
        <item sd="0" x="9533"/>
        <item sd="0" x="9534"/>
        <item sd="0" x="9535"/>
        <item sd="0" x="9536"/>
        <item sd="0" x="9537"/>
        <item sd="0" x="9538"/>
        <item sd="0" x="9539"/>
        <item sd="0" x="9540"/>
        <item sd="0" x="9541"/>
        <item sd="0" x="9542"/>
        <item sd="0" x="9543"/>
        <item sd="0" x="9544"/>
        <item sd="0" x="9545"/>
        <item sd="0" x="9546"/>
        <item sd="0" x="9547"/>
        <item sd="0" x="9548"/>
        <item sd="0" x="9549"/>
        <item sd="0" x="9550"/>
        <item sd="0" x="9551"/>
        <item sd="0" x="9552"/>
        <item sd="0" x="9553"/>
        <item sd="0" x="9554"/>
        <item sd="0" x="9555"/>
        <item sd="0" x="9556"/>
        <item sd="0" x="9557"/>
        <item sd="0" x="9558"/>
        <item sd="0" x="9559"/>
        <item sd="0" x="9560"/>
        <item sd="0" x="9561"/>
        <item sd="0" x="9562"/>
        <item sd="0" x="9563"/>
        <item sd="0" x="9564"/>
        <item sd="0" x="9565"/>
        <item sd="0" x="9566"/>
        <item sd="0" x="9567"/>
        <item sd="0" x="9568"/>
        <item sd="0" x="9569"/>
        <item sd="0" x="9570"/>
        <item sd="0" x="9571"/>
        <item sd="0" x="9572"/>
        <item sd="0" x="9573"/>
        <item sd="0" x="9574"/>
        <item sd="0" x="9575"/>
        <item sd="0" x="9576"/>
        <item sd="0" x="9577"/>
        <item sd="0" x="9578"/>
        <item sd="0" x="9579"/>
        <item sd="0" x="9580"/>
        <item sd="0" x="9581"/>
        <item sd="0" x="9582"/>
        <item sd="0" x="9583"/>
        <item sd="0" x="9584"/>
        <item sd="0" x="9585"/>
        <item sd="0" x="9586"/>
        <item sd="0" x="9587"/>
        <item sd="0" x="9588"/>
        <item sd="0" x="9589"/>
        <item sd="0" x="9590"/>
        <item sd="0" x="9591"/>
        <item sd="0" x="9592"/>
        <item sd="0" x="9593"/>
        <item sd="0" x="9594"/>
        <item sd="0" x="9595"/>
        <item sd="0" x="9596"/>
        <item sd="0" x="9597"/>
        <item sd="0" x="9598"/>
        <item sd="0" x="9599"/>
        <item sd="0" x="9600"/>
        <item sd="0" x="9601"/>
        <item sd="0" x="9602"/>
        <item sd="0" x="9603"/>
        <item sd="0" x="9604"/>
        <item sd="0" x="9605"/>
        <item sd="0" x="9606"/>
        <item sd="0" x="9607"/>
        <item sd="0" x="9608"/>
        <item sd="0" x="9609"/>
        <item sd="0" x="9610"/>
        <item sd="0" x="9611"/>
        <item sd="0" x="9612"/>
        <item sd="0" x="9613"/>
        <item sd="0" x="9614"/>
        <item sd="0" x="9615"/>
        <item sd="0" x="9616"/>
        <item sd="0" x="9617"/>
        <item sd="0" x="9618"/>
        <item sd="0" x="9619"/>
        <item sd="0" x="9620"/>
        <item sd="0" x="9621"/>
        <item sd="0" x="9622"/>
        <item sd="0" x="9623"/>
        <item sd="0" x="9624"/>
        <item sd="0" x="9625"/>
        <item sd="0" x="9626"/>
        <item sd="0" x="9627"/>
        <item sd="0" x="9628"/>
        <item sd="0" x="9629"/>
        <item sd="0" x="9630"/>
        <item sd="0" x="9631"/>
        <item sd="0" x="9632"/>
        <item sd="0" x="9633"/>
        <item sd="0" x="9634"/>
        <item sd="0" x="9635"/>
        <item sd="0" x="9636"/>
        <item sd="0" x="9637"/>
        <item sd="0" x="9638"/>
        <item sd="0" x="9639"/>
        <item sd="0" x="9640"/>
        <item sd="0" x="9641"/>
        <item sd="0" x="9642"/>
        <item sd="0" x="9643"/>
        <item sd="0" x="9644"/>
        <item sd="0" x="9645"/>
        <item sd="0" x="9646"/>
        <item sd="0" x="9647"/>
        <item sd="0" x="9648"/>
        <item sd="0" x="9649"/>
        <item sd="0" x="9650"/>
        <item sd="0" x="9651"/>
        <item sd="0" x="9652"/>
        <item sd="0" x="9653"/>
        <item sd="0" x="9654"/>
        <item sd="0" x="9655"/>
        <item sd="0" x="9656"/>
        <item sd="0" x="9657"/>
        <item sd="0" x="9658"/>
        <item sd="0" x="9659"/>
        <item sd="0" x="9660"/>
        <item sd="0" x="9661"/>
        <item sd="0" x="9662"/>
        <item sd="0" x="9663"/>
        <item sd="0" x="9664"/>
        <item sd="0" x="9665"/>
        <item sd="0" x="9666"/>
        <item sd="0" x="9667"/>
        <item sd="0" x="9668"/>
        <item sd="0" x="9669"/>
        <item sd="0" x="9670"/>
        <item sd="0" x="9671"/>
        <item sd="0" x="9672"/>
        <item sd="0" x="9673"/>
        <item sd="0" x="9674"/>
        <item sd="0" x="9675"/>
        <item sd="0" x="9676"/>
        <item sd="0" x="9677"/>
        <item sd="0" x="9678"/>
        <item sd="0" x="9679"/>
        <item sd="0" x="9680"/>
        <item sd="0" x="9681"/>
        <item sd="0" x="9682"/>
        <item sd="0" x="9683"/>
        <item sd="0" x="9684"/>
        <item sd="0" x="9685"/>
        <item sd="0" x="9686"/>
        <item sd="0" x="9687"/>
        <item sd="0" x="9688"/>
        <item sd="0" x="9689"/>
        <item sd="0" x="9690"/>
        <item sd="0" x="9691"/>
        <item sd="0" x="9692"/>
        <item sd="0" x="9693"/>
        <item sd="0" x="9694"/>
        <item sd="0" x="9695"/>
        <item sd="0" x="9696"/>
        <item sd="0" x="9697"/>
        <item sd="0" x="9698"/>
        <item sd="0" x="9699"/>
        <item sd="0" x="9700"/>
        <item sd="0" x="9701"/>
        <item sd="0" x="9702"/>
        <item sd="0" x="9703"/>
        <item sd="0" x="9704"/>
        <item sd="0" x="9705"/>
        <item sd="0" x="9706"/>
        <item sd="0" x="9707"/>
        <item sd="0" x="9708"/>
        <item sd="0" x="9709"/>
        <item sd="0" x="9710"/>
        <item sd="0" x="9711"/>
        <item sd="0" x="9712"/>
        <item sd="0" x="9713"/>
        <item sd="0" x="9714"/>
        <item sd="0" x="9715"/>
        <item sd="0" x="9716"/>
        <item sd="0" x="9717"/>
        <item sd="0" x="9718"/>
        <item sd="0" x="9719"/>
        <item sd="0" x="9720"/>
        <item sd="0" x="9721"/>
        <item sd="0" x="9722"/>
        <item sd="0" x="9723"/>
        <item sd="0" x="9724"/>
        <item sd="0" x="9725"/>
        <item sd="0" x="9726"/>
        <item sd="0" x="9727"/>
        <item sd="0" x="9728"/>
        <item sd="0" x="9729"/>
        <item sd="0" x="9730"/>
        <item sd="0" x="9731"/>
        <item sd="0" x="9732"/>
        <item sd="0" x="9733"/>
        <item sd="0" x="9734"/>
        <item sd="0" x="9735"/>
        <item sd="0" x="9736"/>
        <item sd="0" x="9737"/>
        <item sd="0" x="9738"/>
        <item sd="0" x="9739"/>
        <item sd="0" x="9740"/>
        <item sd="0" x="9741"/>
        <item sd="0" x="9742"/>
        <item sd="0" x="9743"/>
        <item sd="0" x="9744"/>
        <item sd="0" x="9745"/>
        <item sd="0" x="9746"/>
        <item sd="0" x="9747"/>
        <item sd="0" x="9748"/>
        <item sd="0" x="9749"/>
        <item sd="0" x="9750"/>
        <item sd="0" x="9751"/>
        <item sd="0" x="9752"/>
        <item sd="0" x="9753"/>
        <item sd="0" x="9754"/>
        <item sd="0" x="9755"/>
        <item sd="0" x="9756"/>
        <item sd="0" x="9757"/>
        <item sd="0" x="9758"/>
        <item sd="0" x="9759"/>
        <item sd="0" x="9760"/>
        <item sd="0" x="9761"/>
        <item sd="0" x="9762"/>
        <item sd="0" x="9763"/>
        <item sd="0" x="9764"/>
        <item sd="0" x="9765"/>
        <item sd="0" x="9766"/>
        <item sd="0" x="9767"/>
        <item sd="0" x="9768"/>
        <item sd="0" x="9769"/>
        <item sd="0" x="9770"/>
        <item sd="0" x="9771"/>
        <item sd="0" x="9772"/>
        <item sd="0" x="9773"/>
        <item sd="0" x="9774"/>
        <item sd="0" x="9775"/>
        <item sd="0" x="9776"/>
        <item sd="0" x="9777"/>
        <item sd="0" x="9778"/>
        <item sd="0" x="9779"/>
        <item sd="0" x="9780"/>
        <item sd="0" x="9781"/>
        <item sd="0" x="9782"/>
        <item sd="0" x="9783"/>
        <item sd="0" x="9784"/>
        <item sd="0" x="9785"/>
        <item sd="0" x="9786"/>
        <item sd="0" x="9787"/>
        <item sd="0" x="9788"/>
        <item sd="0" x="9789"/>
        <item sd="0" x="9790"/>
        <item sd="0" x="9791"/>
        <item sd="0" x="9792"/>
        <item sd="0" x="9793"/>
        <item sd="0" x="9794"/>
        <item sd="0" x="9795"/>
        <item sd="0" x="9796"/>
        <item sd="0" x="9797"/>
        <item sd="0" x="9798"/>
        <item sd="0" x="9799"/>
        <item sd="0" x="9800"/>
        <item sd="0" x="9801"/>
        <item sd="0" x="9802"/>
        <item sd="0" x="9803"/>
        <item sd="0" x="9804"/>
        <item sd="0" x="9805"/>
        <item sd="0" x="9806"/>
        <item sd="0" x="9807"/>
        <item sd="0" x="9808"/>
        <item sd="0" x="9809"/>
        <item sd="0" x="9810"/>
        <item sd="0" x="9811"/>
        <item sd="0" x="9812"/>
        <item sd="0" x="9813"/>
        <item sd="0" x="9814"/>
        <item sd="0" x="9815"/>
        <item sd="0" x="9816"/>
        <item sd="0" x="9817"/>
        <item sd="0" x="9818"/>
        <item sd="0" x="9819"/>
        <item sd="0" x="9820"/>
        <item sd="0" x="9821"/>
        <item sd="0" x="9822"/>
        <item sd="0" x="9823"/>
        <item sd="0" x="9824"/>
        <item sd="0" x="9825"/>
        <item sd="0" x="9826"/>
        <item sd="0" x="9827"/>
        <item sd="0" x="9828"/>
        <item sd="0" x="9829"/>
        <item sd="0" x="9830"/>
        <item sd="0" x="9831"/>
        <item sd="0" x="9832"/>
        <item sd="0" x="9833"/>
        <item sd="0" x="9834"/>
        <item sd="0" x="9835"/>
        <item sd="0" x="9836"/>
        <item sd="0" x="9837"/>
        <item sd="0" x="9838"/>
        <item sd="0" x="9839"/>
        <item sd="0" x="9840"/>
        <item sd="0" x="9841"/>
        <item sd="0" x="9842"/>
        <item sd="0" x="9843"/>
        <item sd="0" x="9844"/>
        <item sd="0" x="9845"/>
        <item sd="0" x="9846"/>
        <item sd="0" x="9847"/>
        <item sd="0" x="9848"/>
        <item sd="0" x="9849"/>
        <item sd="0" x="9850"/>
        <item sd="0" x="9851"/>
        <item sd="0" x="9852"/>
        <item sd="0" x="9853"/>
        <item sd="0" x="9854"/>
        <item sd="0" x="9855"/>
        <item sd="0" x="9856"/>
        <item sd="0" x="9857"/>
        <item sd="0" x="9858"/>
        <item sd="0" x="9859"/>
        <item sd="0" x="9860"/>
        <item sd="0" x="9861"/>
        <item sd="0" x="9862"/>
        <item sd="0" x="9863"/>
        <item sd="0" x="9864"/>
        <item sd="0" x="9865"/>
        <item sd="0" x="9866"/>
        <item sd="0" x="9867"/>
        <item sd="0" x="9868"/>
        <item sd="0" x="9869"/>
        <item sd="0" x="9870"/>
        <item sd="0" x="9871"/>
        <item sd="0" x="9872"/>
        <item sd="0" x="9873"/>
        <item sd="0" x="9874"/>
        <item sd="0" x="9875"/>
        <item sd="0" x="9876"/>
        <item sd="0" x="9877"/>
        <item sd="0" x="9878"/>
        <item sd="0" x="9879"/>
        <item sd="0" x="9880"/>
        <item sd="0" x="9881"/>
        <item sd="0" x="9882"/>
        <item sd="0" x="9883"/>
        <item sd="0" x="9884"/>
        <item sd="0" x="9885"/>
        <item sd="0" x="9886"/>
        <item sd="0" x="9887"/>
        <item sd="0" x="9888"/>
        <item sd="0" x="9889"/>
        <item sd="0" x="9890"/>
        <item sd="0" x="9891"/>
        <item sd="0" x="9892"/>
        <item sd="0" x="9893"/>
        <item sd="0" x="9894"/>
        <item sd="0" x="9895"/>
        <item sd="0" x="9896"/>
        <item sd="0" x="9897"/>
        <item sd="0" x="9898"/>
        <item sd="0" x="9899"/>
        <item sd="0" x="9900"/>
        <item sd="0" x="9901"/>
        <item sd="0" x="9902"/>
        <item sd="0" x="9903"/>
        <item sd="0" x="9904"/>
        <item sd="0" x="9905"/>
        <item sd="0" x="9906"/>
        <item sd="0" x="9907"/>
        <item sd="0" x="9908"/>
        <item sd="0" x="9909"/>
        <item sd="0" x="9910"/>
        <item sd="0" x="9911"/>
        <item sd="0" x="9912"/>
        <item sd="0" x="9913"/>
        <item sd="0" x="9914"/>
        <item sd="0" x="9915"/>
        <item sd="0" x="9916"/>
        <item sd="0" x="9917"/>
        <item sd="0" x="9918"/>
        <item sd="0" x="9919"/>
        <item sd="0" x="9920"/>
        <item sd="0" x="9921"/>
        <item sd="0" x="9922"/>
        <item sd="0" x="9923"/>
        <item sd="0" x="9924"/>
        <item sd="0" x="9925"/>
        <item sd="0" x="9926"/>
        <item sd="0" x="9927"/>
        <item sd="0" x="9928"/>
        <item sd="0" x="9929"/>
        <item sd="0" x="9930"/>
        <item sd="0" x="9931"/>
        <item sd="0" x="9932"/>
        <item sd="0" x="9933"/>
        <item sd="0" x="9934"/>
        <item sd="0" x="9935"/>
        <item sd="0" x="9936"/>
        <item sd="0" x="9937"/>
        <item sd="0" x="9938"/>
        <item sd="0" x="9939"/>
        <item sd="0" x="9940"/>
        <item sd="0" x="9941"/>
        <item sd="0" x="9942"/>
        <item sd="0" x="9943"/>
        <item sd="0" x="9944"/>
        <item sd="0" x="9945"/>
        <item sd="0" x="9946"/>
        <item sd="0" x="9947"/>
        <item sd="0" x="9948"/>
        <item sd="0" x="9949"/>
        <item sd="0" x="9950"/>
        <item sd="0" x="9951"/>
        <item sd="0" x="9952"/>
        <item sd="0" x="9953"/>
        <item sd="0" x="9954"/>
        <item sd="0" x="9955"/>
        <item sd="0" x="9956"/>
        <item sd="0" x="9957"/>
        <item sd="0" x="9958"/>
        <item sd="0" x="9959"/>
        <item sd="0" x="9960"/>
        <item sd="0" x="9961"/>
        <item sd="0" x="9962"/>
        <item sd="0" x="9963"/>
        <item sd="0" x="9964"/>
        <item sd="0" x="9965"/>
        <item sd="0" x="9966"/>
        <item sd="0" x="9967"/>
        <item sd="0" x="9968"/>
        <item sd="0" x="9969"/>
        <item sd="0" x="9970"/>
        <item sd="0" x="9971"/>
        <item sd="0" x="9972"/>
        <item sd="0" x="9973"/>
        <item sd="0" x="9974"/>
        <item sd="0" x="9975"/>
        <item sd="0" x="9976"/>
        <item sd="0" x="9977"/>
        <item sd="0" x="9978"/>
        <item sd="0" x="9979"/>
        <item sd="0" x="9980"/>
        <item sd="0" x="9981"/>
        <item sd="0" x="9982"/>
        <item sd="0" x="9983"/>
        <item sd="0" x="9984"/>
        <item sd="0" x="9985"/>
        <item sd="0" x="9986"/>
        <item sd="0" x="9987"/>
        <item sd="0" x="9988"/>
        <item sd="0" x="9989"/>
        <item sd="0" x="9990"/>
        <item sd="0" x="9991"/>
        <item sd="0" x="9992"/>
        <item sd="0" x="9993"/>
        <item sd="0" x="9994"/>
        <item sd="0" x="9995"/>
        <item sd="0" x="9996"/>
        <item sd="0" x="9997"/>
        <item sd="0" x="9998"/>
        <item sd="0" x="9999"/>
        <item sd="0" x="10000"/>
        <item sd="0" x="10001"/>
        <item sd="0" x="10002"/>
        <item sd="0" x="10003"/>
        <item sd="0" x="10004"/>
        <item sd="0" x="10005"/>
        <item sd="0" x="10006"/>
        <item sd="0" x="10007"/>
        <item sd="0" x="10008"/>
        <item sd="0" x="10009"/>
        <item sd="0" x="10010"/>
        <item sd="0" x="10011"/>
        <item sd="0" x="10012"/>
        <item sd="0" x="10013"/>
        <item sd="0" x="10014"/>
        <item sd="0" x="10015"/>
        <item sd="0" x="10016"/>
        <item sd="0" x="10017"/>
        <item sd="0" x="10018"/>
        <item sd="0" x="10019"/>
        <item sd="0" x="10020"/>
        <item sd="0" x="10021"/>
        <item sd="0" x="10022"/>
        <item sd="0" x="10023"/>
        <item sd="0" x="10024"/>
        <item sd="0" x="10025"/>
        <item sd="0" x="10026"/>
        <item sd="0" x="10027"/>
        <item sd="0" x="10028"/>
        <item sd="0" x="10029"/>
        <item sd="0" x="10030"/>
        <item sd="0" x="10031"/>
        <item sd="0" x="10032"/>
        <item sd="0" x="10033"/>
        <item sd="0" x="10034"/>
        <item sd="0" x="10035"/>
        <item sd="0" x="10036"/>
        <item sd="0" x="10037"/>
        <item sd="0" x="10038"/>
        <item sd="0" x="10039"/>
        <item sd="0" x="10040"/>
        <item sd="0" x="10041"/>
        <item sd="0" x="10042"/>
        <item sd="0" x="10043"/>
        <item sd="0" x="10044"/>
        <item sd="0" x="10045"/>
        <item sd="0" x="10046"/>
        <item sd="0" x="10047"/>
        <item sd="0" x="10048"/>
        <item sd="0" x="10049"/>
        <item sd="0" x="10050"/>
        <item sd="0" x="10051"/>
        <item sd="0" x="10052"/>
        <item sd="0" x="10053"/>
        <item sd="0" x="10054"/>
        <item sd="0" x="10055"/>
        <item sd="0" x="10056"/>
        <item sd="0" x="10057"/>
        <item sd="0" x="10058"/>
        <item sd="0" x="10059"/>
        <item sd="0" x="10060"/>
        <item sd="0" x="10061"/>
        <item sd="0" x="10062"/>
        <item sd="0" x="10063"/>
        <item sd="0" x="10064"/>
        <item sd="0" x="10065"/>
        <item sd="0" x="10066"/>
        <item sd="0" x="10067"/>
        <item sd="0" x="10068"/>
        <item sd="0" x="10069"/>
        <item sd="0" x="10070"/>
        <item sd="0" x="10071"/>
        <item sd="0" x="10072"/>
        <item sd="0" x="10073"/>
        <item sd="0" x="10074"/>
        <item sd="0" x="10075"/>
        <item sd="0" x="10076"/>
        <item sd="0" x="10077"/>
        <item sd="0" x="10078"/>
        <item sd="0" x="10079"/>
        <item sd="0" x="10080"/>
        <item sd="0" x="10081"/>
        <item sd="0" x="10082"/>
        <item sd="0" x="10083"/>
        <item sd="0" x="10084"/>
        <item sd="0" x="10085"/>
        <item sd="0" x="10086"/>
        <item sd="0" x="10087"/>
        <item sd="0" x="10088"/>
        <item sd="0" x="10089"/>
        <item sd="0" x="10090"/>
        <item sd="0" x="10091"/>
        <item sd="0" x="10092"/>
        <item sd="0" x="10093"/>
        <item sd="0" x="10094"/>
        <item sd="0" x="10095"/>
        <item sd="0" x="10096"/>
        <item sd="0" x="10097"/>
        <item sd="0" x="10098"/>
        <item sd="0" x="10099"/>
        <item sd="0" x="10100"/>
        <item sd="0" x="10101"/>
        <item sd="0" x="10102"/>
        <item sd="0" x="10103"/>
        <item sd="0" x="10104"/>
        <item sd="0" x="10105"/>
        <item sd="0" x="10106"/>
        <item sd="0" x="10107"/>
        <item sd="0" x="10108"/>
        <item sd="0" x="10109"/>
        <item sd="0" x="10110"/>
        <item sd="0" x="10111"/>
        <item sd="0" x="10112"/>
        <item sd="0" x="10113"/>
        <item sd="0" x="10114"/>
        <item sd="0" x="10115"/>
        <item sd="0" x="10116"/>
        <item sd="0" x="10117"/>
        <item sd="0" x="10118"/>
        <item sd="0" x="10119"/>
        <item sd="0" x="10120"/>
        <item sd="0" x="10121"/>
        <item sd="0" x="10122"/>
        <item sd="0" x="10123"/>
        <item sd="0" x="10124"/>
        <item sd="0" x="10125"/>
        <item sd="0" x="10126"/>
        <item sd="0" x="10127"/>
        <item sd="0" x="10128"/>
        <item sd="0" x="10129"/>
        <item sd="0" x="10130"/>
        <item sd="0" x="10131"/>
        <item sd="0" x="10132"/>
        <item sd="0" x="10133"/>
        <item sd="0" x="10134"/>
        <item sd="0" x="10135"/>
        <item sd="0" x="10136"/>
        <item sd="0" x="10137"/>
        <item sd="0" x="10138"/>
        <item sd="0" x="10139"/>
        <item sd="0" x="10140"/>
        <item sd="0" x="10141"/>
        <item sd="0" x="10142"/>
        <item sd="0" x="10143"/>
        <item sd="0" x="10144"/>
        <item sd="0" x="10145"/>
        <item sd="0" x="10146"/>
        <item sd="0" x="10147"/>
        <item sd="0" x="10148"/>
        <item sd="0" x="10149"/>
        <item sd="0" x="10150"/>
        <item sd="0" x="10151"/>
        <item sd="0" x="10152"/>
        <item sd="0" x="10153"/>
        <item sd="0" x="10154"/>
        <item sd="0" x="10155"/>
        <item sd="0" x="10156"/>
        <item sd="0" x="10157"/>
        <item sd="0" x="10158"/>
        <item sd="0" x="10159"/>
        <item sd="0" x="10160"/>
        <item sd="0" x="10161"/>
        <item sd="0" x="10162"/>
        <item sd="0" x="10163"/>
        <item sd="0" x="10164"/>
        <item sd="0" x="10165"/>
        <item sd="0" x="10166"/>
        <item sd="0" x="10167"/>
        <item sd="0" x="10168"/>
        <item sd="0" x="10169"/>
        <item sd="0" x="10170"/>
        <item sd="0" x="10171"/>
        <item sd="0" x="10172"/>
        <item sd="0" x="10173"/>
        <item sd="0" x="10174"/>
        <item sd="0" x="10175"/>
        <item sd="0" x="10176"/>
        <item sd="0" x="10177"/>
        <item sd="0" x="10178"/>
        <item sd="0" x="10179"/>
        <item sd="0" x="10180"/>
        <item sd="0" x="10181"/>
        <item sd="0" x="10182"/>
        <item sd="0" x="10183"/>
        <item sd="0" x="10184"/>
        <item sd="0" x="10185"/>
        <item sd="0" x="10186"/>
        <item sd="0" x="10187"/>
        <item sd="0" x="10188"/>
        <item sd="0" x="10189"/>
        <item sd="0" x="10190"/>
        <item sd="0" x="10191"/>
        <item sd="0" x="10192"/>
        <item sd="0" x="10193"/>
        <item sd="0" x="10194"/>
        <item sd="0" x="10195"/>
        <item sd="0" x="10196"/>
        <item sd="0" x="10197"/>
        <item sd="0" x="10198"/>
        <item sd="0" x="10199"/>
        <item sd="0" x="10200"/>
        <item sd="0" x="10201"/>
        <item sd="0" x="10202"/>
        <item sd="0" x="10203"/>
        <item sd="0" x="10204"/>
        <item sd="0" x="10205"/>
        <item sd="0" x="10206"/>
        <item sd="0" x="10207"/>
        <item sd="0" x="10208"/>
        <item sd="0" x="10209"/>
        <item sd="0" x="10210"/>
        <item sd="0" x="10211"/>
        <item sd="0" x="10212"/>
        <item sd="0" x="10213"/>
        <item sd="0" x="10214"/>
        <item sd="0" x="10215"/>
        <item sd="0" x="10216"/>
        <item sd="0" x="10217"/>
        <item sd="0" x="10218"/>
        <item sd="0" x="10219"/>
        <item sd="0" x="10220"/>
        <item sd="0" x="10221"/>
        <item sd="0" x="10222"/>
        <item sd="0" x="10223"/>
        <item sd="0" x="10224"/>
        <item sd="0" x="10225"/>
        <item sd="0" x="10226"/>
        <item sd="0" x="10227"/>
        <item sd="0" x="10228"/>
        <item sd="0" x="10229"/>
        <item sd="0" x="10230"/>
        <item sd="0" x="10231"/>
        <item sd="0" x="10232"/>
        <item sd="0" x="10233"/>
        <item sd="0" x="10234"/>
        <item sd="0" x="10235"/>
        <item sd="0" x="10236"/>
        <item sd="0" x="10237"/>
        <item sd="0" x="10238"/>
        <item sd="0" x="10239"/>
        <item sd="0" x="10240"/>
        <item sd="0" x="10241"/>
        <item sd="0" x="10242"/>
        <item sd="0" x="10243"/>
        <item sd="0" x="10244"/>
        <item sd="0" x="10245"/>
        <item sd="0" x="10246"/>
        <item sd="0" x="10247"/>
        <item sd="0" x="10248"/>
        <item sd="0" x="10249"/>
        <item sd="0" x="10250"/>
        <item sd="0" x="10251"/>
        <item sd="0" x="10252"/>
        <item sd="0" x="10253"/>
        <item sd="0" x="10254"/>
        <item sd="0" x="10255"/>
        <item sd="0" x="10256"/>
        <item sd="0" x="10257"/>
        <item sd="0" x="10258"/>
        <item sd="0" x="10259"/>
        <item sd="0" x="10260"/>
        <item sd="0" x="10261"/>
        <item sd="0" x="10262"/>
        <item sd="0" x="10263"/>
        <item sd="0" x="10264"/>
        <item sd="0" x="10265"/>
        <item sd="0" x="10266"/>
        <item sd="0" x="10267"/>
        <item sd="0" x="10268"/>
        <item sd="0" x="10269"/>
        <item sd="0" x="10270"/>
        <item sd="0" x="10271"/>
        <item sd="0" x="10272"/>
        <item sd="0" x="10273"/>
        <item sd="0" x="10274"/>
        <item sd="0" x="10275"/>
        <item sd="0" x="10276"/>
        <item sd="0" x="10277"/>
        <item sd="0" x="10278"/>
        <item sd="0" x="10279"/>
        <item sd="0" x="10280"/>
        <item sd="0" x="10281"/>
        <item sd="0" x="10282"/>
        <item sd="0" x="10283"/>
        <item sd="0" x="10284"/>
        <item sd="0" x="10285"/>
        <item sd="0" x="10286"/>
        <item sd="0" x="10287"/>
        <item sd="0" x="10288"/>
        <item sd="0" x="10289"/>
        <item sd="0" x="10290"/>
        <item sd="0" x="10291"/>
        <item sd="0" x="10292"/>
        <item sd="0" x="10293"/>
        <item sd="0" x="10294"/>
        <item sd="0" x="10295"/>
        <item sd="0" x="10296"/>
        <item sd="0" x="10297"/>
        <item sd="0" x="10298"/>
        <item sd="0" x="10299"/>
        <item sd="0" x="10300"/>
        <item sd="0" x="10301"/>
        <item sd="0" x="10302"/>
        <item sd="0" x="10303"/>
        <item sd="0" x="10304"/>
        <item sd="0" x="10305"/>
        <item sd="0" x="10306"/>
        <item sd="0" x="10307"/>
        <item sd="0" x="10308"/>
        <item sd="0" x="10309"/>
        <item sd="0" x="10310"/>
        <item sd="0" x="10311"/>
        <item sd="0" x="10312"/>
        <item sd="0" x="10313"/>
        <item sd="0" x="10314"/>
        <item sd="0" x="10315"/>
        <item sd="0" x="10316"/>
        <item sd="0" x="10317"/>
        <item sd="0" x="10318"/>
        <item sd="0" x="10319"/>
        <item sd="0" x="10320"/>
        <item sd="0" x="10321"/>
        <item sd="0" x="10322"/>
        <item sd="0" x="10323"/>
        <item sd="0" x="10324"/>
        <item sd="0" x="10325"/>
        <item sd="0" x="10326"/>
        <item sd="0" x="10327"/>
        <item sd="0" x="10328"/>
        <item sd="0" x="10329"/>
        <item sd="0" x="10330"/>
        <item sd="0" x="10331"/>
        <item sd="0" x="10332"/>
        <item sd="0" x="10333"/>
        <item sd="0" x="10334"/>
        <item sd="0" x="10335"/>
        <item sd="0" x="10336"/>
        <item sd="0" x="10337"/>
        <item sd="0" x="10338"/>
        <item sd="0" x="10339"/>
        <item sd="0" x="10340"/>
        <item sd="0" x="10341"/>
        <item sd="0" x="10342"/>
        <item sd="0" x="10343"/>
        <item sd="0" x="10344"/>
        <item sd="0" x="10345"/>
        <item sd="0" x="10346"/>
        <item sd="0" x="10347"/>
        <item sd="0" x="10348"/>
        <item sd="0" x="10349"/>
        <item sd="0" x="10350"/>
        <item sd="0" x="10351"/>
        <item sd="0" x="10352"/>
        <item sd="0" x="10353"/>
        <item sd="0" x="10354"/>
        <item sd="0" x="10355"/>
        <item sd="0" x="10356"/>
        <item sd="0" x="10357"/>
        <item sd="0" x="10358"/>
        <item sd="0" x="10359"/>
        <item sd="0" x="10360"/>
        <item sd="0" x="10361"/>
        <item sd="0" x="10362"/>
        <item sd="0" x="10363"/>
        <item sd="0" x="10364"/>
        <item sd="0" x="10365"/>
        <item sd="0" x="10366"/>
        <item sd="0" x="10367"/>
        <item sd="0" x="10368"/>
        <item sd="0" x="10369"/>
        <item sd="0" x="10370"/>
        <item sd="0" x="10371"/>
        <item sd="0" x="10372"/>
        <item sd="0" x="10373"/>
        <item sd="0" x="10374"/>
        <item sd="0" x="10375"/>
        <item sd="0" x="10376"/>
        <item sd="0" x="10377"/>
        <item sd="0" x="10378"/>
        <item sd="0" x="10379"/>
        <item sd="0" x="10380"/>
        <item sd="0" x="10381"/>
        <item sd="0" x="10382"/>
        <item sd="0" x="10383"/>
        <item sd="0" x="10384"/>
        <item sd="0" x="10385"/>
        <item sd="0" x="10386"/>
        <item sd="0" x="10387"/>
        <item sd="0" x="10388"/>
        <item sd="0" x="10389"/>
        <item sd="0" x="10390"/>
        <item sd="0" x="10391"/>
        <item sd="0" x="10392"/>
        <item sd="0" x="10393"/>
        <item sd="0" x="10394"/>
        <item sd="0" x="10395"/>
        <item sd="0" x="10396"/>
        <item sd="0" x="10397"/>
        <item sd="0" x="10398"/>
        <item sd="0" x="10399"/>
        <item sd="0" x="10400"/>
        <item sd="0" x="10401"/>
        <item sd="0" x="10402"/>
        <item sd="0" x="10403"/>
        <item sd="0" x="10404"/>
        <item sd="0" x="10405"/>
        <item sd="0" x="10406"/>
        <item sd="0" x="10407"/>
        <item sd="0" x="10408"/>
        <item sd="0" x="10409"/>
        <item sd="0" x="10410"/>
        <item sd="0" x="10411"/>
        <item sd="0" x="10412"/>
        <item sd="0" x="10413"/>
        <item sd="0" x="10414"/>
        <item sd="0" x="10415"/>
        <item sd="0" x="10416"/>
        <item sd="0" x="10417"/>
        <item sd="0" x="10418"/>
        <item sd="0" x="10419"/>
        <item sd="0" x="10420"/>
        <item sd="0" x="10421"/>
        <item sd="0" x="10422"/>
        <item sd="0" x="10423"/>
        <item sd="0" x="10424"/>
        <item sd="0" x="10425"/>
        <item sd="0" x="10426"/>
        <item sd="0" x="10427"/>
        <item sd="0" x="10428"/>
        <item sd="0" x="10429"/>
        <item sd="0" x="10430"/>
        <item sd="0" x="10431"/>
        <item sd="0" x="10432"/>
        <item sd="0" x="10433"/>
        <item sd="0" x="10434"/>
        <item sd="0" x="10435"/>
        <item sd="0" x="10436"/>
        <item sd="0" x="10437"/>
        <item sd="0" x="10438"/>
        <item sd="0" x="10439"/>
        <item sd="0" x="10440"/>
        <item sd="0" x="10441"/>
        <item sd="0" x="10442"/>
        <item sd="0" x="10443"/>
        <item sd="0" x="10444"/>
        <item sd="0" x="10445"/>
        <item sd="0" x="10446"/>
        <item sd="0" x="10447"/>
        <item sd="0" x="10448"/>
        <item sd="0" x="10449"/>
        <item sd="0" x="10450"/>
        <item sd="0" x="10451"/>
        <item sd="0" x="10452"/>
        <item sd="0" x="10453"/>
        <item sd="0" x="10454"/>
        <item sd="0" x="10455"/>
        <item sd="0" x="10456"/>
        <item sd="0" x="10457"/>
        <item sd="0" x="10458"/>
        <item sd="0" x="10459"/>
        <item sd="0" x="10460"/>
        <item sd="0" x="10461"/>
        <item sd="0" x="10462"/>
        <item sd="0" x="10463"/>
        <item sd="0" x="10464"/>
        <item sd="0" x="10465"/>
        <item sd="0" x="10466"/>
        <item sd="0" x="10467"/>
        <item sd="0" x="10468"/>
        <item sd="0" x="10469"/>
        <item sd="0" x="10470"/>
        <item sd="0" x="10471"/>
        <item sd="0" x="10472"/>
        <item sd="0" x="10473"/>
        <item sd="0" x="10474"/>
        <item sd="0" x="10475"/>
        <item sd="0" x="10476"/>
        <item sd="0" x="10477"/>
        <item sd="0" x="10478"/>
        <item sd="0" x="10479"/>
        <item sd="0" x="10480"/>
        <item sd="0" x="10481"/>
        <item sd="0" x="10482"/>
        <item sd="0" x="10483"/>
        <item sd="0" x="10484"/>
        <item sd="0" x="10485"/>
        <item sd="0" x="10486"/>
        <item sd="0" x="10487"/>
        <item sd="0" x="10488"/>
        <item sd="0" x="10489"/>
        <item sd="0" x="10490"/>
        <item sd="0" x="10491"/>
        <item sd="0" x="10492"/>
        <item sd="0" x="10493"/>
        <item sd="0" x="10494"/>
        <item sd="0" x="10495"/>
        <item sd="0" x="10496"/>
        <item sd="0" x="10497"/>
        <item sd="0" x="10498"/>
        <item sd="0" x="10499"/>
        <item sd="0" x="10500"/>
        <item sd="0" x="10501"/>
        <item sd="0" x="10502"/>
        <item sd="0" x="10503"/>
        <item sd="0" x="10504"/>
        <item sd="0" x="10505"/>
        <item sd="0" x="10506"/>
        <item sd="0" x="10507"/>
        <item sd="0" x="10508"/>
        <item sd="0" x="10509"/>
        <item sd="0" x="10510"/>
        <item sd="0" x="10511"/>
        <item sd="0" x="10512"/>
        <item sd="0" x="10513"/>
        <item sd="0" x="10514"/>
        <item sd="0" x="10515"/>
        <item sd="0" x="10516"/>
        <item sd="0" x="10517"/>
        <item sd="0" x="10518"/>
        <item sd="0" x="10519"/>
        <item sd="0" x="10520"/>
        <item sd="0" x="10521"/>
        <item sd="0" x="10522"/>
        <item sd="0" x="10523"/>
        <item sd="0" x="10524"/>
        <item sd="0" x="10525"/>
        <item sd="0" x="10526"/>
        <item sd="0" x="10527"/>
        <item sd="0" x="10528"/>
        <item sd="0" x="10529"/>
        <item sd="0" x="10530"/>
        <item sd="0" x="10531"/>
        <item sd="0" x="10532"/>
        <item sd="0" x="10533"/>
        <item sd="0" x="10534"/>
        <item sd="0" x="10535"/>
        <item sd="0" x="10536"/>
        <item sd="0" x="10537"/>
        <item sd="0" x="10538"/>
        <item sd="0" x="10539"/>
        <item sd="0" x="10540"/>
        <item sd="0" x="10541"/>
        <item sd="0" x="10542"/>
        <item sd="0" x="10543"/>
        <item sd="0" x="10544"/>
        <item sd="0" x="10545"/>
        <item sd="0" x="10546"/>
        <item sd="0" x="10547"/>
        <item sd="0" x="10548"/>
        <item sd="0" x="10549"/>
        <item sd="0" x="10550"/>
        <item sd="0" x="10551"/>
        <item sd="0" x="10552"/>
        <item sd="0" x="10553"/>
        <item sd="0" x="10554"/>
        <item sd="0" x="10555"/>
        <item sd="0" x="10556"/>
        <item sd="0" x="10557"/>
        <item sd="0" x="10558"/>
        <item sd="0" x="10559"/>
        <item sd="0" x="10560"/>
        <item sd="0" x="10561"/>
        <item sd="0" x="10562"/>
        <item sd="0" x="10563"/>
        <item sd="0" x="10564"/>
        <item sd="0" x="10565"/>
        <item sd="0" x="10566"/>
        <item sd="0" x="10567"/>
        <item sd="0" x="10568"/>
        <item sd="0" x="10569"/>
        <item sd="0" x="10570"/>
        <item sd="0" x="10571"/>
        <item sd="0" x="10572"/>
        <item sd="0" x="10573"/>
        <item sd="0" x="10574"/>
        <item sd="0" x="10575"/>
        <item sd="0" x="10576"/>
        <item sd="0" x="10577"/>
        <item sd="0" x="10578"/>
        <item sd="0" x="10579"/>
        <item sd="0" x="10580"/>
        <item sd="0" x="10581"/>
        <item sd="0" x="10582"/>
        <item sd="0" x="10583"/>
        <item sd="0" x="10584"/>
        <item sd="0" x="10585"/>
        <item sd="0" x="10586"/>
        <item sd="0" x="10587"/>
        <item sd="0" x="10588"/>
        <item sd="0" x="10589"/>
        <item sd="0" x="10590"/>
        <item sd="0" x="10591"/>
        <item sd="0" x="10592"/>
        <item sd="0" x="10593"/>
        <item sd="0" x="10594"/>
        <item sd="0" x="10595"/>
        <item sd="0" x="10596"/>
        <item sd="0" x="10597"/>
        <item sd="0" x="10598"/>
        <item sd="0" x="10599"/>
        <item sd="0" x="10600"/>
        <item sd="0" x="10601"/>
        <item sd="0" x="10602"/>
        <item sd="0" x="10603"/>
        <item sd="0" x="10604"/>
        <item sd="0" x="10605"/>
        <item sd="0" x="10606"/>
        <item sd="0" x="10607"/>
        <item sd="0" x="10608"/>
        <item sd="0" x="10609"/>
        <item sd="0" x="10610"/>
        <item sd="0" x="10611"/>
        <item sd="0" x="10612"/>
        <item sd="0" x="10613"/>
        <item sd="0" x="10614"/>
        <item sd="0" x="10615"/>
        <item sd="0" x="10616"/>
        <item sd="0" x="10617"/>
        <item sd="0" x="10618"/>
        <item sd="0" x="10619"/>
        <item sd="0" x="10620"/>
        <item sd="0" x="10621"/>
        <item sd="0" x="10622"/>
        <item sd="0" x="10623"/>
        <item sd="0" x="10624"/>
        <item sd="0" x="10625"/>
        <item sd="0" x="10626"/>
        <item sd="0" x="10627"/>
        <item sd="0" x="10628"/>
        <item sd="0" x="10629"/>
        <item sd="0" x="10630"/>
        <item sd="0" x="10631"/>
        <item sd="0" x="10632"/>
        <item sd="0" x="10633"/>
        <item sd="0" x="10634"/>
        <item sd="0" x="10635"/>
        <item sd="0" x="10636"/>
        <item sd="0" x="10637"/>
        <item sd="0" x="10638"/>
        <item sd="0" x="10639"/>
        <item sd="0" x="10640"/>
        <item sd="0" x="10641"/>
        <item sd="0" x="10642"/>
        <item sd="0" x="10643"/>
        <item sd="0" x="10644"/>
        <item sd="0" x="10645"/>
        <item sd="0" x="10646"/>
        <item sd="0" x="10647"/>
        <item sd="0" x="10648"/>
        <item sd="0" x="10649"/>
        <item sd="0" x="10650"/>
        <item sd="0" x="10651"/>
        <item sd="0" x="10652"/>
        <item sd="0" x="10653"/>
        <item sd="0" x="10654"/>
        <item sd="0" x="10655"/>
        <item sd="0" x="10656"/>
        <item sd="0" x="10657"/>
        <item sd="0" x="10658"/>
        <item sd="0" x="10659"/>
        <item sd="0" x="10660"/>
        <item sd="0" x="10661"/>
        <item sd="0" x="10662"/>
        <item sd="0" x="10663"/>
        <item sd="0" x="10664"/>
        <item sd="0" x="10665"/>
        <item sd="0" x="10666"/>
        <item sd="0" x="10667"/>
        <item sd="0" x="10668"/>
        <item sd="0" x="10669"/>
        <item sd="0" x="10670"/>
        <item sd="0" x="10671"/>
        <item sd="0" x="10672"/>
        <item sd="0" x="10673"/>
        <item sd="0" x="10674"/>
        <item sd="0" x="10675"/>
        <item sd="0" x="10676"/>
        <item sd="0" x="10677"/>
        <item sd="0" x="10678"/>
        <item sd="0" x="10679"/>
        <item sd="0" x="10680"/>
        <item sd="0" x="10681"/>
        <item sd="0" x="10682"/>
        <item sd="0" x="10683"/>
        <item sd="0" x="10684"/>
        <item sd="0" x="10685"/>
        <item sd="0" x="10686"/>
        <item sd="0" x="10687"/>
        <item sd="0" x="10688"/>
        <item sd="0" x="10689"/>
        <item sd="0" x="10690"/>
        <item sd="0" x="10691"/>
        <item sd="0" x="10692"/>
        <item sd="0" x="10693"/>
        <item sd="0" x="10694"/>
        <item sd="0" x="10695"/>
        <item sd="0" x="10696"/>
        <item sd="0" x="10697"/>
        <item sd="0" x="10698"/>
        <item sd="0" x="10699"/>
        <item sd="0" x="10700"/>
        <item sd="0" x="10701"/>
        <item sd="0" x="10702"/>
        <item sd="0" x="10703"/>
        <item sd="0" x="10704"/>
        <item sd="0" x="10705"/>
        <item sd="0" x="10706"/>
        <item sd="0" x="10707"/>
        <item sd="0" x="10708"/>
        <item sd="0" x="10709"/>
        <item sd="0" x="10710"/>
        <item sd="0" x="10711"/>
        <item sd="0" x="10712"/>
        <item sd="0" x="10713"/>
        <item sd="0" x="10714"/>
        <item sd="0" x="10715"/>
        <item sd="0" x="10716"/>
        <item sd="0" x="10717"/>
        <item sd="0" x="10718"/>
        <item sd="0" x="10719"/>
        <item sd="0" x="10720"/>
        <item sd="0" x="10721"/>
        <item sd="0" x="10722"/>
        <item sd="0" x="10723"/>
        <item sd="0" x="10724"/>
        <item sd="0" x="10725"/>
        <item sd="0" x="10726"/>
        <item sd="0" x="10727"/>
        <item sd="0" x="10728"/>
        <item sd="0" x="10729"/>
        <item sd="0" x="10730"/>
        <item sd="0" x="10731"/>
        <item sd="0" x="10732"/>
        <item sd="0" x="10733"/>
        <item sd="0" x="10734"/>
        <item sd="0" x="10735"/>
        <item sd="0" x="10736"/>
        <item sd="0" x="10737"/>
        <item sd="0" x="10738"/>
        <item sd="0" x="10739"/>
        <item sd="0" x="10740"/>
        <item sd="0" x="10741"/>
        <item sd="0" x="10742"/>
        <item sd="0" x="10743"/>
        <item sd="0" x="10744"/>
        <item sd="0" x="10745"/>
        <item sd="0" x="10746"/>
        <item sd="0" x="10747"/>
        <item sd="0" x="10748"/>
        <item sd="0" x="10749"/>
        <item sd="0" x="10750"/>
        <item sd="0" x="10751"/>
        <item sd="0" x="10752"/>
        <item sd="0" x="10753"/>
        <item sd="0" x="10754"/>
        <item sd="0" x="10755"/>
        <item sd="0" x="10756"/>
        <item sd="0" x="10757"/>
        <item sd="0" x="10758"/>
        <item sd="0" x="10759"/>
        <item sd="0" x="10760"/>
        <item sd="0" x="10761"/>
        <item sd="0" x="10762"/>
        <item sd="0" x="10763"/>
        <item sd="0" x="10764"/>
        <item sd="0" x="10765"/>
        <item sd="0" x="10766"/>
        <item sd="0" x="10767"/>
        <item sd="0" x="10768"/>
        <item sd="0" x="10769"/>
        <item sd="0" x="10770"/>
        <item sd="0" x="10771"/>
        <item sd="0" x="10772"/>
        <item sd="0" x="10773"/>
        <item sd="0" x="10774"/>
        <item sd="0" x="10775"/>
        <item sd="0" x="10776"/>
        <item sd="0" x="10777"/>
        <item sd="0" x="10778"/>
        <item sd="0" x="10779"/>
        <item sd="0" x="10780"/>
        <item sd="0" x="10781"/>
        <item sd="0" x="10782"/>
        <item sd="0" x="10783"/>
        <item sd="0" x="10784"/>
        <item sd="0" x="10785"/>
        <item sd="0" x="10786"/>
        <item sd="0" x="10787"/>
        <item sd="0" x="10788"/>
        <item sd="0" x="10789"/>
        <item sd="0" x="10790"/>
        <item sd="0" x="10791"/>
        <item sd="0" x="10792"/>
        <item sd="0" x="10793"/>
        <item sd="0" x="10794"/>
        <item sd="0" x="10795"/>
        <item sd="0" x="10796"/>
        <item sd="0" x="10797"/>
        <item sd="0" x="10798"/>
        <item sd="0" x="10799"/>
        <item sd="0" x="10800"/>
        <item sd="0" x="10801"/>
        <item sd="0" x="10802"/>
        <item sd="0" x="10803"/>
        <item sd="0" x="10804"/>
        <item sd="0" x="10805"/>
        <item sd="0" x="10806"/>
        <item sd="0" x="10807"/>
        <item sd="0" x="10808"/>
        <item sd="0" x="10809"/>
        <item sd="0" x="10810"/>
        <item sd="0" x="10811"/>
        <item sd="0" x="10812"/>
        <item sd="0" x="10813"/>
        <item sd="0" x="10814"/>
        <item sd="0" x="10815"/>
        <item sd="0" x="10816"/>
        <item sd="0" x="10817"/>
        <item sd="0" x="10818"/>
        <item sd="0" x="10819"/>
        <item sd="0" x="10820"/>
        <item sd="0" x="10821"/>
        <item sd="0" x="10822"/>
        <item sd="0" x="10823"/>
        <item sd="0" x="10824"/>
        <item sd="0" x="10825"/>
        <item sd="0" x="10826"/>
        <item sd="0" x="10827"/>
        <item sd="0" x="10828"/>
        <item sd="0" x="10829"/>
        <item sd="0" x="10830"/>
        <item sd="0" x="10831"/>
        <item sd="0" x="10832"/>
        <item sd="0" x="10833"/>
        <item sd="0" x="10834"/>
        <item sd="0" x="10835"/>
        <item sd="0" x="10836"/>
        <item sd="0" x="10837"/>
        <item sd="0" x="10838"/>
        <item sd="0" x="10839"/>
        <item sd="0" x="10840"/>
        <item sd="0" x="10841"/>
        <item sd="0" x="10842"/>
        <item sd="0" x="10843"/>
        <item sd="0" x="10844"/>
        <item sd="0" x="10845"/>
        <item sd="0" x="10846"/>
        <item sd="0" x="10847"/>
        <item sd="0" x="10848"/>
        <item sd="0" x="10849"/>
        <item sd="0" x="10850"/>
        <item sd="0" x="10851"/>
        <item sd="0" x="10852"/>
        <item sd="0" x="10853"/>
        <item sd="0" x="10854"/>
        <item sd="0" x="10855"/>
        <item sd="0" x="10856"/>
        <item sd="0" x="10857"/>
        <item sd="0" x="10858"/>
        <item sd="0" x="10859"/>
        <item sd="0" x="10860"/>
        <item sd="0" x="10861"/>
        <item sd="0" x="10862"/>
        <item sd="0" x="10863"/>
        <item sd="0" x="10864"/>
        <item sd="0" x="10865"/>
        <item sd="0" x="10866"/>
        <item sd="0" x="10867"/>
        <item sd="0" x="10868"/>
        <item sd="0" x="10869"/>
        <item sd="0" x="10870"/>
        <item sd="0" x="10871"/>
        <item sd="0" x="10872"/>
        <item sd="0" x="10873"/>
        <item sd="0" x="10874"/>
        <item sd="0" x="10875"/>
        <item sd="0" x="10876"/>
        <item sd="0" x="10877"/>
        <item sd="0" x="10878"/>
        <item sd="0" x="10879"/>
        <item sd="0" x="10880"/>
        <item sd="0" x="10881"/>
        <item sd="0" x="10882"/>
        <item sd="0" x="10883"/>
        <item sd="0" x="10884"/>
        <item sd="0" x="10885"/>
        <item sd="0" x="10886"/>
        <item sd="0" x="10887"/>
        <item sd="0" x="10888"/>
        <item sd="0" x="10889"/>
        <item sd="0" x="10890"/>
        <item sd="0" x="10891"/>
        <item sd="0" x="10892"/>
        <item sd="0" x="10893"/>
        <item sd="0" x="10894"/>
        <item sd="0" x="10895"/>
        <item sd="0" x="10896"/>
        <item sd="0" x="10897"/>
        <item sd="0" x="10898"/>
        <item sd="0" x="10899"/>
        <item sd="0" x="10900"/>
        <item sd="0" x="10901"/>
        <item sd="0" x="10902"/>
        <item sd="0" x="10903"/>
        <item sd="0" x="10904"/>
        <item sd="0" x="10905"/>
        <item sd="0" x="10906"/>
        <item sd="0" x="10907"/>
        <item sd="0" x="10908"/>
        <item sd="0" x="10909"/>
        <item sd="0" x="10910"/>
        <item sd="0" x="10911"/>
        <item sd="0" x="10912"/>
        <item sd="0" x="10913"/>
        <item sd="0" x="10914"/>
        <item sd="0" x="10915"/>
        <item sd="0" x="10916"/>
        <item sd="0" x="10917"/>
        <item sd="0" x="10918"/>
        <item sd="0" x="10919"/>
        <item sd="0" x="10920"/>
        <item sd="0" x="10921"/>
        <item sd="0" x="10922"/>
        <item sd="0" x="10923"/>
        <item sd="0" x="10924"/>
        <item sd="0" x="10925"/>
        <item sd="0" x="10926"/>
        <item sd="0" x="10927"/>
        <item sd="0" x="10928"/>
        <item sd="0" x="10929"/>
        <item sd="0" x="10930"/>
        <item sd="0" x="10931"/>
        <item sd="0" x="10932"/>
        <item sd="0" x="10933"/>
        <item sd="0" x="10934"/>
        <item sd="0" x="10935"/>
        <item sd="0" x="10936"/>
        <item sd="0" x="10937"/>
        <item sd="0" x="10938"/>
        <item sd="0" x="10939"/>
        <item sd="0" x="10940"/>
        <item sd="0" x="10941"/>
        <item sd="0" x="10942"/>
        <item sd="0" x="10943"/>
        <item sd="0" x="10944"/>
        <item sd="0" x="10945"/>
        <item sd="0" x="10946"/>
        <item sd="0" x="10947"/>
        <item sd="0" x="10948"/>
        <item sd="0" x="10949"/>
        <item sd="0" x="10950"/>
        <item sd="0" x="10951"/>
        <item sd="0" x="10952"/>
        <item sd="0" x="10953"/>
        <item sd="0" x="10954"/>
        <item sd="0" x="10955"/>
        <item sd="0" x="10956"/>
        <item sd="0" x="10957"/>
        <item sd="0" x="10958"/>
        <item sd="0" x="10959"/>
        <item sd="0" x="10960"/>
        <item sd="0" x="10961"/>
        <item sd="0" x="10962"/>
        <item sd="0" x="10963"/>
        <item sd="0" x="10964"/>
        <item sd="0" x="10965"/>
        <item sd="0" x="10966"/>
        <item sd="0" x="10967"/>
        <item sd="0" x="10968"/>
        <item sd="0" x="10969"/>
        <item sd="0" x="10970"/>
        <item sd="0" x="10971"/>
        <item sd="0" x="10972"/>
        <item sd="0" x="10973"/>
        <item sd="0" x="10974"/>
        <item sd="0" x="10975"/>
        <item sd="0" x="10976"/>
        <item sd="0" x="10977"/>
        <item sd="0" x="10978"/>
        <item sd="0" x="10979"/>
        <item sd="0" x="10980"/>
        <item sd="0" x="10981"/>
        <item sd="0" x="10982"/>
        <item sd="0" x="10983"/>
        <item sd="0" x="10984"/>
        <item sd="0" x="10985"/>
        <item sd="0" x="10986"/>
        <item sd="0" x="10987"/>
        <item sd="0" x="10988"/>
        <item sd="0" x="10989"/>
        <item sd="0" x="10990"/>
        <item sd="0" x="10991"/>
        <item sd="0" x="10992"/>
        <item sd="0" x="10993"/>
        <item sd="0" x="10994"/>
        <item sd="0" x="10995"/>
        <item sd="0" x="10996"/>
        <item sd="0" x="10997"/>
        <item sd="0" x="10998"/>
        <item sd="0" x="10999"/>
        <item sd="0" x="11000"/>
        <item sd="0" x="11001"/>
        <item sd="0" x="11002"/>
        <item sd="0" x="11003"/>
        <item sd="0" x="11004"/>
        <item sd="0" x="11005"/>
        <item sd="0" x="11006"/>
        <item sd="0" x="11007"/>
        <item sd="0" x="11008"/>
        <item sd="0" x="11009"/>
        <item sd="0" x="11010"/>
        <item sd="0" x="11011"/>
        <item sd="0" x="11012"/>
        <item sd="0" x="11013"/>
        <item sd="0" x="11014"/>
        <item sd="0" x="11015"/>
        <item sd="0" x="11016"/>
        <item sd="0" x="11017"/>
        <item sd="0" x="11018"/>
        <item sd="0" x="11019"/>
        <item sd="0" x="11020"/>
        <item sd="0" x="11021"/>
        <item sd="0" x="11022"/>
        <item sd="0" x="11023"/>
        <item sd="0" x="11024"/>
        <item sd="0" x="11025"/>
        <item sd="0" x="11026"/>
        <item sd="0" x="11027"/>
        <item sd="0" x="11028"/>
        <item sd="0" x="11029"/>
        <item sd="0" x="11030"/>
        <item sd="0" x="11031"/>
        <item sd="0" x="11032"/>
        <item sd="0" x="11033"/>
        <item sd="0" x="11034"/>
        <item sd="0" x="11035"/>
        <item sd="0" x="11036"/>
        <item sd="0" x="11037"/>
        <item sd="0" x="11038"/>
        <item sd="0" x="11039"/>
        <item sd="0" x="11040"/>
        <item sd="0" x="11041"/>
        <item sd="0" x="11042"/>
        <item sd="0" x="11043"/>
        <item sd="0" x="11044"/>
        <item sd="0" x="11045"/>
        <item sd="0" x="11046"/>
        <item sd="0" x="11047"/>
        <item sd="0" x="11048"/>
        <item sd="0" x="11049"/>
        <item sd="0" x="11050"/>
        <item sd="0" x="11051"/>
        <item sd="0" x="11052"/>
        <item sd="0" x="11053"/>
        <item sd="0" x="11054"/>
        <item sd="0" x="11055"/>
        <item sd="0" x="11056"/>
        <item sd="0" x="11057"/>
        <item sd="0" x="11058"/>
        <item sd="0" x="11059"/>
        <item sd="0" x="11060"/>
        <item sd="0" x="11061"/>
        <item sd="0" x="11062"/>
        <item sd="0" x="11063"/>
        <item sd="0" x="11064"/>
        <item sd="0" x="11065"/>
        <item sd="0" x="11066"/>
        <item sd="0" x="11067"/>
        <item sd="0" x="11068"/>
        <item sd="0" x="11069"/>
        <item sd="0" x="11070"/>
        <item sd="0" x="11071"/>
        <item sd="0" x="11072"/>
        <item sd="0" x="11073"/>
        <item sd="0" x="11074"/>
        <item sd="0" x="11075"/>
        <item sd="0" x="11076"/>
        <item sd="0" x="11077"/>
        <item sd="0" x="11078"/>
        <item sd="0" x="11079"/>
        <item sd="0" x="11080"/>
        <item sd="0" x="11081"/>
        <item sd="0" x="11082"/>
        <item sd="0" x="11083"/>
        <item sd="0" x="11084"/>
        <item sd="0" x="11085"/>
        <item sd="0" x="11086"/>
        <item sd="0" x="11087"/>
        <item sd="0" x="11088"/>
        <item sd="0" x="11089"/>
        <item sd="0" x="11090"/>
        <item sd="0" x="11091"/>
        <item sd="0" x="11092"/>
        <item sd="0" x="11093"/>
        <item sd="0" x="11094"/>
        <item sd="0" x="11095"/>
        <item sd="0" x="11096"/>
        <item sd="0" x="11097"/>
        <item sd="0" x="11098"/>
        <item sd="0" x="11099"/>
        <item sd="0" x="11100"/>
        <item sd="0" x="11101"/>
        <item sd="0" x="11102"/>
        <item sd="0" x="11103"/>
        <item sd="0" x="11104"/>
        <item sd="0" x="11105"/>
        <item sd="0" x="11106"/>
        <item sd="0" x="11107"/>
        <item sd="0" x="11108"/>
        <item sd="0" x="11109"/>
        <item sd="0" x="11110"/>
        <item sd="0" x="11111"/>
        <item sd="0" x="11112"/>
        <item sd="0" x="11113"/>
        <item sd="0" x="11114"/>
        <item sd="0" x="11115"/>
        <item sd="0" x="11116"/>
        <item sd="0" x="11117"/>
        <item sd="0" x="11118"/>
        <item sd="0" x="11119"/>
        <item sd="0" x="11120"/>
        <item sd="0" x="11121"/>
        <item sd="0" x="11122"/>
        <item sd="0" x="11123"/>
        <item sd="0" x="11124"/>
        <item sd="0" x="11125"/>
        <item sd="0" x="11126"/>
        <item sd="0" x="11127"/>
        <item sd="0" x="11128"/>
        <item sd="0" x="11129"/>
        <item sd="0" x="11130"/>
        <item sd="0" x="11131"/>
        <item sd="0" x="11132"/>
        <item sd="0" x="11133"/>
        <item sd="0" x="11134"/>
        <item sd="0" x="11135"/>
        <item sd="0" x="11136"/>
        <item sd="0" x="11137"/>
        <item sd="0" x="11138"/>
        <item sd="0" x="11139"/>
        <item sd="0" x="11140"/>
        <item sd="0" x="11141"/>
        <item sd="0" x="11142"/>
        <item sd="0" x="11143"/>
        <item sd="0" x="11144"/>
        <item sd="0" x="11145"/>
        <item sd="0" x="11146"/>
        <item sd="0" x="11147"/>
        <item sd="0" x="11148"/>
        <item sd="0" x="11149"/>
        <item sd="0" x="11150"/>
        <item sd="0" x="11151"/>
        <item sd="0" x="11152"/>
        <item sd="0" x="11153"/>
        <item sd="0" x="11154"/>
        <item sd="0" x="11155"/>
        <item sd="0" x="11156"/>
        <item sd="0" x="11157"/>
        <item sd="0" x="11158"/>
        <item sd="0" x="11159"/>
        <item sd="0" x="11160"/>
        <item sd="0" x="11161"/>
        <item sd="0" x="11162"/>
        <item sd="0" x="11163"/>
        <item sd="0" x="11164"/>
        <item sd="0" x="11165"/>
        <item sd="0" x="11166"/>
        <item sd="0" x="11167"/>
        <item sd="0" x="11168"/>
        <item sd="0" x="11169"/>
        <item sd="0" x="11170"/>
        <item sd="0" x="11171"/>
        <item sd="0" x="11172"/>
        <item sd="0" x="11173"/>
        <item sd="0" x="11174"/>
        <item sd="0" x="11175"/>
        <item sd="0" x="11176"/>
        <item sd="0" x="11177"/>
        <item sd="0" x="11178"/>
        <item sd="0" x="11179"/>
        <item sd="0" x="11180"/>
        <item sd="0" x="11181"/>
        <item sd="0" x="11182"/>
        <item sd="0" x="11183"/>
        <item sd="0" x="11184"/>
        <item sd="0" x="11185"/>
        <item sd="0" x="11186"/>
        <item sd="0" x="11187"/>
        <item sd="0" x="11188"/>
        <item sd="0" x="11189"/>
        <item sd="0" x="11190"/>
        <item sd="0" x="11191"/>
        <item sd="0" x="11192"/>
        <item sd="0" x="11193"/>
        <item sd="0" x="11194"/>
        <item sd="0" x="11195"/>
        <item sd="0" x="11196"/>
        <item sd="0" x="11197"/>
        <item sd="0" x="11198"/>
        <item sd="0" x="11199"/>
        <item sd="0" x="11200"/>
        <item sd="0" x="11201"/>
        <item sd="0" x="11202"/>
        <item sd="0" x="11203"/>
        <item sd="0" x="11204"/>
        <item sd="0" x="11205"/>
        <item sd="0" x="11206"/>
        <item sd="0" x="11207"/>
        <item sd="0" x="11208"/>
        <item sd="0" x="11209"/>
        <item sd="0" x="11210"/>
        <item sd="0" x="11211"/>
        <item sd="0" x="11212"/>
        <item sd="0" x="11213"/>
        <item sd="0" x="11214"/>
        <item sd="0" x="11215"/>
        <item sd="0" x="11216"/>
        <item sd="0" x="11217"/>
        <item sd="0" x="11218"/>
        <item sd="0" x="11219"/>
        <item sd="0" x="11220"/>
        <item sd="0" x="11221"/>
        <item sd="0" x="11222"/>
        <item sd="0" x="11223"/>
        <item sd="0" x="11224"/>
        <item sd="0" x="11225"/>
        <item sd="0" x="11226"/>
        <item sd="0" x="11227"/>
        <item sd="0" x="11228"/>
        <item sd="0" x="11229"/>
        <item sd="0" x="11230"/>
        <item sd="0" x="11231"/>
        <item sd="0" x="11232"/>
        <item sd="0" x="11233"/>
        <item sd="0" x="11234"/>
        <item sd="0" x="11235"/>
        <item sd="0" x="11236"/>
        <item sd="0" x="11237"/>
        <item sd="0" x="11238"/>
        <item sd="0" x="11239"/>
        <item sd="0" x="11240"/>
        <item sd="0" x="11241"/>
        <item sd="0" x="11242"/>
        <item sd="0" x="11243"/>
        <item sd="0" x="11244"/>
        <item sd="0" x="11245"/>
        <item sd="0" x="11246"/>
        <item sd="0" x="11247"/>
        <item sd="0" x="11248"/>
        <item sd="0" x="11249"/>
        <item sd="0" x="11250"/>
        <item sd="0" x="11251"/>
        <item sd="0" x="11252"/>
        <item sd="0" x="11253"/>
        <item sd="0" x="11254"/>
        <item sd="0" x="11255"/>
        <item sd="0" x="11256"/>
        <item sd="0" x="11257"/>
        <item sd="0" x="11258"/>
        <item sd="0" x="11259"/>
        <item sd="0" x="11260"/>
        <item sd="0" x="11261"/>
        <item sd="0" x="11262"/>
        <item sd="0" x="11263"/>
        <item sd="0" x="11264"/>
        <item sd="0" x="11265"/>
        <item sd="0" x="11266"/>
        <item sd="0" x="11267"/>
        <item sd="0" x="11268"/>
        <item sd="0" x="11269"/>
        <item sd="0" x="11270"/>
        <item sd="0" x="11271"/>
        <item sd="0" x="11272"/>
        <item sd="0" x="11273"/>
        <item sd="0" x="11274"/>
        <item sd="0" x="11275"/>
        <item sd="0" x="11276"/>
        <item sd="0" x="11277"/>
        <item sd="0" x="11278"/>
        <item sd="0" x="11279"/>
        <item sd="0" x="11280"/>
        <item sd="0" x="11281"/>
        <item sd="0" x="11282"/>
        <item sd="0" x="11283"/>
        <item sd="0" x="11284"/>
        <item sd="0" x="11285"/>
        <item sd="0" x="11286"/>
        <item sd="0" x="11287"/>
        <item sd="0" x="11288"/>
        <item sd="0" x="11289"/>
        <item sd="0" x="11290"/>
        <item sd="0" x="11291"/>
        <item sd="0" x="11292"/>
        <item sd="0" x="11293"/>
        <item sd="0" x="11294"/>
        <item sd="0" x="11295"/>
        <item sd="0" x="11296"/>
        <item sd="0" x="11297"/>
        <item sd="0" x="11298"/>
        <item sd="0" x="11299"/>
        <item sd="0" x="11300"/>
        <item sd="0" x="11301"/>
        <item sd="0" x="11302"/>
        <item sd="0" x="11303"/>
        <item sd="0" x="11304"/>
        <item sd="0" x="11305"/>
        <item sd="0" x="11306"/>
        <item sd="0" x="11307"/>
        <item sd="0" x="11308"/>
        <item sd="0" x="11309"/>
        <item sd="0" x="11310"/>
        <item sd="0" x="11311"/>
        <item sd="0" x="11312"/>
        <item sd="0" x="11313"/>
        <item sd="0" x="11314"/>
        <item sd="0" x="11315"/>
        <item sd="0" x="11316"/>
        <item sd="0" x="11317"/>
        <item sd="0" x="11318"/>
        <item sd="0" x="11319"/>
        <item sd="0" x="11320"/>
        <item sd="0" x="11321"/>
        <item sd="0" x="11322"/>
        <item sd="0" x="11323"/>
        <item sd="0" x="11324"/>
        <item sd="0" x="11325"/>
        <item sd="0" x="11326"/>
        <item sd="0" x="11327"/>
        <item sd="0" x="11328"/>
        <item sd="0" x="11329"/>
        <item sd="0" x="11330"/>
        <item sd="0" x="11331"/>
        <item sd="0" x="11332"/>
        <item sd="0" x="11333"/>
        <item sd="0" x="11334"/>
        <item sd="0" x="11335"/>
        <item sd="0" x="11336"/>
        <item sd="0" x="11337"/>
        <item sd="0" x="11338"/>
        <item sd="0" x="11339"/>
        <item sd="0" x="11340"/>
        <item sd="0" x="11341"/>
        <item sd="0" x="11342"/>
        <item sd="0" x="11343"/>
        <item sd="0" x="11344"/>
        <item sd="0" x="11345"/>
        <item sd="0" x="11346"/>
        <item sd="0" x="11347"/>
        <item sd="0" x="11348"/>
        <item sd="0" x="11349"/>
        <item sd="0" x="11350"/>
        <item sd="0" x="11351"/>
        <item sd="0" x="11352"/>
        <item sd="0" x="11353"/>
        <item sd="0" x="11354"/>
        <item sd="0" x="11355"/>
        <item sd="0" x="11356"/>
        <item sd="0" x="11357"/>
        <item sd="0" x="11358"/>
        <item sd="0" x="11359"/>
        <item sd="0" x="11360"/>
        <item sd="0" x="11361"/>
        <item sd="0" x="11362"/>
        <item sd="0" x="11363"/>
        <item sd="0" x="11364"/>
        <item sd="0" x="11365"/>
        <item sd="0" x="11366"/>
        <item sd="0" x="11367"/>
        <item sd="0" x="11368"/>
        <item sd="0" x="11369"/>
        <item sd="0" x="11370"/>
        <item sd="0" x="11371"/>
        <item sd="0" x="11372"/>
        <item sd="0" x="11373"/>
        <item sd="0" x="11374"/>
        <item sd="0" x="11375"/>
        <item sd="0" x="11376"/>
        <item sd="0" x="11377"/>
        <item sd="0" x="11378"/>
        <item sd="0" x="11379"/>
        <item sd="0" x="11380"/>
        <item sd="0" x="11381"/>
        <item sd="0" x="11382"/>
        <item sd="0" x="11383"/>
        <item sd="0" x="11384"/>
        <item sd="0" x="11385"/>
        <item sd="0" x="11386"/>
        <item sd="0" x="11387"/>
        <item sd="0" x="11388"/>
        <item sd="0" x="11389"/>
        <item sd="0" x="11390"/>
        <item sd="0" x="11391"/>
        <item sd="0" x="11392"/>
        <item sd="0" x="11393"/>
        <item sd="0" x="11394"/>
        <item sd="0" x="11395"/>
        <item sd="0" x="11396"/>
        <item sd="0" x="11397"/>
        <item sd="0" x="11398"/>
        <item sd="0" x="11399"/>
        <item sd="0" x="11400"/>
        <item sd="0" x="11401"/>
        <item sd="0" x="11402"/>
        <item sd="0" x="11403"/>
        <item sd="0" x="11404"/>
        <item sd="0" x="11405"/>
        <item sd="0" x="11406"/>
        <item sd="0" x="11407"/>
        <item sd="0" x="11408"/>
        <item sd="0" x="11409"/>
        <item sd="0" x="11410"/>
        <item sd="0" x="11411"/>
        <item sd="0" x="11412"/>
        <item sd="0" x="11413"/>
        <item sd="0" x="11414"/>
        <item sd="0" x="11415"/>
        <item sd="0" x="11416"/>
        <item sd="0" x="11417"/>
        <item sd="0" x="11418"/>
        <item sd="0" x="11419"/>
        <item sd="0" x="11420"/>
        <item sd="0" x="11421"/>
        <item sd="0" x="11422"/>
        <item sd="0" x="11423"/>
        <item sd="0" x="11424"/>
        <item sd="0" x="11425"/>
        <item sd="0" x="11426"/>
        <item sd="0" x="11427"/>
        <item sd="0" x="11428"/>
        <item sd="0" x="11429"/>
        <item sd="0" x="11430"/>
        <item sd="0" x="11431"/>
        <item sd="0" x="11432"/>
        <item sd="0" x="11433"/>
        <item sd="0" x="11434"/>
        <item sd="0" x="11435"/>
        <item sd="0" x="11436"/>
        <item sd="0" x="11437"/>
        <item sd="0" x="11438"/>
        <item sd="0" x="11439"/>
        <item sd="0" x="11440"/>
        <item sd="0" x="11441"/>
        <item sd="0" x="11442"/>
        <item sd="0" x="11443"/>
        <item sd="0" x="11444"/>
        <item sd="0" x="11445"/>
        <item sd="0" x="11446"/>
        <item sd="0" x="11447"/>
        <item sd="0" x="11448"/>
        <item sd="0" x="11449"/>
        <item sd="0" x="11450"/>
        <item sd="0" x="11451"/>
        <item sd="0" x="11452"/>
        <item sd="0" x="11453"/>
        <item sd="0" x="11454"/>
        <item sd="0" x="11455"/>
        <item sd="0" x="11456"/>
        <item sd="0" x="11457"/>
        <item sd="0" x="11458"/>
        <item sd="0" x="11459"/>
        <item sd="0" x="11460"/>
        <item sd="0" x="11461"/>
        <item sd="0" x="11462"/>
        <item sd="0" x="11463"/>
        <item sd="0" x="11464"/>
        <item sd="0" x="11465"/>
        <item sd="0" x="11466"/>
        <item sd="0" x="11467"/>
        <item sd="0" x="11468"/>
        <item sd="0" x="11469"/>
        <item sd="0" x="11470"/>
        <item sd="0" x="11471"/>
        <item sd="0" x="11472"/>
        <item sd="0" x="11473"/>
        <item sd="0" x="11474"/>
        <item sd="0" x="11475"/>
        <item sd="0" x="11476"/>
        <item sd="0" x="11477"/>
        <item sd="0" x="11478"/>
        <item sd="0" x="11479"/>
        <item sd="0" x="11480"/>
        <item sd="0" x="11481"/>
        <item sd="0" x="11482"/>
        <item sd="0" x="11483"/>
        <item sd="0" x="11484"/>
        <item sd="0" x="11485"/>
        <item sd="0" x="11486"/>
        <item sd="0" x="11487"/>
        <item sd="0" x="11488"/>
        <item sd="0" x="11489"/>
        <item sd="0" x="11490"/>
        <item sd="0" x="11491"/>
        <item sd="0" x="11492"/>
        <item sd="0" x="11493"/>
        <item sd="0" x="11494"/>
        <item sd="0" x="11495"/>
        <item sd="0" x="11496"/>
        <item sd="0" x="11497"/>
        <item sd="0" x="11498"/>
        <item sd="0" x="11499"/>
        <item sd="0" x="11500"/>
        <item sd="0" x="11501"/>
        <item sd="0" x="11502"/>
        <item sd="0" x="11503"/>
        <item sd="0" x="11504"/>
        <item sd="0" x="11505"/>
        <item sd="0" x="11506"/>
        <item sd="0" x="11507"/>
        <item sd="0" x="11508"/>
        <item sd="0" x="11509"/>
        <item sd="0" x="11510"/>
        <item sd="0" x="11511"/>
        <item sd="0" x="11512"/>
        <item sd="0" x="11513"/>
        <item sd="0" x="11514"/>
        <item sd="0" x="11515"/>
        <item sd="0" x="11516"/>
        <item sd="0" x="11517"/>
        <item sd="0" x="11518"/>
        <item sd="0" x="11519"/>
        <item sd="0" x="11520"/>
        <item sd="0" x="11521"/>
        <item sd="0" x="11522"/>
        <item sd="0" x="11523"/>
        <item sd="0" x="11524"/>
        <item sd="0" x="11525"/>
        <item sd="0" x="11526"/>
        <item sd="0" x="11527"/>
        <item sd="0" x="11528"/>
        <item sd="0" x="11529"/>
        <item sd="0" x="11530"/>
        <item sd="0" x="11531"/>
        <item sd="0" x="11532"/>
        <item sd="0" x="11533"/>
        <item sd="0" x="11534"/>
        <item sd="0" x="11535"/>
        <item sd="0" x="11536"/>
        <item sd="0" x="11537"/>
        <item sd="0" x="11538"/>
        <item sd="0" x="11539"/>
        <item sd="0" x="11540"/>
        <item sd="0" x="11541"/>
        <item sd="0" x="11542"/>
        <item sd="0" x="11543"/>
        <item sd="0" x="11544"/>
        <item sd="0" x="11545"/>
        <item sd="0" x="11546"/>
        <item sd="0" x="11547"/>
        <item sd="0" x="11548"/>
        <item sd="0" x="11549"/>
        <item sd="0" x="11550"/>
        <item sd="0" x="11551"/>
        <item sd="0" x="11552"/>
        <item sd="0" x="11553"/>
        <item sd="0" x="11554"/>
        <item sd="0" x="11555"/>
        <item sd="0" x="11556"/>
        <item sd="0" x="11557"/>
        <item sd="0" x="11558"/>
        <item sd="0" x="11559"/>
        <item sd="0" x="11560"/>
        <item sd="0" x="11561"/>
        <item sd="0" x="11562"/>
        <item sd="0" x="11563"/>
        <item sd="0" x="11564"/>
        <item sd="0" x="11565"/>
        <item sd="0" x="11566"/>
        <item sd="0" x="11567"/>
        <item sd="0" x="11568"/>
        <item sd="0" x="11569"/>
        <item sd="0" x="11570"/>
        <item sd="0" x="11571"/>
        <item sd="0" x="11572"/>
        <item sd="0" x="11573"/>
        <item sd="0" x="11574"/>
        <item sd="0" x="11575"/>
        <item sd="0" x="11576"/>
        <item sd="0" x="11577"/>
        <item sd="0" x="11578"/>
        <item sd="0" x="11579"/>
        <item sd="0" x="11580"/>
        <item sd="0" x="11581"/>
        <item sd="0" x="11582"/>
        <item sd="0" x="11583"/>
        <item sd="0" x="11584"/>
        <item sd="0" x="11585"/>
        <item sd="0" x="11586"/>
        <item sd="0" x="11587"/>
        <item sd="0" x="11588"/>
        <item sd="0" x="11589"/>
        <item sd="0" x="11590"/>
        <item sd="0" x="11591"/>
        <item sd="0" x="11592"/>
        <item sd="0" x="11593"/>
        <item sd="0" x="11594"/>
        <item sd="0" x="11595"/>
        <item sd="0" x="11596"/>
        <item sd="0" x="11597"/>
        <item sd="0" x="11598"/>
        <item sd="0" x="11599"/>
        <item sd="0" x="11600"/>
        <item sd="0" x="11601"/>
        <item sd="0" x="11602"/>
        <item sd="0" x="11603"/>
        <item sd="0" x="11604"/>
        <item sd="0" x="11605"/>
        <item sd="0" x="11606"/>
        <item sd="0" x="11607"/>
        <item sd="0" x="11608"/>
        <item sd="0" x="11609"/>
        <item sd="0" x="11610"/>
        <item sd="0" x="11611"/>
        <item sd="0" x="11612"/>
        <item sd="0" x="11613"/>
        <item sd="0" x="11614"/>
        <item sd="0" x="11615"/>
        <item sd="0" x="11616"/>
        <item sd="0" x="11617"/>
        <item sd="0" x="11618"/>
        <item sd="0" x="11619"/>
        <item sd="0" x="11620"/>
        <item sd="0" x="11621"/>
        <item sd="0" x="11622"/>
        <item sd="0" x="11623"/>
        <item sd="0" x="11624"/>
        <item sd="0" x="11625"/>
        <item sd="0" x="11626"/>
        <item sd="0" x="11627"/>
        <item sd="0" x="11628"/>
        <item sd="0" x="11629"/>
        <item sd="0" x="11630"/>
        <item sd="0" x="11631"/>
        <item sd="0" x="11632"/>
        <item sd="0" x="11633"/>
        <item sd="0" x="11634"/>
        <item sd="0" x="11635"/>
        <item sd="0" x="11636"/>
        <item sd="0" x="11637"/>
        <item sd="0" x="11638"/>
        <item sd="0" x="11639"/>
        <item sd="0" x="11640"/>
        <item sd="0" x="11641"/>
        <item sd="0" x="11642"/>
        <item sd="0" x="11643"/>
        <item sd="0" x="11644"/>
        <item sd="0" x="11645"/>
        <item sd="0" x="11646"/>
        <item sd="0" x="11647"/>
        <item sd="0" x="11648"/>
        <item sd="0" x="11649"/>
        <item sd="0" x="11650"/>
        <item sd="0" x="11651"/>
        <item sd="0" x="11652"/>
        <item sd="0" x="11653"/>
        <item sd="0" x="11654"/>
        <item sd="0" x="11655"/>
        <item sd="0" x="11656"/>
        <item sd="0" x="11657"/>
        <item sd="0" x="11658"/>
        <item sd="0" x="11659"/>
        <item sd="0" x="11660"/>
        <item sd="0" x="11661"/>
        <item sd="0" x="11662"/>
        <item sd="0" x="11663"/>
        <item sd="0" x="11664"/>
        <item sd="0" x="11665"/>
        <item sd="0" x="11666"/>
        <item sd="0" x="11667"/>
        <item sd="0" x="11668"/>
        <item sd="0" x="11669"/>
        <item sd="0" x="11670"/>
        <item sd="0" x="11671"/>
        <item sd="0" x="11672"/>
        <item sd="0" x="11673"/>
        <item sd="0" x="11674"/>
        <item sd="0" x="11675"/>
        <item sd="0" x="11676"/>
        <item sd="0" x="11677"/>
        <item sd="0" x="11678"/>
        <item sd="0" x="11679"/>
        <item sd="0" x="11680"/>
        <item sd="0" x="11681"/>
        <item sd="0" x="11682"/>
        <item sd="0" x="11683"/>
        <item sd="0" x="11684"/>
        <item sd="0" x="11685"/>
        <item sd="0" x="11686"/>
        <item sd="0" x="11687"/>
        <item sd="0" x="11688"/>
        <item sd="0" x="11689"/>
        <item sd="0" x="11690"/>
        <item sd="0" x="11691"/>
        <item sd="0" x="11692"/>
        <item sd="0" x="11693"/>
        <item sd="0" x="11694"/>
        <item sd="0" x="11695"/>
        <item sd="0" x="11696"/>
        <item sd="0" x="11697"/>
        <item sd="0" x="11698"/>
        <item sd="0" x="11699"/>
        <item sd="0" x="11700"/>
        <item sd="0" x="11701"/>
        <item sd="0" x="11702"/>
        <item sd="0" x="11703"/>
        <item sd="0" x="11704"/>
        <item sd="0" x="11705"/>
        <item sd="0" x="11706"/>
        <item sd="0" x="11707"/>
        <item sd="0" x="11708"/>
        <item sd="0" x="11709"/>
        <item sd="0" x="11710"/>
        <item sd="0" x="11711"/>
        <item sd="0" x="11712"/>
        <item sd="0" x="11713"/>
        <item sd="0" x="11714"/>
        <item sd="0" x="11715"/>
        <item sd="0" x="11716"/>
        <item sd="0" x="11717"/>
        <item sd="0" x="11718"/>
        <item sd="0" x="11719"/>
        <item sd="0" x="11720"/>
        <item sd="0" x="11721"/>
        <item sd="0" x="11722"/>
        <item sd="0" x="11723"/>
        <item sd="0" x="11724"/>
        <item sd="0" x="11725"/>
        <item sd="0" x="11726"/>
        <item sd="0" x="11727"/>
        <item sd="0" x="11728"/>
        <item sd="0" x="11729"/>
        <item sd="0" x="11730"/>
        <item sd="0" x="11731"/>
        <item sd="0" x="11732"/>
        <item sd="0" x="11733"/>
        <item sd="0" x="11734"/>
        <item sd="0" x="11735"/>
        <item sd="0" x="11736"/>
        <item sd="0" x="11737"/>
        <item sd="0" x="11738"/>
        <item sd="0" x="11739"/>
        <item sd="0" x="11740"/>
        <item sd="0" x="11741"/>
        <item sd="0" x="11742"/>
        <item sd="0" x="11743"/>
        <item sd="0" x="11744"/>
        <item sd="0" x="11745"/>
        <item sd="0" x="11746"/>
        <item sd="0" x="11747"/>
        <item sd="0" x="11748"/>
        <item sd="0" x="11749"/>
        <item sd="0" x="11750"/>
        <item sd="0" x="11751"/>
        <item sd="0" x="11752"/>
        <item sd="0" x="11753"/>
        <item sd="0" x="11754"/>
        <item sd="0" x="11755"/>
        <item sd="0" x="11756"/>
        <item sd="0" x="11757"/>
        <item sd="0" x="11758"/>
        <item sd="0" x="11759"/>
        <item sd="0" x="11760"/>
        <item sd="0" x="11761"/>
        <item sd="0" x="11762"/>
        <item sd="0" x="11763"/>
        <item sd="0" x="11764"/>
        <item sd="0" x="11765"/>
        <item sd="0" x="11766"/>
        <item sd="0" x="11767"/>
        <item sd="0" x="11768"/>
        <item sd="0" x="11769"/>
        <item sd="0" x="11770"/>
        <item sd="0" x="11771"/>
        <item sd="0" x="11772"/>
        <item sd="0" x="11773"/>
        <item sd="0" x="11774"/>
        <item sd="0" x="11775"/>
        <item sd="0" x="11776"/>
        <item sd="0" x="11777"/>
        <item sd="0" x="11778"/>
        <item sd="0" x="11779"/>
        <item sd="0" x="11780"/>
        <item sd="0" x="11781"/>
        <item sd="0" x="11782"/>
        <item sd="0" x="11783"/>
        <item sd="0" x="11784"/>
        <item sd="0" x="11785"/>
        <item sd="0" x="11786"/>
        <item sd="0" x="11787"/>
        <item sd="0" x="11788"/>
        <item sd="0" x="11789"/>
        <item sd="0" x="11790"/>
        <item sd="0" x="11791"/>
        <item sd="0" x="11792"/>
        <item sd="0" x="11793"/>
        <item sd="0" x="11794"/>
        <item sd="0" x="11795"/>
        <item sd="0" x="11796"/>
        <item sd="0" x="11797"/>
        <item sd="0" x="11798"/>
        <item sd="0" x="11799"/>
        <item sd="0" x="11800"/>
        <item sd="0" x="11801"/>
        <item sd="0" x="11802"/>
        <item sd="0" x="11803"/>
        <item sd="0" x="11804"/>
        <item sd="0" x="11805"/>
        <item sd="0" x="11806"/>
        <item sd="0" x="11807"/>
        <item sd="0" x="11808"/>
        <item sd="0" x="11809"/>
        <item sd="0" x="11810"/>
        <item sd="0" x="11811"/>
        <item sd="0" x="11812"/>
        <item sd="0" x="11813"/>
        <item sd="0" x="11814"/>
        <item sd="0" x="11815"/>
        <item sd="0" x="11816"/>
        <item sd="0" x="11817"/>
        <item sd="0" x="11818"/>
        <item sd="0" x="11819"/>
        <item sd="0" x="11820"/>
        <item sd="0" x="11821"/>
        <item sd="0" x="11822"/>
        <item sd="0" x="11823"/>
        <item sd="0" x="11824"/>
        <item sd="0" x="11825"/>
        <item sd="0" x="11826"/>
        <item sd="0" x="11827"/>
        <item sd="0" x="11828"/>
        <item sd="0" x="11829"/>
        <item sd="0" x="11830"/>
        <item sd="0" x="11831"/>
        <item sd="0" x="11832"/>
        <item sd="0" x="11833"/>
        <item sd="0" x="11834"/>
        <item sd="0" x="11835"/>
        <item sd="0" x="11836"/>
        <item sd="0" x="11837"/>
        <item sd="0" x="11838"/>
        <item sd="0" x="11839"/>
        <item sd="0" x="11840"/>
        <item sd="0" x="11841"/>
        <item sd="0" x="11842"/>
        <item sd="0" x="11843"/>
        <item sd="0" x="11844"/>
        <item sd="0" x="11845"/>
        <item sd="0" x="11846"/>
        <item sd="0" x="11847"/>
        <item sd="0" x="11848"/>
        <item sd="0" x="11849"/>
        <item sd="0" x="11850"/>
        <item sd="0" x="11851"/>
        <item sd="0" x="11852"/>
        <item sd="0" x="11853"/>
        <item sd="0" x="11854"/>
        <item sd="0" x="11855"/>
        <item sd="0" x="11856"/>
        <item sd="0" x="11857"/>
        <item sd="0" x="11858"/>
        <item sd="0" x="11859"/>
        <item sd="0" x="11860"/>
        <item sd="0" x="11861"/>
        <item sd="0" x="11862"/>
        <item sd="0" x="11863"/>
        <item sd="0" x="11864"/>
        <item sd="0" x="11865"/>
        <item sd="0" x="11866"/>
        <item sd="0" x="11867"/>
        <item sd="0" x="11868"/>
        <item sd="0" x="11869"/>
        <item sd="0" x="11870"/>
        <item sd="0" x="11871"/>
        <item sd="0" x="11872"/>
        <item sd="0" x="11873"/>
        <item sd="0" x="11874"/>
        <item sd="0" x="11875"/>
        <item sd="0" x="11876"/>
        <item sd="0" x="11877"/>
        <item sd="0" x="11878"/>
        <item sd="0" x="11879"/>
        <item sd="0" x="11880"/>
        <item sd="0" x="11881"/>
        <item sd="0" x="11882"/>
        <item sd="0" x="11883"/>
        <item sd="0" x="11884"/>
        <item sd="0" x="11885"/>
        <item sd="0" x="11886"/>
        <item sd="0" x="11887"/>
        <item sd="0" x="11888"/>
        <item sd="0" x="11889"/>
        <item sd="0" x="11890"/>
        <item sd="0" x="11891"/>
        <item sd="0" x="11892"/>
        <item sd="0" x="11893"/>
        <item sd="0" x="11894"/>
        <item sd="0" x="11895"/>
        <item sd="0" x="11896"/>
        <item sd="0" x="11897"/>
        <item sd="0" x="11898"/>
        <item sd="0" x="11899"/>
        <item sd="0" x="11900"/>
        <item sd="0" x="11901"/>
        <item sd="0" x="11902"/>
        <item sd="0" x="11903"/>
        <item sd="0" x="11904"/>
        <item sd="0" x="11905"/>
        <item sd="0" x="11906"/>
        <item sd="0" x="11907"/>
        <item sd="0" x="11908"/>
        <item sd="0" x="11909"/>
        <item sd="0" x="11910"/>
        <item sd="0" x="11911"/>
        <item sd="0" x="11912"/>
        <item sd="0" x="11913"/>
        <item sd="0" x="11914"/>
        <item sd="0" x="11915"/>
        <item sd="0" x="11916"/>
        <item sd="0" x="11917"/>
        <item sd="0" x="11918"/>
        <item sd="0" x="11919"/>
        <item sd="0" x="11920"/>
        <item sd="0" x="11921"/>
        <item sd="0" x="11922"/>
        <item sd="0" x="11923"/>
        <item sd="0" x="11924"/>
        <item sd="0" x="11925"/>
        <item sd="0" x="11926"/>
        <item sd="0" x="11927"/>
        <item sd="0" x="11928"/>
        <item sd="0" x="11929"/>
        <item sd="0" x="11930"/>
        <item sd="0" x="11931"/>
        <item sd="0" x="11932"/>
        <item sd="0" x="11933"/>
        <item sd="0" x="11934"/>
        <item sd="0" x="11935"/>
        <item sd="0" x="11936"/>
        <item sd="0" x="11937"/>
        <item sd="0" x="11938"/>
        <item sd="0" x="11939"/>
        <item sd="0" x="11940"/>
        <item sd="0" x="11941"/>
        <item sd="0" x="11942"/>
        <item sd="0" x="11943"/>
        <item sd="0" x="11944"/>
        <item sd="0" x="11945"/>
        <item sd="0" x="11946"/>
        <item sd="0" x="11947"/>
        <item sd="0" x="11948"/>
        <item sd="0" x="11949"/>
        <item sd="0" x="11950"/>
        <item sd="0" x="11951"/>
        <item sd="0" x="11952"/>
        <item sd="0" x="11953"/>
        <item sd="0" x="11954"/>
        <item sd="0" x="11955"/>
        <item sd="0" x="11956"/>
        <item sd="0" x="11957"/>
        <item sd="0" x="11958"/>
        <item sd="0" x="11959"/>
        <item sd="0" x="11960"/>
        <item sd="0" x="11961"/>
        <item sd="0" x="11962"/>
        <item sd="0" x="11963"/>
        <item sd="0" x="11964"/>
        <item sd="0" x="11965"/>
        <item sd="0" x="11966"/>
        <item sd="0" x="11967"/>
        <item sd="0" x="11968"/>
        <item sd="0" x="11969"/>
        <item sd="0" x="11970"/>
        <item sd="0" x="11971"/>
        <item sd="0" x="11972"/>
        <item sd="0" x="11973"/>
        <item sd="0" x="11974"/>
        <item sd="0" x="11975"/>
        <item sd="0" x="11976"/>
        <item sd="0" x="11977"/>
        <item sd="0" x="11978"/>
        <item sd="0" x="11979"/>
        <item sd="0" x="11980"/>
        <item sd="0" x="11981"/>
        <item sd="0" x="11982"/>
        <item sd="0" x="11983"/>
        <item sd="0" x="11984"/>
        <item sd="0" x="11985"/>
        <item sd="0" x="11986"/>
        <item sd="0" x="11987"/>
        <item sd="0" x="11988"/>
        <item sd="0" x="11989"/>
        <item sd="0" x="11990"/>
        <item sd="0" x="11991"/>
        <item sd="0" x="11992"/>
        <item sd="0" x="11993"/>
        <item sd="0" x="11994"/>
        <item sd="0" x="11995"/>
        <item sd="0" x="11996"/>
        <item sd="0" x="11997"/>
        <item sd="0" x="11998"/>
        <item sd="0" x="11999"/>
        <item sd="0" x="12000"/>
        <item sd="0" x="12001"/>
        <item sd="0" x="12002"/>
        <item sd="0" x="12003"/>
        <item sd="0" x="12004"/>
        <item sd="0" x="12005"/>
        <item sd="0" x="12006"/>
        <item sd="0" x="12007"/>
        <item sd="0" x="12008"/>
        <item sd="0" x="12009"/>
        <item sd="0" x="12010"/>
        <item sd="0" x="12011"/>
        <item sd="0" x="12012"/>
        <item sd="0" x="12013"/>
        <item sd="0" x="12014"/>
        <item sd="0" x="12015"/>
        <item sd="0" x="12016"/>
        <item sd="0" x="12017"/>
        <item sd="0" x="12018"/>
        <item sd="0" x="12019"/>
        <item sd="0" x="12020"/>
        <item sd="0" x="12021"/>
        <item sd="0" x="12022"/>
        <item sd="0" x="12023"/>
        <item sd="0" x="12024"/>
        <item sd="0" x="12025"/>
        <item sd="0" x="12026"/>
        <item sd="0" x="12027"/>
        <item sd="0" x="12028"/>
        <item sd="0" x="12029"/>
        <item sd="0" x="12030"/>
        <item sd="0" x="12031"/>
        <item sd="0" x="12032"/>
        <item sd="0" x="12033"/>
        <item sd="0" x="12034"/>
        <item sd="0" x="12035"/>
        <item sd="0" x="12036"/>
        <item sd="0" x="12037"/>
        <item sd="0" x="12038"/>
        <item sd="0" x="12039"/>
        <item sd="0" x="12040"/>
        <item sd="0" x="12041"/>
        <item sd="0" x="12042"/>
        <item sd="0" x="12043"/>
        <item sd="0" x="12044"/>
        <item sd="0" x="12045"/>
        <item sd="0" x="12046"/>
        <item sd="0" x="12047"/>
        <item sd="0" x="12048"/>
        <item sd="0" x="12049"/>
        <item sd="0" x="12050"/>
        <item sd="0" x="12051"/>
        <item sd="0" x="12052"/>
        <item sd="0" x="12053"/>
        <item sd="0" x="12054"/>
        <item sd="0" x="12055"/>
        <item sd="0" x="12056"/>
        <item sd="0" x="12057"/>
        <item sd="0" x="12058"/>
        <item sd="0" x="12059"/>
        <item sd="0" x="12060"/>
        <item sd="0" x="12061"/>
        <item sd="0" x="12062"/>
        <item sd="0" x="12063"/>
        <item sd="0" x="12064"/>
        <item sd="0" x="12065"/>
        <item sd="0" x="12066"/>
        <item sd="0" x="12067"/>
        <item sd="0" x="12068"/>
        <item sd="0" x="12069"/>
        <item sd="0" x="12070"/>
        <item sd="0" x="12071"/>
        <item sd="0" x="12072"/>
        <item sd="0" x="12073"/>
        <item sd="0" x="12074"/>
        <item sd="0" x="12075"/>
        <item sd="0" x="12076"/>
        <item sd="0" x="12077"/>
        <item sd="0" x="12078"/>
        <item sd="0" x="12079"/>
        <item sd="0" x="12080"/>
        <item sd="0" x="12081"/>
        <item sd="0" x="12082"/>
        <item sd="0" x="12083"/>
        <item sd="0" x="12084"/>
        <item sd="0" x="12085"/>
        <item sd="0" x="12086"/>
        <item sd="0" x="12087"/>
        <item sd="0" x="12088"/>
        <item sd="0" x="12089"/>
        <item sd="0" x="12090"/>
        <item sd="0" x="12091"/>
        <item sd="0" x="12092"/>
        <item sd="0" x="12093"/>
        <item sd="0" x="12094"/>
        <item sd="0" x="12095"/>
        <item sd="0" x="12096"/>
        <item sd="0" x="12097"/>
        <item sd="0" x="12098"/>
        <item sd="0" x="12099"/>
        <item sd="0" x="12100"/>
        <item sd="0" x="12101"/>
        <item sd="0" x="12102"/>
        <item sd="0" x="12103"/>
        <item sd="0" x="12104"/>
        <item sd="0" x="12105"/>
        <item sd="0" x="12106"/>
        <item sd="0" x="12107"/>
        <item sd="0" x="12108"/>
        <item sd="0" x="12109"/>
        <item sd="0" x="12110"/>
        <item sd="0" x="12111"/>
        <item sd="0" x="12112"/>
        <item sd="0" x="12113"/>
        <item sd="0" x="12114"/>
        <item sd="0" x="12115"/>
        <item sd="0" x="12116"/>
        <item sd="0" x="12117"/>
        <item sd="0" x="12118"/>
        <item sd="0" x="12119"/>
        <item sd="0" x="12120"/>
        <item sd="0" x="12121"/>
        <item sd="0" x="12122"/>
        <item sd="0" x="12123"/>
        <item sd="0" x="12124"/>
        <item sd="0" x="12125"/>
        <item sd="0" x="12126"/>
        <item sd="0" x="12127"/>
        <item sd="0" x="12128"/>
        <item sd="0" x="12129"/>
        <item sd="0" x="12130"/>
        <item sd="0" x="12131"/>
        <item sd="0" x="12132"/>
        <item sd="0" x="12133"/>
        <item sd="0" x="12134"/>
        <item sd="0" x="12135"/>
        <item sd="0" x="12136"/>
        <item sd="0" x="12137"/>
        <item sd="0" x="12138"/>
        <item sd="0" x="12139"/>
        <item sd="0" x="12140"/>
        <item sd="0" x="12141"/>
        <item sd="0" x="12142"/>
        <item sd="0" x="12143"/>
        <item sd="0" x="12144"/>
        <item sd="0" x="12145"/>
        <item sd="0" x="12146"/>
        <item sd="0" x="12147"/>
        <item sd="0" x="12148"/>
        <item sd="0" x="12149"/>
        <item sd="0" x="12150"/>
        <item sd="0" x="12151"/>
        <item sd="0" x="12152"/>
        <item sd="0" x="12153"/>
        <item sd="0" x="12154"/>
        <item sd="0" x="12155"/>
        <item sd="0" x="12156"/>
        <item sd="0" x="12157"/>
        <item sd="0" x="12158"/>
        <item sd="0" x="12159"/>
        <item sd="0" x="12160"/>
        <item sd="0" x="12161"/>
        <item sd="0" x="12162"/>
        <item sd="0" x="12163"/>
        <item sd="0" x="12164"/>
        <item sd="0" x="12165"/>
        <item sd="0" x="12166"/>
        <item sd="0" x="12167"/>
        <item sd="0" x="12168"/>
        <item sd="0" x="12169"/>
        <item sd="0" x="12170"/>
        <item sd="0" x="12171"/>
        <item sd="0" x="12172"/>
        <item sd="0" x="12173"/>
        <item sd="0" x="12174"/>
        <item sd="0" x="12175"/>
        <item sd="0" x="12176"/>
        <item sd="0" x="12177"/>
        <item sd="0" x="12178"/>
        <item sd="0" x="12179"/>
        <item sd="0" x="12180"/>
        <item sd="0" x="12181"/>
        <item sd="0" x="12182"/>
        <item sd="0" x="12183"/>
        <item sd="0" x="12184"/>
        <item sd="0" x="12185"/>
        <item sd="0" x="12186"/>
        <item sd="0" x="12187"/>
        <item sd="0" x="12188"/>
        <item sd="0" x="12189"/>
        <item sd="0" x="12190"/>
        <item sd="0" x="12191"/>
        <item sd="0" x="12192"/>
        <item sd="0" x="12193"/>
        <item sd="0" x="12194"/>
        <item sd="0" x="12195"/>
        <item sd="0" x="12196"/>
        <item sd="0" x="12197"/>
        <item sd="0" x="12198"/>
        <item sd="0" x="12199"/>
        <item sd="0" x="12200"/>
        <item sd="0" x="12201"/>
        <item sd="0" x="12202"/>
        <item sd="0" x="12203"/>
        <item sd="0" x="12204"/>
        <item sd="0" x="12205"/>
        <item sd="0" x="12206"/>
        <item sd="0" x="12207"/>
        <item sd="0" x="12208"/>
        <item sd="0" x="12209"/>
        <item sd="0" x="12210"/>
        <item sd="0" x="12211"/>
        <item sd="0" x="12212"/>
        <item sd="0" x="12213"/>
        <item sd="0" x="12214"/>
        <item sd="0" x="12215"/>
        <item sd="0" x="12216"/>
        <item sd="0" x="12217"/>
        <item sd="0" x="12218"/>
        <item sd="0" x="12219"/>
        <item sd="0" x="12220"/>
        <item sd="0" x="12221"/>
        <item sd="0" x="12222"/>
        <item sd="0" x="12223"/>
        <item sd="0" x="12224"/>
        <item sd="0" x="12225"/>
        <item sd="0" x="12226"/>
        <item sd="0" x="12227"/>
        <item sd="0" x="12228"/>
        <item sd="0" x="12229"/>
        <item sd="0" x="12230"/>
        <item sd="0" x="12231"/>
        <item sd="0" x="12232"/>
        <item sd="0" x="12233"/>
        <item sd="0" x="12234"/>
        <item sd="0" x="12235"/>
        <item sd="0" x="12236"/>
        <item sd="0" x="12237"/>
        <item sd="0" x="12238"/>
        <item sd="0" x="12239"/>
        <item sd="0" x="12240"/>
        <item sd="0" x="12241"/>
        <item sd="0" x="12242"/>
        <item sd="0" x="12243"/>
        <item sd="0" x="12244"/>
        <item sd="0" x="12245"/>
        <item sd="0" x="12246"/>
        <item sd="0" x="12247"/>
        <item sd="0" x="12248"/>
        <item sd="0" x="12249"/>
        <item sd="0" x="12250"/>
        <item sd="0" x="12251"/>
        <item sd="0" x="12252"/>
        <item sd="0" x="12253"/>
        <item sd="0" x="12254"/>
        <item sd="0" x="12255"/>
        <item sd="0" x="12256"/>
        <item sd="0" x="12257"/>
        <item sd="0" x="12258"/>
        <item sd="0" x="12259"/>
        <item sd="0" x="12260"/>
        <item sd="0" x="12261"/>
        <item sd="0" x="12262"/>
        <item sd="0" x="12263"/>
        <item sd="0" x="12264"/>
        <item sd="0" x="12265"/>
        <item sd="0" x="12266"/>
        <item sd="0" x="12267"/>
        <item sd="0" x="12268"/>
        <item sd="0" x="12269"/>
        <item sd="0" x="12270"/>
        <item sd="0" x="12271"/>
        <item sd="0" x="12272"/>
        <item sd="0" x="12273"/>
        <item sd="0" x="12274"/>
        <item sd="0" x="12275"/>
        <item sd="0" x="12276"/>
        <item sd="0" x="12277"/>
        <item sd="0" x="12278"/>
        <item sd="0" x="12279"/>
        <item sd="0" x="12280"/>
        <item sd="0" x="12281"/>
        <item sd="0" x="12282"/>
        <item sd="0" x="12283"/>
        <item sd="0" x="12284"/>
        <item sd="0" x="12285"/>
        <item sd="0" x="12286"/>
        <item sd="0" x="12287"/>
        <item sd="0" x="12288"/>
        <item sd="0" x="12289"/>
        <item sd="0" x="12290"/>
        <item sd="0" x="12291"/>
        <item sd="0" x="12292"/>
        <item sd="0" x="12293"/>
        <item sd="0" x="12294"/>
        <item sd="0" x="12295"/>
        <item sd="0" x="12296"/>
        <item sd="0" x="12297"/>
        <item sd="0" x="12298"/>
        <item sd="0" x="12299"/>
        <item sd="0" x="12300"/>
        <item sd="0" x="12301"/>
        <item sd="0" x="12302"/>
        <item sd="0" x="12303"/>
        <item sd="0" x="12304"/>
        <item sd="0" x="12305"/>
        <item sd="0" x="12306"/>
        <item sd="0" x="12307"/>
        <item sd="0" x="12308"/>
        <item sd="0" x="12309"/>
        <item sd="0" x="12310"/>
        <item sd="0" x="12311"/>
        <item sd="0" x="12312"/>
        <item sd="0" x="12313"/>
        <item sd="0" x="12314"/>
        <item sd="0" x="12315"/>
        <item sd="0" x="12316"/>
        <item sd="0" x="12317"/>
        <item sd="0" x="12318"/>
        <item sd="0" x="12319"/>
        <item sd="0" x="12320"/>
        <item sd="0" x="12321"/>
        <item sd="0" x="12322"/>
        <item sd="0" x="12323"/>
        <item sd="0" x="12324"/>
        <item sd="0" x="12325"/>
        <item sd="0" x="12326"/>
        <item sd="0" x="12327"/>
        <item sd="0" x="12328"/>
        <item sd="0" x="12329"/>
        <item sd="0" x="12330"/>
        <item sd="0" x="12331"/>
        <item sd="0" x="12332"/>
        <item sd="0" x="12333"/>
        <item sd="0" x="12334"/>
        <item sd="0" x="12335"/>
        <item sd="0" x="12336"/>
        <item sd="0" x="12337"/>
        <item sd="0" x="12338"/>
        <item sd="0" x="12339"/>
        <item sd="0" x="12340"/>
        <item sd="0" x="12341"/>
        <item sd="0" x="12342"/>
        <item sd="0" x="12343"/>
        <item sd="0" x="12344"/>
        <item sd="0" x="12345"/>
        <item sd="0" x="12346"/>
        <item sd="0" x="12347"/>
        <item sd="0" x="12348"/>
        <item sd="0" x="12349"/>
        <item sd="0" x="12350"/>
        <item sd="0" x="12351"/>
        <item sd="0" x="12352"/>
        <item sd="0" x="12353"/>
        <item sd="0" x="12354"/>
        <item sd="0" x="12355"/>
        <item sd="0" x="12356"/>
        <item sd="0" x="12357"/>
        <item sd="0" x="12358"/>
        <item sd="0" x="12359"/>
        <item sd="0" x="12360"/>
        <item sd="0" x="12361"/>
        <item sd="0" x="12362"/>
        <item sd="0" x="12363"/>
        <item sd="0" x="12364"/>
        <item sd="0" x="12365"/>
        <item sd="0" x="12366"/>
        <item sd="0" x="12367"/>
        <item sd="0" x="12368"/>
        <item sd="0" x="12369"/>
        <item sd="0" x="12370"/>
        <item sd="0" x="12371"/>
        <item sd="0" x="12372"/>
        <item sd="0" x="12373"/>
        <item sd="0" x="12374"/>
        <item sd="0" x="12375"/>
        <item sd="0" x="12376"/>
        <item sd="0" x="12377"/>
        <item sd="0" x="12378"/>
        <item sd="0" x="12379"/>
        <item sd="0" x="12380"/>
        <item sd="0" x="12381"/>
        <item sd="0" x="12382"/>
        <item sd="0" x="12383"/>
        <item sd="0" x="12384"/>
        <item sd="0" x="12385"/>
        <item sd="0" x="12386"/>
        <item sd="0" x="12387"/>
        <item sd="0" x="12388"/>
        <item sd="0" x="12389"/>
        <item sd="0" x="12390"/>
        <item sd="0" x="12391"/>
        <item sd="0" x="12392"/>
        <item sd="0" x="12393"/>
        <item sd="0" x="12394"/>
        <item sd="0" x="12395"/>
        <item sd="0" x="12396"/>
        <item sd="0" x="12397"/>
        <item sd="0" x="12398"/>
        <item sd="0" x="12399"/>
        <item sd="0" x="12400"/>
        <item sd="0" x="12401"/>
        <item sd="0" x="12402"/>
        <item sd="0" x="12403"/>
        <item sd="0" x="12404"/>
        <item sd="0" x="12405"/>
        <item sd="0" x="12406"/>
        <item sd="0" x="12407"/>
        <item sd="0" x="12408"/>
        <item sd="0" x="12409"/>
        <item sd="0" x="12410"/>
        <item sd="0" x="12411"/>
        <item sd="0" x="12412"/>
        <item sd="0" x="12413"/>
        <item sd="0" x="12414"/>
        <item sd="0" x="12415"/>
        <item sd="0" x="12416"/>
        <item sd="0" x="12417"/>
        <item sd="0" x="12418"/>
        <item sd="0" x="12419"/>
        <item sd="0" x="12420"/>
        <item sd="0" x="12421"/>
        <item sd="0" x="12422"/>
        <item sd="0" x="12423"/>
        <item sd="0" x="12424"/>
        <item sd="0" x="12425"/>
        <item sd="0" x="12426"/>
        <item sd="0" x="12427"/>
        <item sd="0" x="12428"/>
        <item sd="0" x="12429"/>
        <item sd="0" x="12430"/>
        <item sd="0" x="12431"/>
        <item sd="0" x="12432"/>
        <item sd="0" x="12433"/>
        <item sd="0" x="12434"/>
        <item sd="0" x="12435"/>
        <item sd="0" x="12436"/>
        <item sd="0" x="12437"/>
        <item sd="0" x="12438"/>
        <item sd="0" x="12439"/>
        <item sd="0" x="12440"/>
        <item sd="0" x="12441"/>
        <item sd="0" x="12442"/>
        <item sd="0" x="12443"/>
        <item sd="0" x="12444"/>
        <item sd="0" x="12445"/>
        <item sd="0" x="12446"/>
        <item sd="0" x="12447"/>
        <item sd="0" x="12448"/>
        <item sd="0" x="12449"/>
        <item sd="0" x="12450"/>
        <item sd="0" x="12451"/>
        <item sd="0" x="12452"/>
        <item sd="0" x="12453"/>
        <item sd="0" x="12454"/>
        <item sd="0" x="12455"/>
        <item sd="0" x="12456"/>
        <item sd="0" x="12457"/>
        <item sd="0" x="12458"/>
        <item sd="0" x="12459"/>
        <item sd="0" x="12460"/>
        <item sd="0" x="12461"/>
        <item sd="0" x="12462"/>
        <item sd="0" x="12463"/>
        <item sd="0" x="12464"/>
        <item sd="0" x="12465"/>
        <item sd="0" x="12466"/>
        <item sd="0" x="12467"/>
        <item sd="0" x="12468"/>
        <item sd="0" x="12469"/>
        <item sd="0" x="12470"/>
        <item sd="0" x="12471"/>
        <item sd="0" x="12472"/>
        <item sd="0" x="12473"/>
        <item sd="0" x="12474"/>
        <item sd="0" x="12475"/>
        <item sd="0" x="12476"/>
        <item sd="0" x="12477"/>
        <item sd="0" x="12478"/>
        <item sd="0" x="12479"/>
        <item sd="0" x="12480"/>
        <item sd="0" x="12481"/>
        <item sd="0" x="12482"/>
        <item sd="0" x="12483"/>
        <item sd="0" x="12484"/>
        <item sd="0" x="12485"/>
        <item sd="0" x="12486"/>
        <item sd="0" x="12487"/>
        <item sd="0" x="12488"/>
        <item sd="0" x="12489"/>
        <item sd="0" x="12490"/>
        <item sd="0" x="12491"/>
        <item sd="0" x="12492"/>
        <item sd="0" x="12493"/>
        <item sd="0" x="12494"/>
        <item sd="0" x="12495"/>
        <item sd="0" x="12496"/>
        <item sd="0" x="12497"/>
        <item sd="0" x="12498"/>
        <item sd="0" x="12499"/>
        <item sd="0" x="12500"/>
        <item sd="0" x="12501"/>
        <item sd="0" x="12502"/>
        <item sd="0" x="12503"/>
        <item sd="0" x="12504"/>
        <item sd="0" x="12505"/>
        <item sd="0" x="12506"/>
        <item sd="0" x="12507"/>
        <item sd="0" x="12508"/>
        <item sd="0" x="12509"/>
        <item sd="0" x="12510"/>
        <item sd="0" x="12511"/>
        <item sd="0" x="12512"/>
        <item sd="0" x="12513"/>
        <item sd="0" x="12514"/>
        <item sd="0" x="12515"/>
        <item sd="0" x="12516"/>
        <item sd="0" x="12517"/>
        <item sd="0" x="12518"/>
        <item sd="0" x="12519"/>
        <item sd="0" x="12520"/>
        <item sd="0" x="12521"/>
        <item sd="0" x="12522"/>
        <item sd="0" x="12523"/>
        <item sd="0" x="12524"/>
        <item sd="0" x="12525"/>
        <item sd="0" x="12526"/>
        <item sd="0" x="12527"/>
        <item sd="0" x="12528"/>
        <item sd="0" x="12529"/>
        <item sd="0" x="12530"/>
        <item sd="0" x="12531"/>
        <item sd="0" x="12532"/>
        <item sd="0" x="12533"/>
        <item sd="0" x="12534"/>
        <item sd="0" x="12535"/>
        <item sd="0" x="12536"/>
        <item sd="0" x="12537"/>
        <item sd="0" x="12538"/>
        <item sd="0" x="12539"/>
        <item sd="0" x="12540"/>
        <item sd="0" x="12541"/>
        <item sd="0" x="12542"/>
        <item sd="0" x="12543"/>
        <item sd="0" x="12544"/>
        <item sd="0" x="12545"/>
        <item sd="0" x="12546"/>
        <item sd="0" x="12547"/>
        <item sd="0" x="12548"/>
        <item sd="0" x="12549"/>
        <item sd="0" x="12550"/>
        <item sd="0" x="12551"/>
        <item sd="0" x="12552"/>
        <item sd="0" x="12553"/>
        <item sd="0" x="12554"/>
        <item sd="0" x="12555"/>
        <item sd="0" x="12556"/>
        <item sd="0" x="12557"/>
        <item sd="0" x="12558"/>
        <item sd="0" x="12559"/>
        <item sd="0" x="12560"/>
        <item sd="0" x="12561"/>
        <item sd="0" x="12562"/>
        <item sd="0" x="12563"/>
        <item sd="0" x="12564"/>
        <item sd="0" x="12565"/>
        <item sd="0" x="12566"/>
        <item sd="0" x="12567"/>
        <item sd="0" x="12568"/>
        <item sd="0" x="12569"/>
        <item sd="0" x="12570"/>
        <item sd="0" x="12571"/>
        <item sd="0" x="12572"/>
        <item sd="0" x="12573"/>
        <item sd="0" x="12574"/>
        <item sd="0" x="12575"/>
        <item sd="0" x="12576"/>
        <item sd="0" x="12577"/>
        <item sd="0" x="12578"/>
        <item sd="0" x="12579"/>
        <item sd="0" x="12580"/>
        <item sd="0" x="12581"/>
        <item sd="0" x="12582"/>
        <item sd="0" x="12583"/>
        <item sd="0" x="12584"/>
        <item sd="0" x="12585"/>
        <item sd="0" x="12586"/>
        <item sd="0" x="12587"/>
        <item sd="0" x="12588"/>
        <item sd="0" x="12589"/>
        <item sd="0" x="12590"/>
        <item sd="0" x="12591"/>
        <item sd="0" x="12592"/>
        <item sd="0" x="12593"/>
        <item sd="0" x="12594"/>
        <item sd="0" x="12595"/>
        <item sd="0" x="12596"/>
        <item sd="0" x="12597"/>
        <item sd="0" x="12598"/>
        <item sd="0" x="12599"/>
        <item sd="0" x="12600"/>
        <item sd="0" x="12601"/>
        <item sd="0" x="12602"/>
        <item sd="0" x="12603"/>
        <item sd="0" x="12604"/>
        <item sd="0" x="12605"/>
        <item sd="0" x="12606"/>
        <item sd="0" x="12607"/>
        <item sd="0" x="12608"/>
        <item sd="0" x="12609"/>
        <item sd="0" x="12610"/>
        <item sd="0" x="12611"/>
        <item sd="0" x="12612"/>
        <item sd="0" x="12613"/>
        <item sd="0" x="12614"/>
        <item sd="0" x="12615"/>
        <item sd="0" x="12616"/>
        <item sd="0" x="12617"/>
        <item sd="0" x="12618"/>
        <item sd="0" x="12619"/>
        <item sd="0" x="12620"/>
        <item sd="0" x="12621"/>
        <item sd="0" x="12622"/>
        <item sd="0" x="12623"/>
        <item sd="0" x="12624"/>
        <item sd="0" x="12625"/>
        <item sd="0" x="12626"/>
        <item sd="0" x="12627"/>
        <item sd="0" x="12628"/>
        <item sd="0" x="12629"/>
        <item sd="0" x="12630"/>
        <item sd="0" x="12631"/>
        <item sd="0" x="12632"/>
        <item sd="0" x="12633"/>
        <item sd="0" x="12634"/>
        <item sd="0" x="12635"/>
        <item sd="0" x="12636"/>
        <item sd="0" x="12637"/>
        <item sd="0" x="12638"/>
        <item sd="0" x="12639"/>
        <item sd="0" x="12640"/>
        <item sd="0" x="12641"/>
        <item sd="0" x="12642"/>
        <item sd="0" x="12643"/>
        <item sd="0" x="12644"/>
        <item sd="0" x="12645"/>
        <item sd="0" x="12646"/>
        <item sd="0" x="12647"/>
        <item sd="0" x="12648"/>
        <item sd="0" x="12649"/>
        <item sd="0" x="12650"/>
        <item sd="0" x="12651"/>
        <item sd="0" x="12652"/>
        <item sd="0" x="12653"/>
        <item sd="0" x="12654"/>
        <item sd="0" x="12655"/>
        <item sd="0" x="12656"/>
        <item sd="0" x="12657"/>
        <item sd="0" x="12658"/>
        <item sd="0" x="12659"/>
        <item sd="0" x="12660"/>
        <item sd="0" x="12661"/>
        <item sd="0" x="12662"/>
        <item sd="0" x="12663"/>
        <item sd="0" x="12664"/>
        <item sd="0" x="12665"/>
        <item sd="0" x="12666"/>
        <item sd="0" x="12667"/>
        <item sd="0" x="12668"/>
        <item sd="0" x="12669"/>
        <item sd="0" x="12670"/>
        <item sd="0" x="12671"/>
        <item sd="0" x="12672"/>
        <item sd="0" x="12673"/>
        <item sd="0" x="12674"/>
        <item sd="0" x="12675"/>
        <item sd="0" x="12676"/>
        <item sd="0" x="12677"/>
        <item sd="0" x="12678"/>
        <item sd="0" x="12679"/>
        <item sd="0" x="12680"/>
        <item sd="0" x="12681"/>
        <item sd="0" x="12682"/>
        <item sd="0" x="12683"/>
        <item sd="0" x="12684"/>
        <item sd="0" x="12685"/>
        <item sd="0" x="12686"/>
        <item sd="0" x="12687"/>
        <item sd="0" x="12688"/>
        <item sd="0" x="12689"/>
        <item sd="0" x="12690"/>
        <item sd="0" x="12691"/>
        <item sd="0" x="12692"/>
        <item sd="0" x="12693"/>
        <item sd="0" x="12694"/>
        <item sd="0" x="12695"/>
        <item sd="0" x="12696"/>
        <item sd="0" x="12697"/>
        <item sd="0" x="12698"/>
        <item sd="0" x="12699"/>
        <item sd="0" x="12700"/>
        <item sd="0" x="12701"/>
        <item sd="0" x="12702"/>
        <item sd="0" x="12703"/>
        <item sd="0" x="12704"/>
        <item sd="0" x="12705"/>
        <item sd="0" x="12706"/>
        <item sd="0" x="12707"/>
        <item sd="0" x="12708"/>
        <item sd="0" x="12709"/>
        <item sd="0" x="12710"/>
        <item sd="0" x="12711"/>
        <item sd="0" x="12712"/>
        <item sd="0" x="12713"/>
        <item sd="0" x="12714"/>
        <item sd="0" x="12715"/>
        <item sd="0" x="12716"/>
        <item sd="0" x="12717"/>
        <item sd="0" x="12718"/>
        <item sd="0" x="12719"/>
        <item sd="0" x="12720"/>
        <item sd="0" x="12721"/>
        <item sd="0" x="12722"/>
        <item sd="0" x="12723"/>
        <item sd="0" x="12724"/>
        <item sd="0" x="12725"/>
        <item sd="0" x="12726"/>
        <item sd="0" x="12727"/>
        <item sd="0" x="12728"/>
        <item sd="0" x="12729"/>
        <item sd="0" x="12730"/>
        <item sd="0" x="12731"/>
        <item sd="0" x="12732"/>
        <item sd="0" x="12733"/>
        <item sd="0" x="12734"/>
        <item sd="0" x="12735"/>
        <item sd="0" x="12736"/>
        <item sd="0" x="12737"/>
        <item sd="0" x="12738"/>
        <item sd="0" x="12739"/>
        <item sd="0" x="12740"/>
        <item sd="0" x="12741"/>
        <item sd="0" x="12742"/>
        <item sd="0" x="12743"/>
        <item sd="0" x="12744"/>
        <item sd="0" x="12745"/>
        <item sd="0" x="12746"/>
        <item sd="0" x="12747"/>
        <item sd="0" x="12748"/>
        <item sd="0" x="12749"/>
        <item sd="0" x="12750"/>
        <item sd="0" x="12751"/>
        <item sd="0" x="12752"/>
        <item sd="0" x="12753"/>
        <item sd="0" x="12754"/>
        <item sd="0" x="12755"/>
        <item sd="0" x="12756"/>
        <item sd="0" x="12757"/>
        <item sd="0" x="12758"/>
        <item sd="0" x="12759"/>
        <item sd="0" x="12760"/>
        <item sd="0" x="12761"/>
        <item sd="0" x="12762"/>
        <item sd="0" x="12763"/>
        <item sd="0" x="12764"/>
        <item sd="0" x="12765"/>
        <item sd="0" x="12766"/>
        <item sd="0" x="12767"/>
        <item sd="0" x="12768"/>
        <item sd="0" x="12769"/>
        <item sd="0" x="12770"/>
        <item sd="0" x="12771"/>
        <item sd="0" x="12772"/>
        <item sd="0" x="12773"/>
        <item sd="0" x="12774"/>
        <item sd="0" x="12775"/>
        <item sd="0" x="12776"/>
        <item sd="0" x="12777"/>
        <item sd="0" x="12778"/>
        <item sd="0" x="12779"/>
        <item sd="0" x="12780"/>
        <item sd="0" x="12781"/>
        <item sd="0" x="12782"/>
        <item sd="0" x="12783"/>
        <item sd="0" x="12784"/>
        <item sd="0" x="12785"/>
        <item sd="0" x="12786"/>
        <item sd="0" x="12787"/>
        <item sd="0" x="12788"/>
        <item sd="0" x="12789"/>
        <item sd="0" x="12790"/>
        <item sd="0" x="12791"/>
        <item sd="0" x="12792"/>
        <item sd="0" x="12793"/>
        <item sd="0" x="12794"/>
        <item sd="0" x="12795"/>
        <item sd="0" x="12796"/>
        <item sd="0" x="12797"/>
        <item sd="0" x="12798"/>
        <item sd="0" x="12799"/>
        <item sd="0" x="12800"/>
        <item sd="0" x="12801"/>
        <item sd="0" x="12802"/>
        <item sd="0" x="12803"/>
        <item sd="0" x="12804"/>
        <item sd="0" x="12805"/>
        <item sd="0" x="12806"/>
        <item sd="0" x="12807"/>
        <item sd="0" x="12808"/>
        <item sd="0" x="12809"/>
        <item sd="0" x="12810"/>
        <item sd="0" x="12811"/>
        <item sd="0" x="12812"/>
        <item sd="0" x="12813"/>
        <item sd="0" x="12814"/>
        <item sd="0" x="12815"/>
        <item sd="0" x="12816"/>
        <item sd="0" x="12817"/>
        <item sd="0" x="12818"/>
        <item sd="0" x="12819"/>
        <item sd="0" x="12820"/>
        <item sd="0" x="12821"/>
        <item sd="0" x="12822"/>
        <item sd="0" x="12823"/>
        <item sd="0" x="12824"/>
        <item sd="0" x="12825"/>
        <item sd="0" x="12826"/>
        <item sd="0" x="12827"/>
        <item sd="0" x="12828"/>
        <item sd="0" x="12829"/>
        <item sd="0" x="12830"/>
        <item sd="0" x="12831"/>
        <item sd="0" x="12832"/>
        <item sd="0" x="12833"/>
        <item sd="0" x="12834"/>
        <item sd="0" x="12835"/>
        <item sd="0" x="12836"/>
        <item sd="0" x="12837"/>
        <item sd="0" x="12838"/>
        <item sd="0" x="12839"/>
        <item sd="0" x="12840"/>
        <item sd="0" x="12841"/>
        <item sd="0" x="12842"/>
        <item sd="0" x="12843"/>
        <item sd="0" x="12844"/>
        <item sd="0" x="12845"/>
        <item sd="0" x="12846"/>
        <item sd="0" x="12847"/>
        <item sd="0" x="12848"/>
        <item sd="0" x="12849"/>
        <item sd="0" x="12850"/>
        <item sd="0" x="12851"/>
        <item sd="0" x="12852"/>
        <item sd="0" x="12853"/>
        <item sd="0" x="12854"/>
        <item sd="0" x="12855"/>
        <item sd="0" x="12856"/>
        <item sd="0" x="12857"/>
        <item sd="0" x="12858"/>
        <item sd="0" x="12859"/>
        <item sd="0" x="12860"/>
        <item sd="0" x="12861"/>
        <item sd="0" x="12862"/>
        <item sd="0" x="12863"/>
        <item sd="0" x="12864"/>
        <item sd="0" x="12865"/>
        <item sd="0" x="12866"/>
        <item sd="0" x="12867"/>
        <item sd="0" x="12868"/>
        <item sd="0" x="12869"/>
        <item sd="0" x="12870"/>
        <item sd="0" x="12871"/>
        <item sd="0" x="12872"/>
        <item sd="0" x="12873"/>
        <item sd="0" x="12874"/>
        <item sd="0" x="12875"/>
        <item sd="0" x="12876"/>
        <item sd="0" x="12877"/>
        <item sd="0" x="12878"/>
        <item sd="0" x="12879"/>
        <item sd="0" x="12880"/>
        <item sd="0" x="12881"/>
        <item sd="0" x="12882"/>
        <item sd="0" x="12883"/>
        <item sd="0" x="12884"/>
        <item sd="0" x="12885"/>
        <item sd="0" x="12886"/>
        <item sd="0" x="12887"/>
        <item sd="0" x="12888"/>
        <item sd="0" x="12889"/>
        <item sd="0" x="12890"/>
        <item sd="0" x="12891"/>
        <item sd="0" x="12892"/>
        <item sd="0" x="12893"/>
        <item sd="0" x="12894"/>
        <item sd="0" x="12895"/>
        <item sd="0" x="12896"/>
        <item sd="0" x="12897"/>
        <item sd="0" x="12898"/>
        <item sd="0" x="12899"/>
        <item sd="0" x="12900"/>
        <item sd="0" x="12901"/>
        <item sd="0" x="12902"/>
        <item sd="0" x="12903"/>
        <item sd="0" x="12904"/>
        <item sd="0" x="12905"/>
        <item sd="0" x="12906"/>
        <item sd="0" x="12907"/>
        <item sd="0" x="12908"/>
        <item sd="0" x="12909"/>
        <item sd="0" x="12910"/>
        <item sd="0" x="12911"/>
        <item sd="0" x="12912"/>
        <item sd="0" x="12913"/>
        <item sd="0" x="12914"/>
        <item sd="0" x="12915"/>
        <item sd="0" x="12916"/>
        <item sd="0" x="12917"/>
        <item sd="0" x="12918"/>
        <item sd="0" x="12919"/>
        <item sd="0" x="12920"/>
        <item sd="0" x="12921"/>
        <item sd="0" x="12922"/>
        <item sd="0" x="12923"/>
        <item sd="0" x="12924"/>
        <item sd="0" x="12925"/>
        <item sd="0" x="12926"/>
        <item sd="0" x="12927"/>
        <item sd="0" x="12928"/>
        <item sd="0" x="12929"/>
        <item sd="0" x="12930"/>
        <item sd="0" x="12931"/>
        <item sd="0" x="12932"/>
        <item sd="0" x="12933"/>
        <item sd="0" x="12934"/>
        <item sd="0" x="12935"/>
        <item sd="0" x="12936"/>
        <item sd="0" x="12937"/>
        <item sd="0" x="12938"/>
        <item sd="0" x="12939"/>
        <item sd="0" x="12940"/>
        <item sd="0" x="12941"/>
        <item sd="0" x="12942"/>
        <item sd="0" x="12943"/>
        <item sd="0" x="12944"/>
        <item sd="0" x="12945"/>
        <item sd="0" x="12946"/>
        <item sd="0" x="12947"/>
        <item sd="0" x="12948"/>
        <item sd="0" x="12949"/>
        <item sd="0" x="12950"/>
        <item sd="0" x="12951"/>
        <item sd="0" x="12952"/>
        <item sd="0" x="12953"/>
        <item sd="0" x="12954"/>
        <item sd="0" x="12955"/>
        <item sd="0" x="12956"/>
        <item sd="0" x="12957"/>
        <item sd="0" x="12958"/>
        <item sd="0" x="12959"/>
        <item sd="0" x="12960"/>
        <item sd="0" x="12961"/>
        <item sd="0" x="12962"/>
        <item sd="0" x="12963"/>
        <item sd="0" x="12964"/>
        <item sd="0" x="12965"/>
        <item sd="0" x="12966"/>
        <item sd="0" x="12967"/>
        <item sd="0" x="12968"/>
        <item sd="0" x="12969"/>
        <item sd="0" x="12970"/>
        <item sd="0" x="12971"/>
        <item sd="0" x="12972"/>
        <item sd="0" x="12973"/>
        <item sd="0" x="12974"/>
        <item sd="0" x="12975"/>
        <item sd="0" x="12976"/>
        <item sd="0" x="12977"/>
        <item sd="0" x="12978"/>
        <item sd="0" x="12979"/>
        <item sd="0" x="12980"/>
        <item sd="0" x="12981"/>
        <item sd="0" x="12982"/>
        <item sd="0" x="12983"/>
        <item sd="0" x="12984"/>
        <item sd="0" x="12985"/>
        <item sd="0" x="12986"/>
        <item sd="0" x="12987"/>
        <item sd="0" x="12988"/>
        <item sd="0" x="12989"/>
        <item sd="0" x="12990"/>
        <item sd="0" x="12991"/>
        <item sd="0" x="12992"/>
        <item sd="0" x="12993"/>
        <item sd="0" x="12994"/>
        <item sd="0" x="12995"/>
        <item sd="0" x="12996"/>
        <item sd="0" x="12997"/>
        <item sd="0" x="12998"/>
        <item sd="0" x="12999"/>
        <item sd="0" x="13000"/>
        <item sd="0" x="13001"/>
        <item sd="0" x="13002"/>
        <item sd="0" x="13003"/>
        <item sd="0" x="13004"/>
        <item sd="0" x="13005"/>
        <item sd="0" x="13006"/>
        <item sd="0" x="13007"/>
        <item sd="0" x="13008"/>
        <item sd="0" x="13009"/>
        <item sd="0" x="13010"/>
        <item sd="0" x="13011"/>
        <item sd="0" x="13012"/>
        <item sd="0" x="13013"/>
        <item sd="0" x="13014"/>
        <item sd="0" x="13015"/>
        <item sd="0" x="13016"/>
        <item sd="0" x="13017"/>
        <item sd="0" x="13018"/>
        <item sd="0" x="13019"/>
        <item sd="0" x="13020"/>
        <item sd="0" x="13021"/>
        <item sd="0" x="13022"/>
        <item sd="0" x="13023"/>
        <item sd="0" x="13024"/>
        <item sd="0" x="13025"/>
        <item sd="0" x="13026"/>
        <item sd="0" x="13027"/>
        <item sd="0" x="13028"/>
        <item sd="0" x="13029"/>
        <item sd="0" x="13030"/>
        <item sd="0" x="13031"/>
        <item sd="0" x="13032"/>
        <item sd="0" x="13033"/>
        <item sd="0" x="13034"/>
        <item sd="0" x="13035"/>
        <item sd="0" x="13036"/>
        <item sd="0" x="13037"/>
        <item sd="0" x="13038"/>
        <item sd="0" x="13039"/>
        <item sd="0" x="13040"/>
        <item sd="0" x="13041"/>
        <item sd="0" x="13042"/>
        <item sd="0" x="13043"/>
        <item sd="0" x="13044"/>
        <item sd="0" x="13045"/>
        <item sd="0" x="13046"/>
        <item sd="0" x="13047"/>
        <item sd="0" x="13048"/>
        <item sd="0" x="13049"/>
        <item sd="0" x="13050"/>
        <item sd="0" x="13051"/>
        <item sd="0" x="13052"/>
        <item sd="0" x="13053"/>
        <item sd="0" x="13054"/>
        <item sd="0" x="13055"/>
        <item sd="0" x="13056"/>
        <item sd="0" x="13057"/>
        <item sd="0" x="13058"/>
        <item sd="0" x="13059"/>
        <item sd="0" x="13060"/>
        <item sd="0" x="13061"/>
        <item sd="0" x="13062"/>
        <item sd="0" x="13063"/>
        <item sd="0" x="13064"/>
        <item sd="0" x="13065"/>
        <item sd="0" x="13066"/>
        <item sd="0" x="13067"/>
        <item sd="0" x="13068"/>
        <item sd="0" x="13069"/>
        <item sd="0" x="13070"/>
        <item sd="0" x="13071"/>
        <item sd="0" x="13072"/>
        <item sd="0" x="13073"/>
        <item sd="0" x="13074"/>
        <item sd="0" x="13075"/>
        <item sd="0" x="13076"/>
        <item sd="0" x="13077"/>
        <item sd="0" x="13078"/>
        <item sd="0" x="13079"/>
        <item sd="0" x="13080"/>
        <item sd="0" x="13081"/>
        <item sd="0" x="13082"/>
        <item sd="0" x="13083"/>
        <item sd="0" x="13084"/>
        <item sd="0" x="13085"/>
        <item sd="0" x="13086"/>
        <item sd="0" x="13087"/>
        <item sd="0" x="13088"/>
        <item sd="0" x="13089"/>
        <item sd="0" x="13090"/>
        <item sd="0" x="13091"/>
        <item sd="0" x="13092"/>
        <item sd="0" x="13093"/>
        <item sd="0" x="13094"/>
        <item sd="0" x="13095"/>
        <item sd="0" x="13096"/>
        <item sd="0" x="13097"/>
        <item sd="0" x="13098"/>
        <item sd="0" x="13099"/>
        <item sd="0" x="13100"/>
        <item sd="0" x="13101"/>
        <item sd="0" x="13102"/>
        <item sd="0" x="13103"/>
        <item sd="0" x="13104"/>
        <item sd="0" x="13105"/>
        <item sd="0" x="13106"/>
        <item sd="0" x="13107"/>
        <item sd="0" x="13108"/>
        <item sd="0" x="13109"/>
        <item sd="0" x="13110"/>
        <item sd="0" x="13111"/>
        <item sd="0" x="13112"/>
        <item sd="0" x="13113"/>
        <item sd="0" x="13114"/>
        <item sd="0" x="13115"/>
        <item sd="0" x="13116"/>
        <item sd="0" x="13117"/>
        <item sd="0" x="13118"/>
        <item sd="0" x="13119"/>
        <item sd="0" x="13120"/>
        <item sd="0" x="13121"/>
        <item sd="0" x="13122"/>
        <item sd="0" x="13123"/>
        <item sd="0" x="13124"/>
        <item sd="0" x="13125"/>
        <item sd="0" x="13126"/>
        <item sd="0" x="13127"/>
        <item sd="0" x="13128"/>
        <item sd="0" x="13129"/>
        <item sd="0" x="13130"/>
        <item sd="0" x="13131"/>
        <item sd="0" x="13132"/>
        <item sd="0" x="13133"/>
        <item sd="0" x="13134"/>
        <item sd="0" x="13135"/>
        <item sd="0" x="13136"/>
        <item sd="0" x="13137"/>
        <item sd="0" x="13138"/>
        <item sd="0" x="13139"/>
        <item sd="0" x="13140"/>
        <item sd="0" x="13141"/>
        <item sd="0" x="13142"/>
        <item sd="0" x="13143"/>
        <item sd="0" x="13144"/>
        <item sd="0" x="13145"/>
        <item sd="0" x="13146"/>
        <item sd="0" x="13147"/>
        <item sd="0" x="13148"/>
        <item sd="0" x="13149"/>
        <item sd="0" x="13150"/>
        <item sd="0" x="13151"/>
        <item sd="0" x="13152"/>
        <item sd="0" x="13153"/>
        <item sd="0" x="13154"/>
        <item sd="0" x="13155"/>
        <item sd="0" x="13156"/>
        <item sd="0" x="13157"/>
        <item sd="0" x="13158"/>
        <item sd="0" x="13159"/>
        <item sd="0" x="13160"/>
        <item sd="0" x="13161"/>
        <item sd="0" x="13162"/>
        <item sd="0" x="13163"/>
        <item sd="0" x="13164"/>
        <item sd="0" x="13165"/>
        <item sd="0" x="13166"/>
        <item sd="0" x="13167"/>
        <item sd="0" x="13168"/>
        <item sd="0" x="13169"/>
        <item sd="0" x="13170"/>
        <item sd="0" x="13171"/>
        <item sd="0" x="13172"/>
        <item sd="0" x="13173"/>
        <item sd="0" x="13174"/>
        <item sd="0" x="13175"/>
        <item sd="0" x="13176"/>
        <item sd="0" x="13177"/>
        <item sd="0" x="13178"/>
        <item sd="0" x="13179"/>
        <item sd="0" x="13180"/>
        <item sd="0" x="13181"/>
        <item sd="0" x="13182"/>
        <item sd="0" x="13183"/>
        <item sd="0" x="13184"/>
        <item sd="0" x="13185"/>
        <item sd="0" x="13186"/>
        <item sd="0" x="13187"/>
        <item sd="0" x="13188"/>
        <item sd="0" x="13189"/>
        <item sd="0" x="13190"/>
        <item sd="0" x="13191"/>
        <item sd="0" x="13192"/>
        <item sd="0" x="13193"/>
        <item sd="0" x="13194"/>
        <item sd="0" x="13195"/>
        <item sd="0" x="13196"/>
        <item sd="0" x="13197"/>
        <item sd="0" x="13198"/>
        <item sd="0" x="13199"/>
        <item sd="0" x="13200"/>
        <item sd="0" x="13201"/>
        <item sd="0" x="13202"/>
        <item sd="0" x="13203"/>
        <item sd="0" x="13204"/>
        <item sd="0" x="13205"/>
        <item sd="0" x="13206"/>
        <item sd="0" x="13207"/>
        <item sd="0" x="13208"/>
        <item sd="0" x="13209"/>
        <item sd="0" x="13210"/>
        <item sd="0" x="13211"/>
        <item sd="0" x="13212"/>
        <item sd="0" x="13213"/>
        <item sd="0" x="13214"/>
        <item sd="0" x="13215"/>
        <item sd="0" x="13216"/>
        <item sd="0" x="13217"/>
        <item sd="0" x="13218"/>
        <item sd="0" x="13219"/>
        <item sd="0" x="13220"/>
        <item sd="0" x="13221"/>
        <item sd="0" x="13222"/>
        <item sd="0" x="13223"/>
        <item sd="0" x="13224"/>
        <item sd="0" x="13225"/>
        <item sd="0" x="13226"/>
        <item sd="0" x="13227"/>
        <item sd="0" x="13228"/>
        <item sd="0" x="13229"/>
        <item sd="0" x="13230"/>
        <item sd="0" x="13231"/>
        <item sd="0" x="13232"/>
        <item sd="0" x="13233"/>
        <item sd="0" x="13234"/>
        <item sd="0" x="13235"/>
        <item sd="0" x="13236"/>
        <item sd="0" x="13237"/>
        <item sd="0" x="13238"/>
        <item sd="0" x="13239"/>
        <item sd="0" x="13240"/>
        <item sd="0" x="13241"/>
        <item sd="0" x="13242"/>
        <item sd="0" x="13243"/>
        <item sd="0" x="13244"/>
        <item sd="0" x="13245"/>
        <item sd="0" x="13246"/>
        <item sd="0" x="13247"/>
        <item sd="0" x="13248"/>
        <item sd="0" x="13249"/>
        <item sd="0" x="13250"/>
        <item sd="0" x="13251"/>
        <item sd="0" x="13252"/>
        <item sd="0" x="13253"/>
        <item sd="0" x="13254"/>
        <item sd="0" x="13255"/>
        <item sd="0" x="13256"/>
        <item sd="0" x="13257"/>
        <item sd="0" x="13258"/>
        <item sd="0" x="13259"/>
        <item sd="0" x="13260"/>
        <item sd="0" x="13261"/>
        <item sd="0" x="13262"/>
        <item sd="0" x="13263"/>
        <item sd="0" x="13264"/>
        <item sd="0" x="13265"/>
        <item sd="0" x="13266"/>
        <item sd="0" x="13267"/>
        <item sd="0" x="13268"/>
        <item sd="0" x="13269"/>
        <item sd="0" x="13270"/>
        <item sd="0" x="13271"/>
        <item sd="0" x="13272"/>
        <item sd="0" x="13273"/>
        <item sd="0" x="13274"/>
        <item sd="0" x="13275"/>
        <item sd="0" x="13276"/>
        <item sd="0" x="13277"/>
        <item sd="0" x="13278"/>
        <item sd="0" x="13279"/>
        <item sd="0" x="13280"/>
        <item sd="0" x="13281"/>
        <item sd="0" x="13282"/>
        <item sd="0" x="13283"/>
        <item sd="0" x="13284"/>
        <item sd="0" x="13285"/>
        <item sd="0" x="13286"/>
        <item sd="0" x="13287"/>
        <item sd="0" x="13288"/>
        <item sd="0" x="13289"/>
        <item sd="0" x="13290"/>
        <item sd="0" x="13291"/>
        <item sd="0" x="13292"/>
        <item sd="0" x="13293"/>
        <item sd="0" x="13294"/>
        <item sd="0" x="13295"/>
        <item sd="0" x="13296"/>
        <item sd="0" x="13297"/>
        <item sd="0" x="13298"/>
        <item sd="0" x="13299"/>
        <item sd="0" x="13300"/>
        <item sd="0" x="13301"/>
        <item sd="0" x="13302"/>
        <item sd="0" x="13303"/>
        <item sd="0" x="13304"/>
        <item sd="0" x="13305"/>
        <item sd="0" x="13306"/>
        <item sd="0" x="13307"/>
        <item sd="0" x="13308"/>
        <item sd="0" x="13309"/>
        <item sd="0" x="13310"/>
        <item sd="0" x="13311"/>
        <item sd="0" x="13312"/>
        <item sd="0" x="13313"/>
        <item sd="0" x="13314"/>
        <item sd="0" x="13315"/>
        <item sd="0" x="13316"/>
        <item sd="0" x="13317"/>
        <item sd="0" x="13318"/>
        <item sd="0" x="13319"/>
        <item sd="0" x="13320"/>
        <item sd="0" x="13321"/>
        <item sd="0" x="13322"/>
        <item sd="0" x="13323"/>
        <item sd="0" x="13324"/>
        <item sd="0" x="13325"/>
        <item sd="0" x="13326"/>
        <item sd="0" x="13327"/>
        <item sd="0" x="13328"/>
        <item sd="0" x="13329"/>
        <item sd="0" x="13330"/>
        <item sd="0" x="13331"/>
        <item sd="0" x="13332"/>
        <item sd="0" x="13333"/>
        <item sd="0" x="13334"/>
        <item sd="0" x="13335"/>
        <item sd="0" x="13336"/>
        <item sd="0" x="13337"/>
        <item sd="0" x="13338"/>
        <item sd="0" x="13339"/>
        <item sd="0" x="13340"/>
        <item sd="0" x="13341"/>
        <item sd="0" x="13342"/>
        <item sd="0" x="13343"/>
        <item sd="0" x="13344"/>
        <item sd="0" x="13345"/>
        <item sd="0" x="13346"/>
        <item sd="0" x="13347"/>
        <item sd="0" x="13348"/>
        <item sd="0" x="13349"/>
        <item sd="0" x="13350"/>
        <item sd="0" x="13351"/>
        <item sd="0" x="13352"/>
        <item sd="0" x="13353"/>
        <item sd="0" x="13354"/>
        <item sd="0" x="13355"/>
        <item sd="0" x="13356"/>
        <item sd="0" x="13357"/>
        <item sd="0" x="13358"/>
        <item sd="0" x="13359"/>
        <item sd="0" x="13360"/>
        <item sd="0" x="13361"/>
        <item sd="0" x="13362"/>
        <item sd="0" x="13363"/>
        <item sd="0" x="13364"/>
        <item sd="0" x="13365"/>
        <item sd="0" x="13366"/>
        <item sd="0" x="13367"/>
        <item sd="0" x="13368"/>
        <item sd="0" x="13369"/>
        <item sd="0" x="13370"/>
        <item sd="0" x="13371"/>
        <item sd="0" x="13372"/>
        <item sd="0" x="13373"/>
        <item sd="0" x="13374"/>
        <item sd="0" x="13375"/>
        <item sd="0" x="13376"/>
        <item sd="0" x="13377"/>
        <item sd="0" x="13378"/>
        <item sd="0" x="13379"/>
        <item sd="0" x="13380"/>
        <item sd="0" x="13381"/>
        <item sd="0" x="13382"/>
        <item sd="0" x="13383"/>
        <item sd="0" x="13384"/>
        <item sd="0" x="13385"/>
        <item sd="0" x="13386"/>
        <item sd="0" x="13387"/>
        <item sd="0" x="13388"/>
        <item sd="0" x="13389"/>
        <item sd="0" x="13390"/>
        <item sd="0" x="13391"/>
        <item sd="0" x="13392"/>
        <item sd="0" x="13393"/>
        <item sd="0" x="13394"/>
        <item sd="0" x="13395"/>
        <item sd="0" x="13396"/>
        <item sd="0" x="13397"/>
        <item sd="0" x="13398"/>
        <item sd="0" x="13399"/>
        <item sd="0" x="13400"/>
        <item sd="0" x="13401"/>
        <item sd="0" x="13402"/>
        <item sd="0" x="13403"/>
        <item sd="0" x="13404"/>
        <item sd="0" x="13405"/>
        <item sd="0" x="13406"/>
        <item sd="0" x="13407"/>
        <item sd="0" x="13408"/>
        <item sd="0" x="13409"/>
        <item sd="0" x="13410"/>
        <item sd="0" x="13411"/>
        <item sd="0" x="13412"/>
        <item sd="0" x="13413"/>
        <item sd="0" x="13414"/>
        <item sd="0" x="13415"/>
        <item sd="0" x="13416"/>
        <item sd="0" x="13417"/>
        <item sd="0" x="13418"/>
        <item sd="0" x="13419"/>
        <item sd="0" x="13420"/>
        <item sd="0" x="13421"/>
        <item sd="0" x="13422"/>
        <item sd="0" x="13423"/>
        <item sd="0" x="13424"/>
        <item sd="0" x="13425"/>
        <item sd="0" x="13426"/>
        <item sd="0" x="13427"/>
        <item sd="0" x="13428"/>
        <item sd="0" x="13429"/>
        <item sd="0" x="13430"/>
        <item sd="0" x="13431"/>
        <item sd="0" x="13432"/>
        <item sd="0" x="13433"/>
        <item sd="0" x="13434"/>
        <item sd="0" x="13435"/>
        <item sd="0" x="13436"/>
        <item sd="0" x="13437"/>
        <item sd="0" x="13438"/>
        <item sd="0" x="13439"/>
        <item sd="0" x="13440"/>
        <item sd="0" x="13441"/>
        <item sd="0" x="13442"/>
        <item sd="0" x="13443"/>
        <item sd="0" x="13444"/>
        <item sd="0" x="13445"/>
        <item sd="0" x="13446"/>
        <item sd="0" x="13447"/>
        <item sd="0" x="13448"/>
        <item sd="0" x="13449"/>
        <item sd="0" x="13450"/>
        <item sd="0" x="13451"/>
        <item sd="0" x="13452"/>
        <item sd="0" x="13453"/>
        <item sd="0" x="13454"/>
        <item sd="0" x="13455"/>
        <item sd="0" x="13456"/>
        <item sd="0" x="13457"/>
        <item sd="0" x="13458"/>
        <item sd="0" x="13459"/>
        <item sd="0" x="13460"/>
        <item sd="0" x="13461"/>
        <item sd="0" x="13462"/>
        <item sd="0" x="13463"/>
        <item sd="0" x="13464"/>
        <item sd="0" x="13465"/>
        <item sd="0" x="13466"/>
        <item sd="0" x="13467"/>
        <item sd="0" x="13468"/>
        <item sd="0" x="13469"/>
        <item sd="0" x="13470"/>
        <item sd="0" x="13471"/>
        <item sd="0" x="13472"/>
        <item sd="0" x="13473"/>
        <item sd="0" x="13474"/>
        <item sd="0" x="13475"/>
        <item sd="0" x="13476"/>
        <item sd="0" x="13477"/>
        <item sd="0" x="13478"/>
        <item sd="0" x="13479"/>
        <item sd="0" x="13480"/>
        <item sd="0" x="13481"/>
        <item sd="0" x="13482"/>
        <item sd="0" x="13483"/>
        <item sd="0" x="13484"/>
        <item sd="0" x="13485"/>
        <item sd="0" x="13486"/>
        <item sd="0" x="13487"/>
        <item sd="0" x="13488"/>
        <item sd="0" x="13489"/>
        <item sd="0" x="13490"/>
        <item sd="0" x="13491"/>
        <item sd="0" x="13492"/>
        <item sd="0" x="13493"/>
        <item sd="0" x="13494"/>
        <item sd="0" x="13495"/>
        <item sd="0" x="13496"/>
        <item sd="0" x="13497"/>
        <item sd="0" x="13498"/>
        <item sd="0" x="13499"/>
        <item sd="0" x="13500"/>
        <item sd="0" x="13501"/>
        <item sd="0" x="13502"/>
        <item sd="0" x="13503"/>
        <item sd="0" x="13504"/>
        <item sd="0" x="13505"/>
        <item sd="0" x="13506"/>
        <item sd="0" x="13507"/>
        <item sd="0" x="13508"/>
        <item sd="0" x="13509"/>
        <item sd="0" x="13510"/>
        <item sd="0" x="13511"/>
        <item sd="0" x="13512"/>
        <item sd="0" x="13513"/>
        <item sd="0" x="13514"/>
        <item sd="0" x="13515"/>
        <item sd="0" x="13516"/>
        <item sd="0" x="13517"/>
        <item sd="0" x="13518"/>
        <item sd="0" x="13519"/>
        <item sd="0" x="13520"/>
        <item sd="0" x="13521"/>
        <item sd="0" x="13522"/>
        <item sd="0" x="13523"/>
        <item sd="0" x="13524"/>
        <item sd="0" x="13525"/>
        <item sd="0" x="13526"/>
        <item sd="0" x="13527"/>
        <item sd="0" x="13528"/>
        <item sd="0" x="13529"/>
        <item sd="0" x="13530"/>
        <item sd="0" x="13531"/>
        <item sd="0" x="13532"/>
        <item sd="0" x="13533"/>
        <item sd="0" x="13534"/>
        <item sd="0" x="13535"/>
        <item sd="0" x="13536"/>
        <item sd="0" x="13537"/>
        <item sd="0" x="13538"/>
        <item sd="0" x="13539"/>
        <item sd="0" x="13540"/>
        <item sd="0" x="13541"/>
        <item sd="0" x="13542"/>
        <item sd="0" x="13543"/>
        <item sd="0" x="13544"/>
        <item sd="0" x="13545"/>
        <item sd="0" x="13546"/>
        <item sd="0" x="13547"/>
        <item sd="0" x="13548"/>
        <item sd="0" x="13549"/>
        <item sd="0" x="13550"/>
        <item sd="0" x="13551"/>
        <item sd="0" x="13552"/>
        <item sd="0" x="13553"/>
        <item sd="0" x="13554"/>
        <item sd="0" x="13555"/>
        <item sd="0" x="13556"/>
        <item sd="0" x="13557"/>
        <item sd="0" x="13558"/>
        <item sd="0" x="13559"/>
        <item sd="0" x="13560"/>
        <item sd="0" x="13561"/>
        <item sd="0" x="13562"/>
        <item sd="0" x="13563"/>
        <item sd="0" x="13564"/>
        <item sd="0" x="13565"/>
        <item sd="0" x="13566"/>
        <item sd="0" x="13567"/>
        <item sd="0" x="13568"/>
        <item sd="0" x="13569"/>
        <item sd="0" x="13570"/>
        <item sd="0" x="13571"/>
        <item sd="0" x="13572"/>
        <item sd="0" x="13573"/>
        <item sd="0" x="13574"/>
        <item sd="0" x="13575"/>
        <item sd="0" x="13576"/>
        <item sd="0" x="13577"/>
        <item sd="0" x="13578"/>
        <item sd="0" x="13579"/>
        <item sd="0" x="13580"/>
        <item sd="0" x="13581"/>
        <item sd="0" x="13582"/>
        <item sd="0" x="13583"/>
        <item sd="0" x="13584"/>
        <item sd="0" x="13585"/>
        <item sd="0" x="13586"/>
        <item sd="0" x="13587"/>
        <item sd="0" x="13588"/>
        <item sd="0" x="13589"/>
        <item sd="0" x="13590"/>
        <item sd="0" x="13591"/>
        <item sd="0" x="13592"/>
        <item sd="0" x="13593"/>
        <item sd="0" x="13594"/>
        <item sd="0" x="13595"/>
        <item sd="0" x="13596"/>
        <item sd="0" x="13597"/>
        <item sd="0" x="13598"/>
        <item sd="0" x="13599"/>
        <item sd="0" x="13600"/>
        <item sd="0" x="13601"/>
        <item sd="0" x="13602"/>
        <item sd="0" x="13603"/>
        <item sd="0" x="13604"/>
        <item sd="0" x="13605"/>
        <item sd="0" x="13606"/>
        <item sd="0" x="13607"/>
        <item sd="0" x="13608"/>
        <item sd="0" x="13609"/>
        <item sd="0" x="13610"/>
        <item sd="0" x="13611"/>
        <item sd="0" x="13612"/>
        <item sd="0" x="13613"/>
        <item sd="0" x="13614"/>
        <item sd="0" x="13615"/>
        <item sd="0" x="13616"/>
        <item sd="0" x="13617"/>
        <item sd="0" x="13618"/>
        <item sd="0" x="13619"/>
        <item sd="0" x="13620"/>
        <item sd="0" x="13621"/>
        <item sd="0" x="13622"/>
        <item sd="0" x="13623"/>
        <item sd="0" x="13624"/>
        <item sd="0" x="13625"/>
        <item sd="0" x="13626"/>
        <item sd="0" x="13627"/>
        <item sd="0" x="13628"/>
        <item sd="0" x="13629"/>
        <item sd="0" x="13630"/>
        <item sd="0" x="13631"/>
        <item sd="0" x="13632"/>
        <item sd="0" x="13633"/>
        <item sd="0" x="13634"/>
        <item sd="0" x="13635"/>
        <item sd="0" x="13636"/>
        <item sd="0" x="13637"/>
        <item sd="0" x="13638"/>
        <item sd="0" x="13639"/>
        <item sd="0" x="13640"/>
        <item sd="0" x="13641"/>
        <item sd="0" x="13642"/>
        <item sd="0" x="13643"/>
        <item sd="0" x="13644"/>
        <item sd="0" x="13645"/>
        <item sd="0" x="13646"/>
        <item sd="0" x="13647"/>
        <item sd="0" x="13648"/>
        <item sd="0" x="13649"/>
        <item sd="0" x="13650"/>
        <item sd="0" x="13651"/>
        <item sd="0" x="13652"/>
        <item sd="0" x="13653"/>
        <item sd="0" x="13654"/>
        <item sd="0" x="13655"/>
        <item sd="0" x="13656"/>
        <item sd="0" x="13657"/>
        <item sd="0" x="13658"/>
        <item sd="0" x="13659"/>
        <item sd="0" x="13660"/>
        <item sd="0" x="13661"/>
        <item sd="0" x="13662"/>
        <item sd="0" x="13663"/>
        <item sd="0" x="13664"/>
        <item sd="0" x="13665"/>
        <item sd="0" x="13666"/>
        <item sd="0" x="13667"/>
        <item sd="0" x="13668"/>
        <item sd="0" x="13669"/>
        <item sd="0" x="13670"/>
        <item sd="0" x="13671"/>
        <item sd="0" x="13672"/>
        <item sd="0" x="13673"/>
        <item sd="0" x="13674"/>
        <item sd="0" x="13675"/>
        <item sd="0" x="13676"/>
        <item sd="0" x="13677"/>
        <item sd="0" x="13678"/>
        <item sd="0" x="13679"/>
        <item sd="0" x="13680"/>
        <item sd="0" x="13681"/>
        <item sd="0" x="13682"/>
        <item sd="0" x="13683"/>
        <item sd="0" x="13684"/>
        <item sd="0" x="13685"/>
        <item sd="0" x="13686"/>
        <item sd="0" x="13687"/>
        <item sd="0" x="13688"/>
        <item sd="0" x="13689"/>
        <item sd="0" x="13690"/>
        <item sd="0" x="13691"/>
        <item sd="0" x="13692"/>
        <item sd="0" x="13693"/>
        <item sd="0" x="13694"/>
        <item sd="0" x="13695"/>
        <item sd="0" x="13696"/>
        <item sd="0" x="13697"/>
        <item sd="0" x="13698"/>
        <item sd="0" x="13699"/>
        <item sd="0" x="13700"/>
        <item sd="0" x="13701"/>
        <item sd="0" x="13702"/>
        <item sd="0" x="13703"/>
        <item sd="0" x="13704"/>
        <item sd="0" x="13705"/>
        <item sd="0" x="13706"/>
        <item sd="0" x="13707"/>
        <item sd="0" x="13708"/>
        <item sd="0" x="13709"/>
        <item sd="0" x="13710"/>
        <item sd="0" x="13711"/>
        <item sd="0" x="13712"/>
        <item sd="0" x="13713"/>
        <item sd="0" x="13714"/>
        <item sd="0" x="13715"/>
        <item sd="0" x="13716"/>
        <item sd="0" x="13717"/>
        <item sd="0" x="13718"/>
        <item sd="0" x="13719"/>
        <item sd="0" x="13720"/>
        <item sd="0" x="13721"/>
        <item sd="0" x="13722"/>
        <item sd="0" x="13723"/>
        <item sd="0" x="13724"/>
        <item sd="0" x="13725"/>
        <item sd="0" x="13726"/>
        <item sd="0" x="13727"/>
        <item sd="0" x="13728"/>
        <item sd="0" x="13729"/>
        <item sd="0" x="13730"/>
        <item sd="0" x="13731"/>
        <item sd="0" x="13732"/>
        <item sd="0" x="13733"/>
        <item sd="0" x="13734"/>
        <item sd="0" x="13735"/>
        <item sd="0" x="13736"/>
        <item sd="0" x="13737"/>
        <item sd="0" x="13738"/>
        <item sd="0" x="13739"/>
        <item sd="0" x="13740"/>
        <item sd="0" x="13741"/>
        <item sd="0" x="13742"/>
        <item sd="0" x="13743"/>
        <item sd="0" x="13744"/>
        <item sd="0" x="13745"/>
        <item sd="0" x="13746"/>
        <item sd="0" x="13747"/>
        <item sd="0" x="13748"/>
        <item sd="0" x="13749"/>
        <item sd="0" x="13750"/>
        <item sd="0" x="13751"/>
        <item sd="0" x="13752"/>
        <item sd="0" x="13753"/>
        <item sd="0" x="13754"/>
        <item sd="0" x="13755"/>
        <item sd="0" x="13756"/>
        <item sd="0" x="13757"/>
        <item sd="0" x="13758"/>
        <item sd="0" x="13759"/>
        <item sd="0" x="13760"/>
        <item sd="0" x="13761"/>
        <item sd="0" x="13762"/>
        <item sd="0" x="13763"/>
        <item sd="0" x="13764"/>
        <item sd="0" x="13765"/>
        <item sd="0" x="13766"/>
        <item sd="0" x="13767"/>
        <item sd="0" x="13768"/>
        <item sd="0" x="13769"/>
        <item sd="0" x="13770"/>
        <item sd="0" x="13771"/>
        <item sd="0" x="13772"/>
        <item sd="0" x="13773"/>
        <item sd="0" x="13774"/>
        <item sd="0" x="13775"/>
        <item sd="0" x="13776"/>
        <item sd="0" x="13777"/>
        <item sd="0" x="13778"/>
        <item sd="0" x="13779"/>
        <item sd="0" x="13780"/>
        <item sd="0" x="13781"/>
        <item sd="0" x="13782"/>
        <item sd="0" x="13783"/>
        <item sd="0" x="13784"/>
        <item sd="0" x="13785"/>
        <item sd="0" x="13786"/>
        <item sd="0" x="13787"/>
        <item sd="0" x="13788"/>
        <item sd="0" x="13789"/>
        <item sd="0" x="13790"/>
        <item sd="0" x="13791"/>
        <item sd="0" x="13792"/>
        <item sd="0" x="13793"/>
        <item sd="0" x="13794"/>
        <item sd="0" x="13795"/>
        <item sd="0" x="13796"/>
        <item sd="0" x="13797"/>
        <item sd="0" x="13798"/>
        <item sd="0" x="13799"/>
        <item sd="0" x="13800"/>
        <item sd="0" x="13801"/>
        <item sd="0" x="13802"/>
        <item sd="0" x="13803"/>
        <item sd="0" x="13804"/>
        <item sd="0" x="13805"/>
        <item sd="0" x="13806"/>
        <item sd="0" x="13807"/>
        <item sd="0" x="13808"/>
        <item sd="0" x="13809"/>
        <item sd="0" x="13810"/>
        <item sd="0" x="13811"/>
        <item sd="0" x="13812"/>
        <item sd="0" x="13813"/>
        <item sd="0" x="13814"/>
        <item sd="0" x="13815"/>
        <item sd="0" x="13816"/>
        <item sd="0" x="13817"/>
        <item sd="0" x="13818"/>
        <item sd="0" x="13819"/>
        <item sd="0" x="13820"/>
        <item sd="0" x="13821"/>
        <item sd="0" x="13822"/>
        <item sd="0" x="13823"/>
        <item sd="0" x="13824"/>
        <item sd="0" x="13825"/>
        <item sd="0" x="13826"/>
        <item sd="0" x="13827"/>
        <item sd="0" x="13828"/>
        <item sd="0" x="13829"/>
        <item sd="0" x="13830"/>
        <item sd="0" x="13831"/>
        <item sd="0" x="13832"/>
        <item sd="0" x="13833"/>
        <item sd="0" x="13834"/>
        <item sd="0" x="13835"/>
        <item sd="0" x="13836"/>
        <item sd="0" x="13837"/>
        <item sd="0" x="13838"/>
        <item sd="0" x="13839"/>
        <item sd="0" x="13840"/>
        <item sd="0" x="13841"/>
        <item sd="0" x="13842"/>
        <item sd="0" x="13843"/>
        <item sd="0" x="13844"/>
        <item sd="0" x="13845"/>
        <item sd="0" x="13846"/>
        <item sd="0" x="13847"/>
        <item sd="0" x="13848"/>
        <item sd="0" x="13849"/>
        <item sd="0" x="13850"/>
        <item sd="0" x="13851"/>
        <item sd="0" x="13852"/>
        <item sd="0" x="13853"/>
        <item sd="0" x="13854"/>
        <item sd="0" x="13855"/>
        <item sd="0" x="13856"/>
        <item sd="0" x="13857"/>
        <item sd="0" x="13858"/>
        <item sd="0" x="13859"/>
        <item sd="0" x="13860"/>
        <item sd="0" x="13861"/>
        <item sd="0" x="13862"/>
        <item sd="0" x="13863"/>
        <item sd="0" x="13864"/>
        <item sd="0" x="13865"/>
        <item sd="0" x="13866"/>
        <item sd="0" x="13867"/>
        <item sd="0" x="13868"/>
        <item sd="0" x="13869"/>
        <item sd="0" x="13870"/>
        <item sd="0" x="13871"/>
        <item sd="0" x="13872"/>
        <item sd="0" x="13873"/>
        <item sd="0" x="13874"/>
        <item sd="0" x="13875"/>
        <item sd="0" x="13876"/>
        <item sd="0" x="13877"/>
        <item sd="0" x="13878"/>
        <item sd="0" x="13879"/>
        <item sd="0" x="13880"/>
        <item sd="0" x="13881"/>
        <item sd="0" x="13882"/>
        <item sd="0" x="13883"/>
        <item sd="0" x="13884"/>
        <item sd="0" x="13885"/>
        <item sd="0" x="13886"/>
        <item sd="0" x="13887"/>
        <item sd="0" x="13888"/>
        <item sd="0" x="13889"/>
        <item sd="0" x="13890"/>
        <item sd="0" x="13891"/>
        <item sd="0" x="13892"/>
        <item sd="0" x="13893"/>
        <item sd="0" x="13894"/>
        <item sd="0" x="13895"/>
        <item sd="0" x="13896"/>
        <item sd="0" x="13897"/>
        <item sd="0" x="13898"/>
        <item sd="0" x="13899"/>
        <item sd="0" x="13900"/>
        <item sd="0" x="13901"/>
        <item sd="0" x="13902"/>
        <item sd="0" x="13903"/>
        <item sd="0" x="13904"/>
        <item sd="0" x="13905"/>
        <item sd="0" x="13906"/>
        <item sd="0" x="13907"/>
        <item sd="0" x="13908"/>
        <item sd="0" x="13909"/>
        <item sd="0" x="13910"/>
        <item sd="0" x="13911"/>
        <item sd="0" x="13912"/>
        <item sd="0" x="13913"/>
        <item sd="0" x="13914"/>
        <item sd="0" x="13915"/>
        <item sd="0" x="13916"/>
        <item sd="0" x="13917"/>
        <item sd="0" x="13918"/>
        <item sd="0" x="13919"/>
        <item sd="0" x="13920"/>
        <item sd="0" x="13921"/>
        <item sd="0" x="13922"/>
        <item sd="0" x="13923"/>
        <item sd="0" x="13924"/>
        <item sd="0" x="13925"/>
        <item sd="0" x="13926"/>
        <item sd="0" x="13927"/>
        <item sd="0" x="13928"/>
        <item sd="0" x="13929"/>
        <item sd="0" x="13930"/>
        <item sd="0" x="13931"/>
        <item sd="0" x="13932"/>
        <item sd="0" x="13933"/>
        <item sd="0" x="13934"/>
        <item sd="0" x="13935"/>
        <item sd="0" x="13936"/>
        <item sd="0" x="13937"/>
        <item sd="0" x="13938"/>
        <item sd="0" x="13939"/>
        <item sd="0" x="13940"/>
        <item sd="0" x="13941"/>
        <item sd="0" x="13942"/>
        <item sd="0" x="13943"/>
        <item sd="0" x="13944"/>
        <item sd="0" x="13945"/>
        <item sd="0" x="13946"/>
        <item sd="0" x="13947"/>
        <item sd="0" x="13948"/>
        <item sd="0" x="13949"/>
        <item sd="0" x="13950"/>
        <item sd="0" x="13951"/>
        <item sd="0" x="13952"/>
        <item sd="0" x="13953"/>
        <item sd="0" x="13954"/>
        <item sd="0" x="13955"/>
        <item sd="0" x="13956"/>
        <item sd="0" x="13957"/>
        <item sd="0" x="13958"/>
        <item sd="0" x="13959"/>
        <item sd="0" x="13960"/>
        <item sd="0" x="13961"/>
        <item sd="0" x="13962"/>
        <item sd="0" x="13963"/>
        <item sd="0" x="13964"/>
        <item sd="0" x="13965"/>
        <item sd="0" x="13966"/>
        <item sd="0" x="13967"/>
        <item sd="0" x="13968"/>
        <item sd="0" x="13969"/>
        <item sd="0" x="13970"/>
        <item sd="0" x="13971"/>
        <item sd="0" x="13972"/>
        <item sd="0" x="13973"/>
        <item sd="0" x="13974"/>
        <item sd="0" x="13975"/>
        <item sd="0" x="13976"/>
        <item sd="0" x="13977"/>
        <item sd="0" x="13978"/>
        <item sd="0" x="13979"/>
        <item sd="0" x="13980"/>
        <item sd="0" x="13981"/>
        <item sd="0" x="13982"/>
        <item sd="0" x="13983"/>
        <item sd="0" x="13984"/>
        <item sd="0" x="13985"/>
        <item sd="0" x="13986"/>
        <item sd="0" x="13987"/>
        <item sd="0" x="13988"/>
        <item sd="0" x="13989"/>
        <item sd="0" x="13990"/>
        <item sd="0" x="13991"/>
        <item sd="0" x="13992"/>
        <item sd="0" x="13993"/>
        <item sd="0" x="13994"/>
        <item sd="0" x="13995"/>
        <item sd="0" x="13996"/>
        <item sd="0" x="13997"/>
        <item sd="0" x="13998"/>
        <item sd="0" x="13999"/>
        <item sd="0" x="14000"/>
        <item sd="0" x="14001"/>
        <item sd="0" x="14002"/>
        <item sd="0" x="14003"/>
        <item sd="0" x="14004"/>
        <item sd="0" x="14005"/>
        <item sd="0" x="14006"/>
        <item sd="0" x="14007"/>
        <item sd="0" x="14008"/>
        <item sd="0" x="14009"/>
        <item sd="0" x="14010"/>
        <item sd="0" x="14011"/>
        <item sd="0" x="14012"/>
        <item sd="0" x="14013"/>
        <item sd="0" x="14014"/>
        <item sd="0" x="14015"/>
        <item sd="0" x="14016"/>
        <item sd="0" x="14017"/>
        <item sd="0" x="14018"/>
        <item sd="0" x="14019"/>
        <item sd="0" x="14020"/>
        <item sd="0" x="14021"/>
        <item sd="0" x="14022"/>
        <item sd="0" x="14023"/>
        <item sd="0" x="14024"/>
        <item sd="0" x="14025"/>
        <item sd="0" x="14026"/>
        <item sd="0" x="14027"/>
        <item sd="0" x="14028"/>
        <item sd="0" x="14029"/>
        <item sd="0" x="14030"/>
        <item sd="0" x="14031"/>
        <item sd="0" x="14032"/>
        <item sd="0" x="14033"/>
        <item sd="0" x="14034"/>
        <item sd="0" x="14035"/>
        <item sd="0" x="14036"/>
        <item sd="0" x="14037"/>
        <item sd="0" x="14038"/>
        <item sd="0" x="14039"/>
        <item sd="0" x="14040"/>
        <item sd="0" x="14041"/>
        <item sd="0" x="14042"/>
        <item sd="0" x="14043"/>
        <item sd="0" x="14044"/>
        <item sd="0" x="14045"/>
        <item sd="0" x="14046"/>
        <item sd="0" x="14047"/>
        <item sd="0" x="14048"/>
        <item sd="0" x="14049"/>
        <item sd="0" x="14050"/>
        <item sd="0" x="14051"/>
        <item sd="0" x="14052"/>
        <item sd="0" x="14053"/>
        <item sd="0" x="14054"/>
        <item sd="0" x="14055"/>
        <item sd="0" x="14056"/>
        <item sd="0" x="14057"/>
        <item sd="0" x="14058"/>
        <item sd="0" x="14059"/>
        <item sd="0" x="14060"/>
        <item sd="0" x="14061"/>
        <item sd="0" x="14062"/>
        <item sd="0" x="14063"/>
        <item sd="0" x="14064"/>
        <item sd="0" x="14065"/>
        <item sd="0" x="14066"/>
        <item sd="0" x="14067"/>
        <item sd="0" x="14068"/>
        <item sd="0" x="14069"/>
        <item sd="0" x="14070"/>
        <item sd="0" x="14071"/>
        <item sd="0" x="14072"/>
        <item sd="0" x="14073"/>
        <item sd="0" x="14074"/>
        <item sd="0" x="14075"/>
        <item sd="0" x="14076"/>
        <item sd="0" x="14077"/>
        <item sd="0" x="14078"/>
        <item sd="0" x="14079"/>
        <item sd="0" x="14080"/>
        <item sd="0" x="14081"/>
        <item sd="0" x="14082"/>
        <item sd="0" x="14083"/>
        <item sd="0" x="14084"/>
        <item sd="0" x="14085"/>
        <item sd="0" x="14086"/>
        <item sd="0" x="14087"/>
        <item sd="0" x="14088"/>
        <item sd="0" x="14089"/>
        <item sd="0" x="14090"/>
        <item sd="0" x="14091"/>
        <item sd="0" x="14092"/>
        <item sd="0" x="14093"/>
        <item sd="0" x="14094"/>
        <item sd="0" x="14095"/>
        <item sd="0" x="14096"/>
        <item sd="0" x="14097"/>
        <item sd="0" x="14098"/>
        <item sd="0" x="14099"/>
        <item sd="0" x="14100"/>
        <item sd="0" x="14101"/>
        <item sd="0" x="14102"/>
        <item sd="0" x="14103"/>
        <item sd="0" x="14104"/>
        <item sd="0" x="14105"/>
        <item sd="0" x="14106"/>
        <item sd="0" x="14107"/>
        <item sd="0" x="14108"/>
        <item sd="0" x="14109"/>
        <item sd="0" x="14110"/>
        <item sd="0" x="14111"/>
        <item sd="0" x="14112"/>
        <item sd="0" x="14113"/>
        <item sd="0" x="14114"/>
        <item sd="0" x="14115"/>
        <item sd="0" x="14116"/>
        <item sd="0" x="14117"/>
        <item sd="0" x="14118"/>
        <item sd="0" x="14119"/>
        <item sd="0" x="14120"/>
        <item sd="0" x="14121"/>
        <item sd="0" x="14122"/>
        <item sd="0" x="14123"/>
        <item sd="0" x="14124"/>
        <item sd="0" x="14125"/>
        <item sd="0" x="14126"/>
        <item sd="0" x="14127"/>
        <item sd="0" x="14128"/>
        <item sd="0" x="14129"/>
        <item sd="0" x="14130"/>
        <item sd="0" x="14131"/>
        <item sd="0" x="14132"/>
        <item sd="0" x="14133"/>
        <item sd="0" x="14134"/>
        <item sd="0" x="14135"/>
        <item sd="0" x="14136"/>
        <item sd="0" x="14137"/>
        <item sd="0" x="14138"/>
        <item sd="0" x="14139"/>
        <item sd="0" x="14140"/>
        <item sd="0" x="14141"/>
        <item sd="0" x="14142"/>
        <item sd="0" x="14143"/>
        <item sd="0" x="14144"/>
        <item sd="0" x="14145"/>
        <item sd="0" x="14146"/>
        <item sd="0" x="14147"/>
        <item sd="0" x="14148"/>
        <item sd="0" x="14149"/>
        <item sd="0" x="14150"/>
        <item sd="0" x="14151"/>
        <item sd="0" x="14152"/>
        <item sd="0" x="14153"/>
        <item sd="0" x="14154"/>
        <item sd="0" x="14155"/>
        <item sd="0" x="14156"/>
        <item sd="0" x="14157"/>
        <item sd="0" x="14158"/>
        <item sd="0" x="14159"/>
        <item sd="0" x="14160"/>
        <item sd="0" x="14161"/>
        <item sd="0" x="14162"/>
        <item sd="0" x="14163"/>
        <item sd="0" x="14164"/>
        <item sd="0" x="14165"/>
        <item sd="0" x="14166"/>
        <item sd="0" x="14167"/>
        <item sd="0" x="14168"/>
        <item sd="0" x="14169"/>
        <item sd="0" x="14170"/>
        <item sd="0" x="14171"/>
        <item sd="0" x="14172"/>
        <item sd="0" x="14173"/>
        <item sd="0" x="14174"/>
        <item sd="0" x="14175"/>
        <item sd="0" x="14176"/>
        <item sd="0" x="14177"/>
        <item sd="0" x="14178"/>
        <item sd="0" x="14179"/>
        <item sd="0" x="14180"/>
        <item sd="0" x="14181"/>
        <item sd="0" x="14182"/>
        <item sd="0" x="14183"/>
        <item sd="0" x="14184"/>
        <item sd="0" x="14185"/>
        <item sd="0" x="14186"/>
        <item sd="0" x="14187"/>
        <item sd="0" x="14188"/>
        <item sd="0" x="14189"/>
        <item sd="0" x="14190"/>
        <item sd="0" x="14191"/>
        <item sd="0" x="14192"/>
        <item sd="0" x="14193"/>
        <item sd="0" x="14194"/>
        <item sd="0" x="14195"/>
        <item sd="0" x="14196"/>
        <item sd="0" x="14197"/>
        <item sd="0" x="14198"/>
        <item sd="0" x="14199"/>
        <item sd="0" x="14200"/>
        <item sd="0" x="14201"/>
        <item sd="0" x="14202"/>
        <item sd="0" x="14203"/>
        <item sd="0" x="14204"/>
        <item sd="0" x="14205"/>
        <item sd="0" x="14206"/>
        <item sd="0" x="14207"/>
        <item sd="0" x="14208"/>
        <item sd="0" x="14209"/>
        <item sd="0" x="14210"/>
        <item sd="0" x="14211"/>
        <item sd="0" x="14212"/>
        <item sd="0" x="14213"/>
        <item sd="0" x="14214"/>
        <item sd="0" x="14215"/>
        <item sd="0" x="14216"/>
        <item sd="0" x="14217"/>
        <item sd="0" x="14218"/>
        <item sd="0" x="14219"/>
        <item sd="0" x="14220"/>
        <item sd="0" x="14221"/>
        <item sd="0" x="14222"/>
        <item sd="0" x="14223"/>
        <item sd="0" x="14224"/>
        <item sd="0" x="14225"/>
        <item sd="0" x="14226"/>
        <item sd="0" x="14227"/>
        <item sd="0" x="14228"/>
        <item sd="0" x="14229"/>
        <item sd="0" x="14230"/>
        <item sd="0" x="14231"/>
        <item sd="0" x="14232"/>
        <item sd="0" x="14233"/>
        <item sd="0" x="14234"/>
        <item sd="0" x="14235"/>
        <item sd="0" x="14236"/>
        <item sd="0" x="14237"/>
        <item sd="0" x="14238"/>
        <item sd="0" x="14239"/>
        <item sd="0" x="14240"/>
        <item sd="0" x="14241"/>
        <item sd="0" x="14242"/>
        <item sd="0" x="14243"/>
        <item sd="0" x="14244"/>
        <item sd="0" x="14245"/>
        <item sd="0" x="14246"/>
        <item sd="0" x="14247"/>
        <item sd="0" x="14248"/>
        <item sd="0" x="14249"/>
        <item sd="0" x="14250"/>
        <item sd="0" x="14251"/>
        <item sd="0" x="14252"/>
        <item sd="0" x="14253"/>
        <item sd="0" x="14254"/>
        <item sd="0" x="14255"/>
        <item sd="0" x="14256"/>
        <item sd="0" x="14257"/>
        <item sd="0" x="14258"/>
        <item sd="0" x="14259"/>
        <item sd="0" x="14260"/>
        <item sd="0" x="14261"/>
        <item sd="0" x="14262"/>
        <item sd="0" x="14263"/>
        <item sd="0" x="14264"/>
        <item sd="0" x="14265"/>
        <item sd="0" x="14266"/>
        <item sd="0" x="14267"/>
        <item sd="0" x="14268"/>
        <item sd="0" x="14269"/>
        <item sd="0" x="14270"/>
        <item sd="0" x="14271"/>
        <item sd="0" x="14272"/>
        <item sd="0" x="14273"/>
        <item sd="0" x="14274"/>
        <item sd="0" x="14275"/>
        <item sd="0" x="14276"/>
        <item sd="0" x="14277"/>
        <item sd="0" x="14278"/>
        <item sd="0" x="14279"/>
        <item sd="0" x="14280"/>
        <item sd="0" x="14281"/>
        <item sd="0" x="14282"/>
        <item sd="0" x="14283"/>
        <item sd="0" x="14284"/>
        <item sd="0" x="14285"/>
        <item sd="0" x="14286"/>
        <item sd="0" x="14287"/>
        <item sd="0" x="14288"/>
        <item sd="0" x="14289"/>
        <item sd="0" x="14290"/>
        <item sd="0" x="14291"/>
        <item sd="0" x="14292"/>
        <item sd="0" x="14293"/>
        <item sd="0" x="14294"/>
        <item sd="0" x="14295"/>
        <item sd="0" x="14296"/>
        <item sd="0" x="14297"/>
        <item sd="0" x="14298"/>
        <item sd="0" x="14299"/>
        <item sd="0" x="14300"/>
        <item sd="0" x="14301"/>
        <item sd="0" x="14302"/>
        <item sd="0" x="14303"/>
        <item sd="0" x="14304"/>
        <item sd="0" x="14305"/>
        <item sd="0" x="14306"/>
        <item sd="0" x="14307"/>
        <item sd="0" x="14308"/>
        <item sd="0" x="14309"/>
        <item sd="0" x="14310"/>
        <item sd="0" x="14311"/>
        <item sd="0" x="14312"/>
        <item sd="0" x="14313"/>
        <item sd="0" x="14314"/>
        <item sd="0" x="14315"/>
        <item sd="0" x="14316"/>
        <item sd="0" x="14317"/>
        <item sd="0" x="14318"/>
        <item sd="0" x="14319"/>
        <item sd="0" x="14320"/>
        <item sd="0" x="14321"/>
        <item sd="0" x="14322"/>
        <item sd="0" x="14323"/>
        <item sd="0" x="14324"/>
        <item sd="0" x="14325"/>
        <item sd="0" x="14326"/>
        <item sd="0" x="14327"/>
        <item sd="0" x="14328"/>
        <item sd="0" x="14329"/>
        <item sd="0" x="14330"/>
        <item sd="0" x="14331"/>
        <item sd="0" x="14332"/>
        <item sd="0" x="14333"/>
        <item sd="0" x="14334"/>
        <item sd="0" x="14335"/>
        <item sd="0" x="14336"/>
        <item sd="0" x="14337"/>
        <item sd="0" x="14338"/>
        <item sd="0" x="14339"/>
        <item sd="0" x="14340"/>
        <item sd="0" x="14341"/>
        <item sd="0" x="14342"/>
        <item sd="0" x="14343"/>
        <item sd="0" x="14344"/>
        <item sd="0" x="14345"/>
        <item sd="0" x="14346"/>
        <item sd="0" x="14347"/>
        <item sd="0" x="14348"/>
        <item sd="0" x="14349"/>
        <item sd="0" x="14350"/>
        <item sd="0" x="14351"/>
        <item sd="0" x="14352"/>
        <item sd="0" x="14353"/>
        <item sd="0" x="14354"/>
        <item sd="0" x="14355"/>
        <item sd="0" x="14356"/>
        <item sd="0" x="14357"/>
        <item sd="0" x="14358"/>
        <item sd="0" x="14359"/>
        <item sd="0" x="14360"/>
        <item sd="0" x="14361"/>
        <item sd="0" x="14362"/>
        <item sd="0" x="14363"/>
        <item sd="0" x="14364"/>
        <item sd="0" x="14365"/>
        <item sd="0" x="14366"/>
        <item sd="0" x="14367"/>
        <item sd="0" x="14368"/>
        <item sd="0" x="14369"/>
        <item sd="0" x="14370"/>
        <item sd="0" x="14371"/>
        <item sd="0" x="14372"/>
        <item sd="0" x="14373"/>
        <item sd="0" x="14374"/>
        <item sd="0" x="14375"/>
        <item sd="0" x="14376"/>
        <item sd="0" x="14377"/>
        <item sd="0" x="14378"/>
        <item sd="0" x="14379"/>
        <item sd="0" x="14380"/>
        <item sd="0" x="14381"/>
        <item sd="0" x="14382"/>
        <item sd="0" x="14383"/>
        <item sd="0" x="14384"/>
        <item sd="0" x="14385"/>
        <item sd="0" x="14386"/>
        <item sd="0" x="14387"/>
        <item sd="0" x="14388"/>
        <item sd="0" x="14389"/>
        <item sd="0" x="14390"/>
        <item sd="0" x="14391"/>
        <item sd="0" x="14392"/>
        <item sd="0" x="14393"/>
        <item sd="0" x="14394"/>
        <item sd="0" x="14395"/>
        <item sd="0" x="14396"/>
        <item sd="0" x="14397"/>
        <item sd="0" x="14398"/>
        <item sd="0" x="14399"/>
        <item sd="0" x="14400"/>
        <item sd="0" x="14401"/>
        <item sd="0" x="14402"/>
        <item sd="0" x="14403"/>
        <item sd="0" x="14404"/>
        <item sd="0" x="14405"/>
        <item sd="0" x="14406"/>
        <item sd="0" x="14407"/>
        <item sd="0" x="14408"/>
        <item sd="0" x="14409"/>
        <item sd="0" x="14410"/>
        <item sd="0" x="14411"/>
        <item sd="0" x="14412"/>
        <item sd="0" x="14413"/>
        <item sd="0" x="14414"/>
        <item sd="0" x="14415"/>
        <item sd="0" x="14416"/>
        <item sd="0" x="14417"/>
        <item sd="0" x="14418"/>
        <item sd="0" x="14419"/>
        <item sd="0" x="14420"/>
        <item sd="0" x="14421"/>
        <item sd="0" x="14422"/>
        <item sd="0" x="14423"/>
        <item sd="0" x="14424"/>
        <item sd="0" x="14425"/>
        <item sd="0" x="14426"/>
        <item sd="0" x="14427"/>
        <item sd="0" x="14428"/>
        <item sd="0" x="14429"/>
        <item sd="0" x="14430"/>
        <item sd="0" x="14431"/>
        <item sd="0" x="14432"/>
        <item sd="0" x="14433"/>
        <item sd="0" x="14434"/>
        <item sd="0" x="14435"/>
        <item sd="0" x="14436"/>
        <item sd="0" x="14437"/>
        <item sd="0" x="14438"/>
        <item sd="0" x="14439"/>
        <item sd="0" x="14440"/>
        <item sd="0" x="14441"/>
        <item sd="0" x="14442"/>
        <item sd="0" x="14443"/>
        <item sd="0" x="14444"/>
        <item sd="0" x="14445"/>
        <item sd="0" x="14446"/>
        <item sd="0" x="14447"/>
        <item sd="0" x="14448"/>
        <item sd="0" x="14449"/>
        <item sd="0" x="14450"/>
        <item sd="0" x="14451"/>
        <item sd="0" x="14452"/>
        <item sd="0" x="14453"/>
        <item sd="0" x="14454"/>
        <item sd="0" x="14455"/>
        <item sd="0" x="14456"/>
        <item sd="0" x="14457"/>
        <item sd="0" x="14458"/>
        <item sd="0" x="14459"/>
        <item sd="0" x="14460"/>
        <item sd="0" x="14461"/>
        <item sd="0" x="14462"/>
        <item sd="0" x="14463"/>
        <item sd="0" x="14464"/>
        <item sd="0" x="14465"/>
        <item sd="0" x="14466"/>
        <item sd="0" x="14467"/>
        <item sd="0" x="14468"/>
        <item sd="0" x="14469"/>
        <item sd="0" x="14470"/>
        <item sd="0" x="14471"/>
        <item sd="0" x="14472"/>
        <item sd="0" x="14473"/>
        <item sd="0" x="14474"/>
        <item sd="0" x="14475"/>
        <item sd="0" x="14476"/>
        <item sd="0" x="14477"/>
        <item sd="0" x="14478"/>
        <item sd="0" x="14479"/>
        <item sd="0" x="14480"/>
        <item sd="0" x="14481"/>
        <item sd="0" x="14482"/>
        <item sd="0" x="14483"/>
        <item sd="0" x="14484"/>
        <item sd="0" x="14485"/>
        <item sd="0" x="14486"/>
        <item sd="0" x="14487"/>
        <item sd="0" x="14488"/>
        <item sd="0" x="14489"/>
        <item sd="0" x="14490"/>
        <item sd="0" x="14491"/>
        <item sd="0" x="14492"/>
        <item sd="0" x="14493"/>
        <item sd="0" x="14494"/>
        <item sd="0" x="14495"/>
        <item sd="0" x="14496"/>
        <item sd="0" x="14497"/>
        <item sd="0" x="14498"/>
        <item sd="0" x="14499"/>
        <item sd="0" x="14500"/>
        <item sd="0" x="14501"/>
        <item sd="0" x="14502"/>
        <item sd="0" x="14503"/>
        <item sd="0" x="14504"/>
        <item sd="0" x="14505"/>
        <item sd="0" x="14506"/>
        <item sd="0" x="14507"/>
        <item sd="0" x="14508"/>
        <item sd="0" x="14509"/>
        <item sd="0" x="14510"/>
        <item sd="0" x="14511"/>
        <item sd="0" x="14512"/>
        <item sd="0" x="14513"/>
        <item sd="0" x="14514"/>
        <item sd="0" x="14515"/>
        <item sd="0" x="14516"/>
        <item sd="0" x="14517"/>
        <item sd="0" x="14518"/>
        <item sd="0" x="14519"/>
        <item sd="0" x="14520"/>
        <item sd="0" x="14521"/>
        <item sd="0" x="14522"/>
        <item sd="0" x="14523"/>
        <item sd="0" x="14524"/>
        <item sd="0" x="14525"/>
        <item sd="0" x="14526"/>
        <item sd="0" x="14527"/>
        <item sd="0" x="14528"/>
        <item sd="0" x="14529"/>
        <item sd="0" x="14530"/>
        <item sd="0" x="14531"/>
        <item sd="0" x="14532"/>
        <item sd="0" x="14533"/>
        <item sd="0" x="14534"/>
        <item sd="0" x="14535"/>
        <item sd="0" x="14536"/>
        <item sd="0" x="14537"/>
        <item sd="0" x="14538"/>
        <item sd="0" x="14539"/>
        <item sd="0" x="14540"/>
        <item sd="0" x="14541"/>
        <item sd="0" x="14542"/>
        <item sd="0" x="14543"/>
        <item sd="0" x="14544"/>
        <item sd="0" x="14545"/>
        <item sd="0" x="14546"/>
        <item sd="0" x="14547"/>
        <item sd="0" x="14548"/>
        <item sd="0" x="14549"/>
        <item sd="0" x="14550"/>
        <item sd="0" x="14551"/>
        <item sd="0" x="14552"/>
        <item sd="0" x="14553"/>
        <item sd="0" x="14554"/>
        <item sd="0" x="14555"/>
        <item sd="0" x="14556"/>
        <item sd="0" x="14557"/>
        <item sd="0" x="14558"/>
        <item sd="0" x="14559"/>
        <item sd="0" x="14560"/>
        <item sd="0" x="14561"/>
        <item sd="0" x="14562"/>
        <item sd="0" x="14563"/>
        <item sd="0" x="14564"/>
        <item sd="0" x="14565"/>
        <item sd="0" x="14566"/>
        <item sd="0" x="14567"/>
        <item sd="0" x="14568"/>
        <item sd="0" x="14569"/>
        <item sd="0" x="14570"/>
        <item sd="0" x="14571"/>
        <item sd="0" x="14572"/>
        <item sd="0" x="14573"/>
        <item sd="0" x="14574"/>
        <item sd="0" x="14575"/>
        <item sd="0" x="14576"/>
        <item sd="0" x="14577"/>
        <item sd="0" x="14578"/>
        <item sd="0" x="14579"/>
        <item sd="0" x="14580"/>
        <item sd="0" x="14581"/>
        <item sd="0" x="14582"/>
        <item sd="0" x="14583"/>
        <item sd="0" x="14584"/>
        <item sd="0" x="14585"/>
        <item sd="0" x="14586"/>
        <item sd="0" x="14587"/>
        <item sd="0" x="14588"/>
        <item sd="0" x="14589"/>
        <item sd="0" x="14590"/>
        <item sd="0" x="14591"/>
        <item sd="0" x="14592"/>
        <item sd="0" x="14593"/>
        <item sd="0" x="14594"/>
        <item sd="0" x="14595"/>
        <item sd="0" x="14596"/>
        <item sd="0" x="14597"/>
        <item sd="0" x="14598"/>
        <item sd="0" x="14599"/>
        <item sd="0" x="14600"/>
        <item sd="0" x="14601"/>
        <item sd="0" x="14602"/>
        <item sd="0" x="14603"/>
        <item sd="0" x="14604"/>
        <item sd="0" x="14605"/>
        <item sd="0" x="14606"/>
        <item sd="0" x="14607"/>
        <item sd="0" x="14608"/>
        <item sd="0" x="14609"/>
        <item sd="0" x="14610"/>
        <item sd="0" x="14611"/>
        <item sd="0" x="14612"/>
        <item sd="0" x="14613"/>
        <item sd="0" x="14614"/>
        <item sd="0" x="14615"/>
        <item sd="0" x="14616"/>
        <item sd="0" x="14617"/>
        <item sd="0" x="14618"/>
        <item sd="0" x="14619"/>
        <item sd="0" x="14620"/>
        <item sd="0" x="14621"/>
        <item sd="0" x="14622"/>
        <item sd="0" x="14623"/>
        <item sd="0" x="14624"/>
        <item sd="0" x="14625"/>
        <item sd="0" x="14626"/>
        <item sd="0" x="14627"/>
        <item sd="0" x="14628"/>
        <item sd="0" x="14629"/>
        <item sd="0" x="14630"/>
        <item sd="0" x="14631"/>
        <item sd="0" x="14632"/>
        <item sd="0" x="14633"/>
        <item sd="0" x="14634"/>
        <item sd="0" x="14635"/>
        <item sd="0" x="14636"/>
        <item sd="0" x="14637"/>
        <item sd="0" x="14638"/>
        <item sd="0" x="14639"/>
        <item sd="0" x="14640"/>
        <item sd="0" x="14641"/>
        <item sd="0" x="14642"/>
        <item sd="0" x="14643"/>
        <item sd="0" x="14644"/>
        <item sd="0" x="14645"/>
        <item sd="0" x="14646"/>
        <item sd="0" x="14647"/>
        <item sd="0" x="14648"/>
        <item sd="0" x="14649"/>
        <item sd="0" x="14650"/>
        <item sd="0" x="14651"/>
        <item sd="0" x="14652"/>
        <item sd="0" x="14653"/>
        <item sd="0" x="14654"/>
        <item sd="0" x="14655"/>
        <item sd="0" x="14656"/>
        <item sd="0" x="14657"/>
        <item sd="0" x="14658"/>
        <item sd="0" x="14659"/>
        <item sd="0" x="14660"/>
        <item sd="0" x="14661"/>
        <item sd="0" x="14662"/>
        <item sd="0" x="14663"/>
        <item sd="0" x="14664"/>
        <item sd="0" x="14665"/>
        <item sd="0" x="14666"/>
        <item sd="0" x="14667"/>
        <item sd="0" x="14668"/>
        <item sd="0" x="14669"/>
        <item sd="0" x="14670"/>
        <item sd="0" x="14671"/>
        <item sd="0" x="14672"/>
        <item sd="0" x="14673"/>
        <item sd="0" x="14674"/>
        <item sd="0" x="14675"/>
        <item sd="0" x="14676"/>
        <item sd="0" x="14677"/>
        <item sd="0" x="14678"/>
        <item sd="0" x="14679"/>
        <item sd="0" x="14680"/>
        <item sd="0" x="14681"/>
        <item sd="0" x="14682"/>
        <item sd="0" x="14683"/>
        <item sd="0" x="14684"/>
        <item sd="0" x="14685"/>
        <item sd="0" x="14686"/>
        <item sd="0" x="14687"/>
        <item sd="0" x="14688"/>
        <item sd="0" x="14689"/>
        <item sd="0" x="14690"/>
        <item sd="0" x="14691"/>
        <item sd="0" x="14692"/>
        <item sd="0" x="14693"/>
        <item sd="0" x="14694"/>
        <item sd="0" x="14695"/>
        <item sd="0" x="14696"/>
        <item sd="0" x="14697"/>
        <item sd="0" x="14698"/>
        <item sd="0" x="14699"/>
        <item sd="0" x="14700"/>
        <item sd="0" x="14701"/>
        <item sd="0" x="14702"/>
        <item sd="0" x="14703"/>
        <item sd="0" x="14704"/>
        <item sd="0" x="14705"/>
        <item sd="0" x="14706"/>
        <item sd="0" x="14707"/>
        <item sd="0" x="14708"/>
        <item sd="0" x="14709"/>
        <item sd="0" x="14710"/>
        <item sd="0" x="14711"/>
        <item sd="0" x="14712"/>
        <item sd="0" x="14713"/>
        <item sd="0" x="14714"/>
        <item sd="0" x="14715"/>
        <item sd="0" x="14716"/>
        <item sd="0" x="14717"/>
        <item sd="0" x="14718"/>
        <item sd="0" x="14719"/>
        <item sd="0" x="14720"/>
        <item sd="0" x="14721"/>
        <item sd="0" x="14722"/>
        <item sd="0" x="14723"/>
        <item sd="0" x="14724"/>
        <item sd="0" x="14725"/>
        <item sd="0" x="14726"/>
        <item sd="0" x="14727"/>
        <item sd="0" x="14728"/>
        <item sd="0" x="14729"/>
        <item sd="0" x="14730"/>
        <item sd="0" x="14731"/>
        <item sd="0" x="14732"/>
        <item sd="0" x="14733"/>
        <item sd="0" x="14734"/>
        <item sd="0" x="14735"/>
        <item sd="0" x="14736"/>
        <item sd="0" x="14737"/>
        <item sd="0" x="14738"/>
        <item sd="0" x="14739"/>
        <item sd="0" x="14740"/>
        <item sd="0" x="14741"/>
        <item sd="0" x="14742"/>
        <item sd="0" x="14743"/>
        <item sd="0" x="14744"/>
        <item sd="0" x="14745"/>
        <item sd="0" x="14746"/>
        <item sd="0" x="14747"/>
        <item sd="0" x="14748"/>
        <item sd="0" x="14749"/>
        <item sd="0" x="14750"/>
        <item sd="0" x="14751"/>
        <item sd="0" x="14752"/>
        <item sd="0" x="14753"/>
        <item sd="0" x="14754"/>
        <item sd="0" x="14755"/>
        <item sd="0" x="14756"/>
        <item sd="0" x="14757"/>
        <item sd="0" x="14758"/>
        <item sd="0" x="14759"/>
        <item sd="0" x="14760"/>
        <item sd="0" x="14761"/>
        <item sd="0" x="14762"/>
        <item sd="0" x="14763"/>
        <item sd="0" x="14764"/>
        <item sd="0" x="14765"/>
        <item sd="0" x="14766"/>
        <item sd="0" x="14767"/>
        <item sd="0" x="14768"/>
        <item sd="0" x="14769"/>
        <item sd="0" x="14770"/>
        <item sd="0" x="14771"/>
        <item sd="0" x="14772"/>
        <item sd="0" x="14773"/>
        <item sd="0" x="14774"/>
        <item sd="0" x="14775"/>
        <item sd="0" x="14776"/>
        <item sd="0" x="14777"/>
        <item sd="0" x="14778"/>
        <item sd="0" x="14779"/>
        <item sd="0" x="14780"/>
        <item sd="0" x="14781"/>
        <item sd="0" x="14782"/>
        <item sd="0" x="14783"/>
        <item sd="0" x="14784"/>
        <item sd="0" x="14785"/>
        <item sd="0" x="14786"/>
        <item sd="0" x="14787"/>
        <item sd="0" x="14788"/>
        <item sd="0" x="14789"/>
        <item sd="0" x="14790"/>
        <item sd="0" x="14791"/>
        <item sd="0" x="14792"/>
        <item sd="0" x="14793"/>
        <item sd="0" x="14794"/>
        <item sd="0" x="14795"/>
        <item sd="0" x="14796"/>
        <item sd="0" x="14797"/>
        <item sd="0" x="14798"/>
        <item sd="0" x="14799"/>
        <item sd="0" x="14800"/>
        <item sd="0" x="14801"/>
        <item sd="0" x="14802"/>
        <item sd="0" x="14803"/>
        <item sd="0" x="14804"/>
        <item sd="0" x="14805"/>
        <item sd="0" x="14806"/>
        <item sd="0" x="14807"/>
        <item sd="0" x="14808"/>
        <item sd="0" x="14809"/>
        <item sd="0" x="14810"/>
        <item sd="0" x="14811"/>
        <item sd="0" x="14812"/>
        <item sd="0" x="14813"/>
        <item sd="0" x="14814"/>
        <item sd="0" x="14815"/>
        <item sd="0" x="14816"/>
        <item sd="0" x="14817"/>
        <item sd="0" x="14818"/>
        <item sd="0" x="14819"/>
        <item sd="0" x="14820"/>
        <item sd="0" x="14821"/>
        <item sd="0" x="14822"/>
        <item sd="0" x="14823"/>
        <item sd="0" x="14824"/>
        <item sd="0" x="14825"/>
        <item sd="0" x="14826"/>
        <item sd="0" x="14827"/>
        <item sd="0" x="14828"/>
        <item sd="0" x="14829"/>
        <item sd="0" x="14830"/>
        <item sd="0" x="14831"/>
        <item sd="0" x="14832"/>
        <item sd="0" x="14833"/>
        <item sd="0" x="14834"/>
        <item sd="0" x="14835"/>
        <item sd="0" x="14836"/>
        <item sd="0" x="14837"/>
        <item sd="0" x="14838"/>
        <item sd="0" x="14839"/>
        <item sd="0" x="14840"/>
        <item sd="0" x="14841"/>
        <item sd="0" x="14842"/>
        <item sd="0" x="14843"/>
        <item sd="0" x="14844"/>
        <item sd="0" x="14845"/>
        <item sd="0" x="14846"/>
        <item sd="0" x="14847"/>
        <item sd="0" x="14848"/>
        <item sd="0" x="14849"/>
        <item sd="0" x="14850"/>
        <item sd="0" x="14851"/>
        <item sd="0" x="14852"/>
        <item sd="0" x="14853"/>
        <item sd="0" x="14854"/>
        <item sd="0" x="14855"/>
        <item sd="0" x="14856"/>
        <item sd="0" x="14857"/>
        <item sd="0" x="14858"/>
        <item sd="0" x="14859"/>
        <item sd="0" x="14860"/>
        <item sd="0" x="14861"/>
        <item sd="0" x="14862"/>
        <item sd="0" x="14863"/>
        <item sd="0" x="14864"/>
        <item sd="0" x="14865"/>
        <item sd="0" x="14866"/>
        <item sd="0" x="14867"/>
        <item sd="0" x="14868"/>
        <item sd="0" x="14869"/>
        <item sd="0" x="14870"/>
        <item sd="0" x="14871"/>
        <item sd="0" x="14872"/>
        <item sd="0" x="14873"/>
        <item sd="0" x="14874"/>
        <item sd="0" x="14875"/>
        <item sd="0" x="14876"/>
        <item sd="0" x="14877"/>
        <item sd="0" x="14878"/>
        <item sd="0" x="14879"/>
        <item sd="0" x="14880"/>
        <item sd="0" x="14881"/>
        <item sd="0" x="14882"/>
        <item sd="0" x="14883"/>
        <item sd="0" x="14884"/>
        <item sd="0" x="14885"/>
        <item sd="0" x="14886"/>
        <item sd="0" x="14887"/>
        <item sd="0" x="14888"/>
        <item sd="0" x="14889"/>
        <item sd="0" x="14890"/>
        <item sd="0" x="14891"/>
        <item sd="0" x="14892"/>
        <item sd="0" x="14893"/>
        <item sd="0" x="14894"/>
        <item sd="0" x="14895"/>
        <item sd="0" x="14896"/>
        <item sd="0" x="14897"/>
        <item sd="0" x="14898"/>
        <item sd="0" x="14899"/>
        <item sd="0" x="14900"/>
        <item sd="0" x="14901"/>
        <item sd="0" x="14902"/>
        <item sd="0" x="14903"/>
        <item sd="0" x="14904"/>
        <item sd="0" x="14905"/>
        <item sd="0" x="14906"/>
        <item sd="0" x="14907"/>
        <item sd="0" x="14908"/>
        <item sd="0" x="14909"/>
        <item sd="0" x="14910"/>
        <item sd="0" x="14911"/>
        <item sd="0" x="14912"/>
        <item sd="0" x="14913"/>
        <item sd="0" x="14914"/>
        <item sd="0" x="14915"/>
        <item sd="0" x="14916"/>
        <item sd="0" x="14917"/>
        <item sd="0" x="14918"/>
        <item sd="0" x="14919"/>
        <item sd="0" x="14920"/>
        <item sd="0" x="14921"/>
        <item sd="0" x="14922"/>
        <item sd="0" x="14923"/>
        <item sd="0" x="14924"/>
        <item sd="0" x="14925"/>
        <item sd="0" x="14926"/>
        <item sd="0" x="14927"/>
        <item sd="0" x="14928"/>
        <item sd="0" x="14929"/>
        <item sd="0" x="14930"/>
        <item sd="0" x="14931"/>
        <item sd="0" x="14932"/>
        <item sd="0" x="14933"/>
        <item sd="0" x="14934"/>
        <item sd="0" x="14935"/>
        <item sd="0" x="14936"/>
        <item sd="0" x="14937"/>
        <item sd="0" x="14938"/>
        <item sd="0" x="14939"/>
        <item sd="0" x="14940"/>
        <item sd="0" x="14941"/>
        <item sd="0" x="14942"/>
        <item sd="0" x="14943"/>
        <item sd="0" x="14944"/>
        <item sd="0" x="14945"/>
        <item sd="0" x="14946"/>
        <item sd="0" x="14947"/>
        <item sd="0" x="14948"/>
        <item sd="0" x="14949"/>
        <item sd="0" x="14950"/>
        <item sd="0" x="14951"/>
        <item sd="0" x="14952"/>
        <item sd="0" x="14953"/>
        <item sd="0" x="14954"/>
        <item sd="0" x="14955"/>
        <item sd="0" x="14956"/>
        <item sd="0" x="14957"/>
        <item sd="0" x="14958"/>
        <item sd="0" x="14959"/>
        <item sd="0" x="14960"/>
        <item sd="0" x="14961"/>
        <item sd="0" x="14962"/>
        <item sd="0" x="14963"/>
        <item sd="0" x="14964"/>
        <item sd="0" x="14965"/>
        <item sd="0" x="14966"/>
        <item sd="0" x="14967"/>
        <item sd="0" x="14968"/>
        <item sd="0" x="14969"/>
        <item sd="0" x="14970"/>
        <item sd="0" x="14971"/>
        <item sd="0" x="14972"/>
        <item sd="0" x="14973"/>
        <item sd="0" x="14974"/>
        <item sd="0" x="14975"/>
        <item sd="0" x="14976"/>
        <item sd="0" x="14977"/>
        <item sd="0" x="14978"/>
        <item sd="0" x="14979"/>
        <item sd="0" x="14980"/>
        <item sd="0" x="14981"/>
        <item sd="0" x="14982"/>
        <item sd="0" x="14983"/>
        <item sd="0" x="14984"/>
        <item sd="0" x="14985"/>
        <item sd="0" x="14986"/>
        <item sd="0" x="14987"/>
        <item sd="0" x="14988"/>
        <item sd="0" x="14989"/>
        <item sd="0" x="14990"/>
        <item sd="0" x="14991"/>
        <item sd="0" x="14992"/>
        <item sd="0" x="14993"/>
        <item sd="0" x="14994"/>
        <item sd="0" x="14995"/>
        <item sd="0" x="14996"/>
        <item sd="0" x="14997"/>
        <item sd="0" x="14998"/>
        <item sd="0" x="14999"/>
        <item sd="0" x="15000"/>
        <item sd="0" x="15001"/>
        <item sd="0" x="15002"/>
        <item sd="0" x="15003"/>
        <item sd="0" x="15004"/>
        <item sd="0" x="15005"/>
        <item sd="0" x="15006"/>
        <item sd="0" x="15007"/>
        <item sd="0" x="15008"/>
        <item sd="0" x="15009"/>
        <item sd="0" x="15010"/>
        <item sd="0" x="15011"/>
        <item sd="0" x="15012"/>
        <item sd="0" x="15013"/>
        <item sd="0" x="15014"/>
        <item sd="0" x="15015"/>
        <item sd="0" x="15016"/>
        <item sd="0" x="15017"/>
        <item sd="0" x="15018"/>
        <item sd="0" x="15019"/>
        <item sd="0" x="15020"/>
        <item sd="0" x="15021"/>
        <item sd="0" x="15022"/>
        <item sd="0" x="15023"/>
        <item sd="0" x="15024"/>
        <item sd="0" x="15025"/>
        <item sd="0" x="15026"/>
        <item sd="0" x="15027"/>
        <item sd="0" x="15028"/>
        <item sd="0" x="15029"/>
        <item sd="0" x="15030"/>
        <item sd="0" x="15031"/>
        <item sd="0" x="15032"/>
        <item sd="0" x="15033"/>
        <item sd="0" x="15034"/>
        <item sd="0" x="15035"/>
        <item sd="0" x="15036"/>
        <item sd="0" x="15037"/>
        <item sd="0" x="15038"/>
        <item sd="0" x="15039"/>
        <item sd="0" x="15040"/>
        <item sd="0" x="15041"/>
        <item sd="0" x="15042"/>
        <item sd="0" x="15043"/>
        <item sd="0" x="15044"/>
        <item sd="0" x="15045"/>
        <item sd="0" x="15046"/>
        <item sd="0" x="15047"/>
        <item sd="0" x="15048"/>
        <item sd="0" x="15049"/>
        <item sd="0" x="15050"/>
        <item sd="0" x="15051"/>
        <item sd="0" x="15052"/>
        <item sd="0" x="15053"/>
        <item sd="0" x="15054"/>
        <item sd="0" x="15055"/>
        <item sd="0" x="15056"/>
        <item sd="0" x="15057"/>
        <item sd="0" x="15058"/>
        <item sd="0" x="15059"/>
        <item sd="0" x="15060"/>
        <item sd="0" x="15061"/>
        <item sd="0" x="15062"/>
        <item sd="0" x="15063"/>
        <item sd="0" x="15064"/>
        <item sd="0" x="15065"/>
        <item sd="0" x="15066"/>
        <item sd="0" x="15067"/>
        <item sd="0" x="15068"/>
        <item sd="0" x="15069"/>
        <item sd="0" x="15070"/>
        <item sd="0" x="15071"/>
        <item sd="0" x="15072"/>
        <item sd="0" x="15073"/>
        <item sd="0" x="15074"/>
        <item sd="0" x="15075"/>
        <item sd="0" x="15076"/>
        <item sd="0" x="15077"/>
        <item sd="0" x="15078"/>
        <item sd="0" x="15079"/>
        <item sd="0" x="15080"/>
        <item sd="0" x="15081"/>
        <item sd="0" x="15082"/>
        <item sd="0" x="15083"/>
        <item sd="0" x="15084"/>
        <item sd="0" x="15085"/>
        <item sd="0" x="15086"/>
        <item sd="0" x="15087"/>
        <item sd="0" x="15088"/>
        <item sd="0" x="15089"/>
        <item sd="0" x="15090"/>
        <item sd="0" x="15091"/>
        <item sd="0" x="15092"/>
        <item sd="0" x="15093"/>
        <item sd="0" x="15094"/>
        <item sd="0" x="15095"/>
        <item sd="0" x="15096"/>
        <item sd="0" x="15097"/>
        <item sd="0" x="15098"/>
        <item sd="0" x="15099"/>
        <item sd="0" x="15100"/>
        <item sd="0" x="15101"/>
        <item sd="0" x="15102"/>
        <item sd="0" x="15103"/>
        <item sd="0" x="15104"/>
        <item sd="0" x="15105"/>
        <item sd="0" x="15106"/>
        <item sd="0" x="15107"/>
        <item sd="0" x="15108"/>
        <item sd="0" x="15109"/>
        <item sd="0" x="15110"/>
        <item sd="0" x="15111"/>
        <item sd="0" x="15112"/>
        <item sd="0" x="15113"/>
        <item sd="0" x="15114"/>
        <item sd="0" x="15115"/>
        <item sd="0" x="15116"/>
        <item sd="0" x="15117"/>
        <item sd="0" x="15118"/>
        <item sd="0" x="15119"/>
        <item sd="0" x="15120"/>
        <item sd="0" x="15121"/>
        <item sd="0" x="15122"/>
        <item sd="0" x="15123"/>
        <item sd="0" x="15124"/>
        <item sd="0" x="15125"/>
        <item sd="0" x="15126"/>
        <item sd="0" x="15127"/>
        <item sd="0" x="15128"/>
        <item sd="0" x="15129"/>
        <item sd="0" x="15130"/>
        <item sd="0" x="15131"/>
        <item sd="0" x="15132"/>
        <item sd="0" x="15133"/>
        <item sd="0" x="15134"/>
        <item sd="0" x="15135"/>
        <item sd="0" x="15136"/>
        <item sd="0" x="15137"/>
        <item sd="0" x="15138"/>
        <item sd="0" x="15139"/>
        <item sd="0" x="15140"/>
        <item sd="0" x="15141"/>
        <item sd="0" x="15142"/>
        <item sd="0" x="15143"/>
        <item sd="0" x="15144"/>
        <item sd="0" x="15145"/>
        <item sd="0" x="15146"/>
        <item sd="0" x="15147"/>
        <item sd="0" x="15148"/>
        <item sd="0" x="15149"/>
        <item sd="0" x="15150"/>
        <item sd="0" x="15151"/>
        <item sd="0" x="15152"/>
        <item sd="0" x="15153"/>
        <item sd="0" x="15154"/>
        <item sd="0" x="15155"/>
        <item sd="0" x="15156"/>
        <item sd="0" x="15157"/>
        <item sd="0" x="15158"/>
        <item sd="0" x="15159"/>
        <item sd="0" x="15160"/>
        <item sd="0" x="15161"/>
        <item sd="0" x="15162"/>
        <item sd="0" x="15163"/>
        <item sd="0" x="15164"/>
        <item sd="0" x="15165"/>
        <item sd="0" x="15166"/>
        <item sd="0" x="15167"/>
        <item sd="0" x="15168"/>
        <item sd="0" x="15169"/>
        <item sd="0" x="15170"/>
        <item sd="0" x="15171"/>
        <item sd="0" x="15172"/>
        <item sd="0" x="15173"/>
        <item sd="0" x="15174"/>
        <item sd="0" x="15175"/>
        <item sd="0" x="15176"/>
        <item sd="0" x="15177"/>
        <item sd="0" x="15178"/>
        <item sd="0" x="15179"/>
        <item sd="0" x="15180"/>
        <item sd="0" x="15181"/>
        <item sd="0" x="15182"/>
        <item sd="0" x="15183"/>
        <item sd="0" x="15184"/>
        <item sd="0" x="15185"/>
        <item sd="0" x="15186"/>
        <item sd="0" x="15187"/>
        <item sd="0" x="15188"/>
        <item sd="0" x="15189"/>
        <item sd="0" x="15190"/>
        <item sd="0" x="15191"/>
        <item sd="0" x="15192"/>
        <item sd="0" x="15193"/>
        <item sd="0" x="15194"/>
        <item sd="0" x="15195"/>
        <item sd="0" x="15196"/>
        <item sd="0" x="15197"/>
        <item sd="0" x="15198"/>
        <item sd="0" x="15199"/>
        <item sd="0" x="15200"/>
        <item sd="0" x="15201"/>
        <item sd="0" x="15202"/>
        <item sd="0" x="15203"/>
        <item sd="0" x="15204"/>
        <item sd="0" x="15205"/>
        <item sd="0" x="15206"/>
        <item sd="0" x="15207"/>
        <item sd="0" x="15208"/>
        <item sd="0" x="15209"/>
        <item sd="0" x="15210"/>
        <item sd="0" x="15211"/>
        <item sd="0" x="15212"/>
        <item sd="0" x="15213"/>
        <item sd="0" x="15214"/>
        <item sd="0" x="15215"/>
        <item sd="0" x="15216"/>
        <item sd="0" x="15217"/>
        <item sd="0" x="15218"/>
        <item sd="0" x="15219"/>
        <item sd="0" x="15220"/>
        <item sd="0" x="15221"/>
        <item sd="0" x="15222"/>
        <item sd="0" x="15223"/>
        <item sd="0" x="15224"/>
        <item sd="0" x="15225"/>
        <item sd="0" x="15226"/>
        <item sd="0" x="15227"/>
        <item sd="0" x="15228"/>
        <item sd="0" x="15229"/>
        <item sd="0" x="15230"/>
        <item sd="0" x="15231"/>
        <item sd="0" x="15232"/>
        <item sd="0" x="15233"/>
        <item sd="0" x="15234"/>
        <item sd="0" x="15235"/>
        <item sd="0" x="15236"/>
        <item sd="0" x="15237"/>
        <item sd="0" x="15238"/>
        <item sd="0" x="15239"/>
        <item sd="0" x="15240"/>
        <item sd="0" x="15241"/>
        <item sd="0" x="15242"/>
        <item sd="0" x="15243"/>
        <item sd="0" x="15244"/>
        <item sd="0" x="15245"/>
        <item sd="0" x="15246"/>
        <item sd="0" x="15247"/>
        <item sd="0" x="15248"/>
        <item sd="0" x="15249"/>
        <item sd="0" x="15250"/>
        <item sd="0" x="15251"/>
        <item sd="0" x="15252"/>
        <item sd="0" x="15253"/>
        <item sd="0" x="15254"/>
        <item sd="0" x="15255"/>
        <item sd="0" x="15256"/>
        <item sd="0" x="15257"/>
        <item sd="0" x="15258"/>
        <item sd="0" x="15259"/>
        <item sd="0" x="15260"/>
        <item sd="0" x="15261"/>
        <item sd="0" x="15262"/>
        <item sd="0" x="15263"/>
        <item sd="0" x="15264"/>
        <item sd="0" x="15265"/>
        <item sd="0" x="15266"/>
        <item sd="0" x="15267"/>
        <item sd="0" x="15268"/>
        <item sd="0" x="15269"/>
        <item sd="0" x="15270"/>
        <item sd="0" x="15271"/>
        <item sd="0" x="15272"/>
        <item sd="0" x="15273"/>
        <item sd="0" x="15274"/>
        <item sd="0" x="15275"/>
        <item sd="0" x="15276"/>
        <item sd="0" x="15277"/>
        <item sd="0" x="15278"/>
        <item sd="0" x="15279"/>
        <item sd="0" x="15280"/>
        <item sd="0" x="15281"/>
        <item sd="0" x="15282"/>
        <item sd="0" x="15283"/>
        <item sd="0" x="15284"/>
        <item sd="0" x="15285"/>
        <item sd="0" x="15286"/>
        <item sd="0" x="15287"/>
        <item sd="0" x="15288"/>
        <item sd="0" x="15289"/>
        <item sd="0" x="15290"/>
        <item sd="0" x="15291"/>
        <item sd="0" x="15292"/>
        <item sd="0" x="15293"/>
        <item sd="0" x="15294"/>
        <item sd="0" x="15295"/>
        <item sd="0" x="15296"/>
        <item sd="0" x="15297"/>
        <item sd="0" x="15298"/>
        <item sd="0" x="15299"/>
        <item sd="0" x="15300"/>
        <item sd="0" x="15301"/>
        <item sd="0" x="15302"/>
        <item sd="0" x="15303"/>
        <item sd="0" x="15304"/>
        <item sd="0" x="15305"/>
        <item sd="0" x="15306"/>
        <item sd="0" x="15307"/>
        <item sd="0" x="15308"/>
        <item sd="0" x="15309"/>
        <item sd="0" x="15310"/>
        <item sd="0" x="15311"/>
        <item sd="0" x="15312"/>
        <item sd="0" x="15313"/>
        <item sd="0" x="15314"/>
        <item sd="0" x="15315"/>
        <item sd="0" x="15316"/>
        <item sd="0" x="15317"/>
        <item sd="0" x="15318"/>
        <item sd="0" x="15319"/>
        <item sd="0" x="15320"/>
        <item sd="0" x="15321"/>
        <item sd="0" x="15322"/>
        <item sd="0" x="15323"/>
        <item sd="0" x="15324"/>
        <item sd="0" x="15325"/>
        <item sd="0" x="15326"/>
        <item sd="0" x="15327"/>
        <item sd="0" x="15328"/>
        <item sd="0" x="15329"/>
        <item sd="0" x="15330"/>
        <item sd="0" x="15331"/>
        <item sd="0" x="15332"/>
        <item sd="0" x="15333"/>
        <item sd="0" x="15334"/>
        <item sd="0" x="15335"/>
        <item sd="0" x="15336"/>
        <item sd="0" x="15337"/>
        <item sd="0" x="15338"/>
        <item sd="0" x="15339"/>
        <item sd="0" x="15340"/>
        <item sd="0" x="15341"/>
        <item sd="0" x="15342"/>
        <item sd="0" x="15343"/>
        <item sd="0" x="15344"/>
        <item sd="0" x="15345"/>
        <item sd="0" x="15346"/>
        <item sd="0" x="15347"/>
        <item sd="0" x="15348"/>
        <item sd="0" x="15349"/>
        <item sd="0" x="15350"/>
        <item sd="0" x="15351"/>
        <item sd="0" x="15352"/>
        <item sd="0" x="15353"/>
        <item sd="0" x="15354"/>
        <item sd="0" x="15355"/>
        <item sd="0" x="15356"/>
        <item sd="0" x="15357"/>
        <item sd="0" x="15358"/>
        <item sd="0" x="15359"/>
        <item sd="0" x="15360"/>
        <item sd="0" x="15361"/>
        <item sd="0" x="15362"/>
        <item sd="0" x="15363"/>
        <item sd="0" x="15364"/>
        <item sd="0" x="15365"/>
        <item sd="0" x="15366"/>
        <item sd="0" x="15367"/>
        <item sd="0" x="15368"/>
        <item sd="0" x="15369"/>
        <item sd="0" x="15370"/>
        <item sd="0" x="15371"/>
        <item sd="0" x="15372"/>
        <item sd="0" x="15373"/>
        <item sd="0" x="15374"/>
        <item sd="0" x="15375"/>
        <item sd="0" x="15376"/>
        <item sd="0" x="15377"/>
        <item sd="0" x="15378"/>
        <item sd="0" x="15379"/>
        <item sd="0" x="15380"/>
        <item sd="0" x="15381"/>
        <item sd="0" x="15382"/>
        <item sd="0" x="15383"/>
        <item sd="0" x="15384"/>
        <item sd="0" x="15385"/>
        <item sd="0" x="15386"/>
        <item sd="0" x="15387"/>
        <item sd="0" x="15388"/>
        <item sd="0" x="15389"/>
        <item sd="0" x="15390"/>
        <item sd="0" x="15391"/>
        <item sd="0" x="15392"/>
        <item sd="0" x="15393"/>
        <item sd="0" x="15394"/>
        <item sd="0" x="15395"/>
        <item sd="0" x="15396"/>
        <item sd="0" x="15397"/>
        <item sd="0" x="15398"/>
        <item sd="0" x="15399"/>
        <item sd="0" x="15400"/>
        <item sd="0" x="15401"/>
        <item sd="0" x="15402"/>
        <item sd="0" x="15403"/>
        <item sd="0" x="15404"/>
        <item sd="0" x="15405"/>
        <item sd="0" x="15406"/>
        <item sd="0" x="15407"/>
        <item sd="0" x="15408"/>
        <item sd="0" x="15409"/>
        <item sd="0" x="15410"/>
        <item sd="0" x="15411"/>
        <item sd="0" x="15412"/>
        <item sd="0" x="15413"/>
        <item sd="0" x="15414"/>
        <item sd="0" x="15415"/>
        <item sd="0" x="15416"/>
        <item sd="0" x="15417"/>
        <item sd="0" x="15418"/>
        <item sd="0" x="15419"/>
        <item sd="0" x="15420"/>
        <item sd="0" x="15421"/>
        <item sd="0" x="15422"/>
        <item sd="0" x="15423"/>
        <item sd="0" x="15424"/>
        <item sd="0" x="15425"/>
        <item sd="0" x="15426"/>
        <item sd="0" x="15427"/>
        <item sd="0" x="15428"/>
        <item sd="0" x="15429"/>
        <item sd="0" x="15430"/>
        <item sd="0" x="15431"/>
        <item sd="0" x="15432"/>
        <item sd="0" x="15433"/>
        <item sd="0" x="15434"/>
        <item sd="0" x="15435"/>
        <item sd="0" x="15436"/>
        <item sd="0" x="15437"/>
        <item sd="0" x="15438"/>
        <item sd="0" x="15439"/>
        <item sd="0" x="15440"/>
        <item sd="0" x="15441"/>
        <item sd="0" x="15442"/>
        <item sd="0" x="15443"/>
        <item sd="0" x="15444"/>
        <item sd="0" x="15445"/>
        <item sd="0" x="15446"/>
        <item sd="0" x="15447"/>
        <item sd="0" x="15448"/>
        <item sd="0" x="15449"/>
        <item sd="0" x="15450"/>
        <item sd="0" x="15451"/>
        <item sd="0" x="15452"/>
        <item sd="0" x="15453"/>
        <item sd="0" x="15454"/>
        <item sd="0" x="15455"/>
        <item sd="0" x="15456"/>
        <item sd="0" x="15457"/>
        <item sd="0" x="15458"/>
        <item sd="0" x="15459"/>
        <item sd="0" x="15460"/>
        <item sd="0" x="15461"/>
        <item sd="0" x="15462"/>
        <item sd="0" x="15463"/>
        <item sd="0" x="15464"/>
        <item sd="0" x="15465"/>
        <item sd="0" x="15466"/>
        <item sd="0" x="15467"/>
        <item sd="0" x="15468"/>
        <item sd="0" x="15469"/>
        <item sd="0" x="15470"/>
        <item sd="0" x="15471"/>
        <item sd="0" x="15472"/>
        <item sd="0" x="15473"/>
        <item sd="0" x="15474"/>
        <item sd="0" x="15475"/>
        <item sd="0" x="15476"/>
        <item sd="0" x="15477"/>
        <item sd="0" x="15478"/>
        <item sd="0" x="15479"/>
        <item sd="0" x="15480"/>
        <item sd="0" x="15481"/>
        <item sd="0" x="15482"/>
        <item sd="0" x="15483"/>
        <item sd="0" x="15484"/>
        <item sd="0" x="15485"/>
        <item sd="0" x="15486"/>
        <item sd="0" x="15487"/>
        <item sd="0" x="15488"/>
        <item sd="0" x="15489"/>
        <item sd="0" x="15490"/>
        <item sd="0" x="15491"/>
        <item sd="0" x="15492"/>
        <item sd="0" x="15493"/>
        <item sd="0" x="15494"/>
        <item sd="0" x="15495"/>
        <item sd="0" x="15496"/>
        <item sd="0" x="15497"/>
        <item sd="0" x="15498"/>
        <item sd="0" x="15499"/>
        <item sd="0" x="15500"/>
        <item sd="0" x="15501"/>
        <item sd="0" x="15502"/>
        <item sd="0" x="15503"/>
        <item sd="0" x="15504"/>
        <item sd="0" x="15505"/>
        <item sd="0" x="15506"/>
        <item sd="0" x="15507"/>
        <item sd="0" x="15508"/>
        <item sd="0" x="15509"/>
        <item sd="0" x="15510"/>
        <item sd="0" x="15511"/>
        <item sd="0" x="15512"/>
        <item sd="0" x="15513"/>
        <item sd="0" x="15514"/>
        <item sd="0" x="15515"/>
        <item sd="0" x="15516"/>
        <item sd="0" x="15517"/>
        <item sd="0" x="15518"/>
        <item sd="0" x="15519"/>
        <item sd="0" x="15520"/>
        <item sd="0" x="15521"/>
        <item sd="0" x="15522"/>
        <item sd="0" x="15523"/>
        <item sd="0" x="15524"/>
        <item sd="0" x="15525"/>
        <item sd="0" x="15526"/>
        <item sd="0" x="15527"/>
        <item sd="0" x="15528"/>
        <item sd="0" x="15529"/>
        <item sd="0" x="15530"/>
        <item sd="0" x="15531"/>
        <item sd="0" x="15532"/>
        <item sd="0" x="15533"/>
        <item sd="0" x="15534"/>
        <item sd="0" x="15535"/>
        <item sd="0" x="15536"/>
        <item sd="0" x="15537"/>
        <item sd="0" x="15538"/>
        <item sd="0" x="15539"/>
        <item sd="0" x="15540"/>
        <item sd="0" x="15541"/>
        <item sd="0" x="15542"/>
        <item sd="0" x="15543"/>
        <item sd="0" x="15544"/>
        <item sd="0" x="15545"/>
        <item sd="0" x="15546"/>
        <item sd="0" x="15547"/>
        <item sd="0" x="15548"/>
        <item sd="0" x="15549"/>
        <item sd="0" x="15550"/>
        <item sd="0" x="15551"/>
        <item sd="0" x="15552"/>
        <item sd="0" x="15553"/>
        <item sd="0" x="15554"/>
        <item sd="0" x="15555"/>
        <item sd="0" x="15556"/>
        <item sd="0" x="15557"/>
        <item sd="0" x="15558"/>
        <item sd="0" x="15559"/>
        <item sd="0" x="15560"/>
        <item sd="0" x="15561"/>
        <item sd="0" x="15562"/>
        <item sd="0" x="15563"/>
        <item sd="0" x="15564"/>
        <item sd="0" x="15565"/>
        <item sd="0" x="15566"/>
        <item sd="0" x="15567"/>
        <item sd="0" x="15568"/>
        <item sd="0" x="15569"/>
        <item sd="0" x="15570"/>
        <item sd="0" x="15571"/>
        <item sd="0" x="15572"/>
        <item sd="0" x="15573"/>
        <item sd="0" x="15574"/>
        <item sd="0" x="15575"/>
        <item sd="0" x="15576"/>
        <item sd="0" x="15577"/>
        <item sd="0" x="15578"/>
        <item sd="0" x="15579"/>
        <item sd="0" x="15580"/>
        <item sd="0" x="15581"/>
        <item sd="0" x="15582"/>
        <item sd="0" x="15583"/>
        <item sd="0" x="15584"/>
        <item sd="0" x="15585"/>
        <item sd="0" x="15586"/>
        <item sd="0" x="15587"/>
        <item sd="0" x="15588"/>
        <item sd="0" x="15589"/>
        <item sd="0" x="15590"/>
        <item sd="0" x="15591"/>
        <item sd="0" x="15592"/>
        <item sd="0" x="15593"/>
        <item sd="0" x="15594"/>
        <item sd="0" x="15595"/>
        <item sd="0" x="15596"/>
        <item sd="0" x="15597"/>
        <item sd="0" x="15598"/>
        <item sd="0" x="15599"/>
        <item sd="0" x="15600"/>
        <item sd="0" x="15601"/>
        <item sd="0" x="15602"/>
        <item sd="0" x="15603"/>
        <item sd="0" x="15604"/>
        <item sd="0" x="15605"/>
        <item sd="0" x="15606"/>
        <item sd="0" x="15607"/>
        <item sd="0" x="15608"/>
        <item sd="0" x="15609"/>
        <item sd="0" x="15610"/>
        <item sd="0" x="15611"/>
        <item sd="0" x="15612"/>
        <item sd="0" x="15613"/>
        <item sd="0" x="15614"/>
        <item sd="0" x="15615"/>
        <item sd="0" x="15616"/>
        <item sd="0" x="15617"/>
        <item sd="0" x="15618"/>
        <item sd="0" x="15619"/>
        <item sd="0" x="15620"/>
        <item sd="0" x="15621"/>
        <item sd="0" x="15622"/>
        <item sd="0" x="15623"/>
        <item sd="0" x="15624"/>
        <item sd="0" x="15625"/>
        <item sd="0" x="15626"/>
        <item sd="0" x="15627"/>
        <item sd="0" x="15628"/>
        <item sd="0" x="15629"/>
        <item sd="0" x="15630"/>
        <item sd="0" x="15631"/>
        <item sd="0" x="15632"/>
        <item sd="0" x="15633"/>
        <item sd="0" x="15634"/>
        <item sd="0" x="15635"/>
        <item sd="0" x="15636"/>
        <item sd="0" x="15637"/>
        <item sd="0" x="15638"/>
        <item sd="0" x="15639"/>
        <item sd="0" x="15640"/>
        <item sd="0" x="15641"/>
        <item sd="0" x="15642"/>
        <item sd="0" x="15643"/>
        <item sd="0" x="15644"/>
        <item sd="0" x="15645"/>
        <item sd="0" x="15646"/>
        <item sd="0" x="15647"/>
        <item sd="0" x="15648"/>
        <item sd="0" x="15649"/>
        <item sd="0" x="15650"/>
        <item sd="0" x="15651"/>
        <item sd="0" x="15652"/>
        <item sd="0" x="15653"/>
        <item sd="0" x="15654"/>
        <item sd="0" x="15655"/>
        <item sd="0" x="15656"/>
        <item sd="0" x="15657"/>
        <item sd="0" x="15658"/>
        <item sd="0" x="15659"/>
        <item sd="0" x="15660"/>
        <item sd="0" x="15661"/>
        <item sd="0" x="15662"/>
        <item sd="0" x="15663"/>
        <item sd="0" x="15664"/>
        <item sd="0" x="15665"/>
        <item sd="0" x="15666"/>
        <item sd="0" x="15667"/>
        <item sd="0" x="15668"/>
        <item sd="0" x="15669"/>
        <item sd="0" x="15670"/>
        <item sd="0" x="15671"/>
        <item sd="0" x="15672"/>
        <item sd="0" x="15673"/>
        <item sd="0" x="15674"/>
        <item sd="0" x="15675"/>
        <item sd="0" x="15676"/>
        <item sd="0" x="15677"/>
        <item sd="0" x="15678"/>
        <item sd="0" x="15679"/>
        <item sd="0" x="15680"/>
        <item sd="0" x="15681"/>
        <item sd="0" x="15682"/>
        <item sd="0" x="15683"/>
        <item sd="0" x="15684"/>
        <item sd="0" x="15685"/>
        <item sd="0" x="15686"/>
        <item sd="0" x="15687"/>
        <item sd="0" x="15688"/>
        <item sd="0" x="15689"/>
        <item sd="0" x="15690"/>
        <item sd="0" x="15691"/>
        <item sd="0" x="15692"/>
        <item sd="0" x="15693"/>
        <item sd="0" x="15694"/>
        <item sd="0" x="15695"/>
        <item sd="0" x="15696"/>
        <item sd="0" x="15697"/>
        <item sd="0" x="15698"/>
        <item sd="0" x="15699"/>
        <item sd="0" x="15700"/>
        <item sd="0" x="15701"/>
        <item sd="0" x="15702"/>
        <item sd="0" x="15703"/>
        <item sd="0" x="15704"/>
        <item sd="0" x="15705"/>
        <item sd="0" x="15706"/>
        <item sd="0" x="15707"/>
        <item sd="0" x="15708"/>
        <item sd="0" x="15709"/>
        <item sd="0" x="15710"/>
        <item sd="0" x="15711"/>
        <item sd="0" x="15712"/>
        <item sd="0" x="15713"/>
        <item sd="0" x="15714"/>
        <item sd="0" x="15715"/>
        <item sd="0" x="15716"/>
        <item sd="0" x="15717"/>
        <item sd="0" x="15718"/>
        <item sd="0" x="15719"/>
        <item sd="0" x="15720"/>
        <item sd="0" x="15721"/>
        <item sd="0" x="15722"/>
        <item sd="0" x="15723"/>
        <item sd="0" x="15724"/>
        <item sd="0" x="15725"/>
        <item sd="0" x="15726"/>
        <item sd="0" x="15727"/>
        <item sd="0" x="15728"/>
        <item sd="0" x="15729"/>
        <item sd="0" x="15730"/>
        <item sd="0" x="15731"/>
        <item sd="0" x="15732"/>
        <item sd="0" x="15733"/>
        <item sd="0" x="15734"/>
        <item sd="0" x="15735"/>
        <item sd="0" x="15736"/>
        <item sd="0" x="15737"/>
        <item sd="0" x="15738"/>
        <item sd="0" x="15739"/>
        <item sd="0" x="15740"/>
        <item sd="0" x="15741"/>
        <item sd="0" x="15742"/>
        <item sd="0" x="15743"/>
        <item sd="0" x="15744"/>
        <item sd="0" x="15745"/>
        <item sd="0" x="15746"/>
        <item sd="0" x="15747"/>
        <item sd="0" x="15748"/>
        <item sd="0" x="15749"/>
        <item sd="0" x="15750"/>
        <item sd="0" x="15751"/>
        <item sd="0" x="15752"/>
        <item sd="0" x="15753"/>
        <item sd="0" x="15754"/>
        <item sd="0" x="15755"/>
        <item sd="0" x="15756"/>
        <item sd="0" x="15757"/>
        <item sd="0" x="15758"/>
        <item sd="0" x="15759"/>
        <item sd="0" x="15760"/>
        <item sd="0" x="15761"/>
        <item sd="0" x="15762"/>
        <item sd="0" x="15763"/>
        <item sd="0" x="15764"/>
        <item sd="0" x="15765"/>
        <item sd="0" x="15766"/>
        <item sd="0" x="15767"/>
        <item sd="0" x="15768"/>
        <item sd="0" x="15769"/>
        <item sd="0" x="15770"/>
        <item sd="0" x="15771"/>
        <item sd="0" x="15772"/>
        <item sd="0" x="15773"/>
        <item sd="0" x="15774"/>
        <item sd="0" x="15775"/>
        <item sd="0" x="15776"/>
        <item sd="0" x="15777"/>
        <item sd="0" x="15778"/>
        <item sd="0" x="15779"/>
        <item sd="0" x="15780"/>
        <item sd="0" x="15781"/>
        <item sd="0" x="15782"/>
        <item sd="0" x="15783"/>
        <item sd="0" x="15784"/>
        <item sd="0" x="15785"/>
        <item sd="0" x="15786"/>
        <item sd="0" x="15787"/>
        <item sd="0" x="15788"/>
        <item sd="0" x="15789"/>
        <item sd="0" x="15790"/>
        <item sd="0" x="15791"/>
        <item sd="0" x="15792"/>
        <item sd="0" x="15793"/>
        <item sd="0" x="15794"/>
        <item sd="0" x="15795"/>
        <item sd="0" x="15796"/>
        <item sd="0" x="15797"/>
        <item sd="0" x="15798"/>
        <item sd="0" x="15799"/>
        <item sd="0" x="15800"/>
        <item sd="0" x="15801"/>
        <item sd="0" x="15802"/>
        <item sd="0" x="15803"/>
        <item sd="0" x="15804"/>
        <item sd="0" x="15805"/>
        <item sd="0" x="15806"/>
        <item sd="0" x="15807"/>
        <item sd="0" x="15808"/>
        <item sd="0" x="15809"/>
        <item sd="0" x="15810"/>
        <item sd="0" x="15811"/>
        <item sd="0" x="15812"/>
        <item sd="0" x="15813"/>
        <item sd="0" x="15814"/>
        <item sd="0" x="15815"/>
        <item sd="0" x="15816"/>
        <item sd="0" x="15817"/>
        <item sd="0" x="15818"/>
        <item sd="0" x="15819"/>
        <item sd="0" x="15820"/>
        <item sd="0" x="15821"/>
        <item sd="0" x="15822"/>
        <item sd="0" x="15823"/>
        <item sd="0" x="15824"/>
        <item sd="0" x="15825"/>
        <item sd="0" x="15826"/>
        <item sd="0" x="15827"/>
        <item sd="0" x="15828"/>
        <item sd="0" x="15829"/>
        <item sd="0" x="15830"/>
        <item sd="0" x="15831"/>
        <item sd="0" x="15832"/>
        <item sd="0" x="15833"/>
        <item sd="0" x="15834"/>
        <item sd="0" x="15835"/>
        <item sd="0" x="15836"/>
        <item sd="0" x="15837"/>
        <item sd="0" x="15838"/>
        <item sd="0" x="15839"/>
        <item sd="0" x="15840"/>
        <item sd="0" x="15841"/>
        <item sd="0" x="15842"/>
        <item sd="0" x="15843"/>
        <item sd="0" x="15844"/>
        <item sd="0" x="15845"/>
        <item sd="0" x="15846"/>
        <item sd="0" x="15847"/>
        <item sd="0" x="15848"/>
        <item sd="0" x="15849"/>
        <item sd="0" x="15850"/>
        <item sd="0" x="15851"/>
        <item sd="0" x="15852"/>
        <item sd="0" x="15853"/>
        <item sd="0" x="15854"/>
        <item sd="0" x="15855"/>
        <item sd="0" x="15856"/>
        <item sd="0" x="15857"/>
        <item sd="0" x="15858"/>
        <item sd="0" x="15859"/>
        <item sd="0" x="15860"/>
        <item sd="0" x="15861"/>
        <item sd="0" x="15862"/>
        <item sd="0" x="15863"/>
        <item sd="0" x="15864"/>
        <item sd="0" x="15865"/>
        <item sd="0" x="15866"/>
        <item sd="0" x="15867"/>
        <item sd="0" x="15868"/>
        <item sd="0" x="15869"/>
        <item sd="0" x="15870"/>
        <item sd="0" x="15871"/>
        <item sd="0" x="15872"/>
        <item sd="0" x="15873"/>
        <item sd="0" x="15874"/>
        <item sd="0" x="15875"/>
        <item sd="0" x="15876"/>
        <item sd="0" x="15877"/>
        <item sd="0" x="15878"/>
        <item sd="0" x="15879"/>
        <item sd="0" x="15880"/>
        <item sd="0" x="15881"/>
        <item sd="0" x="15882"/>
        <item sd="0" x="15883"/>
        <item sd="0" x="15884"/>
        <item sd="0" x="15885"/>
        <item sd="0" x="15886"/>
        <item sd="0" x="15887"/>
        <item sd="0" x="15888"/>
        <item sd="0" x="15889"/>
        <item sd="0" x="15890"/>
        <item sd="0" x="15891"/>
        <item sd="0" x="15892"/>
        <item sd="0" x="15893"/>
        <item sd="0" x="15894"/>
        <item sd="0" x="15895"/>
        <item sd="0" x="15896"/>
        <item sd="0" x="15897"/>
        <item sd="0" x="15898"/>
        <item sd="0" x="15899"/>
        <item sd="0" x="15900"/>
        <item sd="0" x="15901"/>
        <item sd="0" x="15902"/>
        <item sd="0" x="15903"/>
        <item sd="0" x="15904"/>
        <item sd="0" x="15905"/>
        <item sd="0" x="15906"/>
        <item sd="0" x="15907"/>
        <item sd="0" x="15908"/>
        <item sd="0" x="15909"/>
        <item sd="0" x="15910"/>
        <item sd="0" x="15911"/>
        <item sd="0" x="15912"/>
        <item sd="0" x="15913"/>
        <item sd="0" x="15914"/>
        <item sd="0" x="15915"/>
        <item sd="0" x="15916"/>
        <item sd="0" x="15917"/>
        <item sd="0" x="15918"/>
        <item sd="0" x="15919"/>
        <item sd="0" x="15920"/>
        <item sd="0" x="15921"/>
        <item sd="0" x="15922"/>
        <item sd="0" x="15923"/>
        <item sd="0" x="15924"/>
        <item sd="0" x="15925"/>
        <item sd="0" x="15926"/>
        <item sd="0" x="15927"/>
        <item sd="0" x="15928"/>
        <item sd="0" x="15929"/>
        <item sd="0" x="15930"/>
        <item sd="0" x="15931"/>
        <item sd="0" x="15932"/>
        <item sd="0" x="15933"/>
        <item sd="0" x="15934"/>
        <item sd="0" x="15935"/>
        <item sd="0" x="15936"/>
        <item sd="0" x="15937"/>
        <item sd="0" x="15938"/>
        <item sd="0" x="15939"/>
        <item sd="0" x="15940"/>
        <item sd="0" x="15941"/>
        <item sd="0" x="15942"/>
        <item sd="0" x="15943"/>
        <item sd="0" x="15944"/>
        <item sd="0" x="15945"/>
        <item sd="0" x="15946"/>
        <item sd="0" x="15947"/>
        <item sd="0" x="15948"/>
        <item sd="0" x="15949"/>
        <item sd="0" x="15950"/>
        <item sd="0" x="15951"/>
        <item sd="0" x="15952"/>
        <item sd="0" x="15953"/>
        <item sd="0" x="15954"/>
        <item sd="0" x="15955"/>
        <item sd="0" x="15956"/>
        <item sd="0" x="15957"/>
        <item sd="0" x="15958"/>
        <item sd="0" x="15959"/>
        <item sd="0" x="15960"/>
        <item sd="0" x="15961"/>
        <item sd="0" x="15962"/>
        <item sd="0" x="15963"/>
        <item sd="0" x="15964"/>
        <item sd="0" x="15965"/>
        <item sd="0" x="15966"/>
        <item sd="0" x="15967"/>
        <item sd="0" x="15968"/>
        <item sd="0" x="15969"/>
        <item sd="0" x="15970"/>
        <item sd="0" x="15971"/>
        <item sd="0" x="15972"/>
        <item sd="0" x="15973"/>
        <item sd="0" x="15974"/>
        <item sd="0" x="15975"/>
        <item sd="0" x="15976"/>
        <item sd="0" x="15977"/>
        <item sd="0" x="15978"/>
        <item sd="0" x="15979"/>
        <item sd="0" x="15980"/>
        <item sd="0" x="15981"/>
        <item sd="0" x="15982"/>
        <item sd="0" x="15983"/>
        <item sd="0" x="15984"/>
        <item sd="0" x="15985"/>
        <item sd="0" x="15986"/>
        <item sd="0" x="15987"/>
        <item sd="0" x="15988"/>
        <item sd="0" x="15989"/>
        <item sd="0" x="15990"/>
        <item sd="0" x="15991"/>
        <item sd="0" x="15992"/>
        <item sd="0" x="15993"/>
        <item sd="0" x="15994"/>
        <item sd="0" x="15995"/>
        <item sd="0" x="15996"/>
        <item sd="0" x="15997"/>
        <item sd="0" x="15998"/>
        <item sd="0" x="15999"/>
        <item sd="0" x="16000"/>
        <item sd="0" x="16001"/>
        <item sd="0" x="16002"/>
        <item sd="0" x="16003"/>
        <item sd="0" x="16004"/>
        <item sd="0" x="16005"/>
        <item sd="0" x="16006"/>
        <item sd="0" x="16007"/>
        <item sd="0" x="16008"/>
        <item sd="0" x="16009"/>
        <item sd="0" x="16010"/>
        <item sd="0" x="16011"/>
        <item sd="0" x="16012"/>
        <item sd="0" x="16013"/>
        <item sd="0" x="16014"/>
        <item sd="0" x="16015"/>
        <item sd="0" x="16016"/>
        <item sd="0" x="16017"/>
        <item sd="0" x="16018"/>
        <item sd="0" x="16019"/>
        <item sd="0" x="16020"/>
        <item sd="0" x="16021"/>
        <item sd="0" x="16022"/>
        <item sd="0" x="16023"/>
        <item sd="0" x="16024"/>
        <item sd="0" x="16025"/>
        <item sd="0" x="16026"/>
        <item sd="0" x="16027"/>
        <item sd="0" x="16028"/>
        <item sd="0" x="16029"/>
        <item sd="0" x="16030"/>
        <item sd="0" x="16031"/>
        <item sd="0" x="16032"/>
        <item sd="0" x="16033"/>
        <item sd="0" x="16034"/>
        <item sd="0" x="16035"/>
        <item sd="0" x="16036"/>
        <item sd="0" x="16037"/>
        <item sd="0" x="16038"/>
        <item sd="0" x="16039"/>
        <item sd="0" x="16040"/>
        <item sd="0" x="16041"/>
        <item sd="0" x="16042"/>
        <item sd="0" x="16043"/>
        <item sd="0" x="16044"/>
        <item sd="0" x="16045"/>
        <item sd="0" x="16046"/>
        <item sd="0" x="16047"/>
        <item sd="0" x="16048"/>
        <item sd="0" x="16049"/>
        <item sd="0" x="16050"/>
        <item sd="0" x="16051"/>
        <item sd="0" x="16052"/>
        <item sd="0" x="16053"/>
        <item sd="0" x="16054"/>
        <item sd="0" x="16055"/>
        <item sd="0" x="16056"/>
        <item sd="0" x="16057"/>
        <item sd="0" x="16058"/>
        <item sd="0" x="16059"/>
        <item sd="0" x="16060"/>
        <item sd="0" x="16061"/>
        <item sd="0" x="16062"/>
        <item sd="0" x="16063"/>
        <item sd="0" x="16064"/>
        <item sd="0" x="16065"/>
        <item sd="0" x="16066"/>
        <item sd="0" x="16067"/>
        <item sd="0" x="16068"/>
        <item sd="0" x="16069"/>
        <item sd="0" x="16070"/>
        <item sd="0" x="16071"/>
        <item sd="0" x="16072"/>
        <item sd="0" x="16073"/>
        <item sd="0" x="16074"/>
        <item sd="0" x="16075"/>
        <item sd="0" x="16076"/>
        <item sd="0" x="16077"/>
        <item sd="0" x="16078"/>
        <item sd="0" x="16079"/>
        <item sd="0" x="16080"/>
        <item sd="0" x="16081"/>
        <item sd="0" x="16082"/>
        <item sd="0" x="16083"/>
        <item sd="0" x="16084"/>
        <item sd="0" x="16085"/>
        <item sd="0" x="16086"/>
        <item sd="0" x="16087"/>
        <item sd="0" x="16088"/>
        <item sd="0" x="16089"/>
        <item sd="0" x="16090"/>
        <item sd="0" x="16091"/>
        <item sd="0" x="16092"/>
        <item sd="0" x="16093"/>
        <item sd="0" x="16094"/>
        <item sd="0" x="16095"/>
        <item sd="0" x="16096"/>
        <item sd="0" x="16097"/>
        <item sd="0" x="16098"/>
        <item sd="0" x="16099"/>
        <item sd="0" x="16100"/>
        <item sd="0" x="16101"/>
        <item sd="0" x="16102"/>
        <item sd="0" x="16103"/>
        <item sd="0" x="16104"/>
        <item sd="0" x="16105"/>
        <item sd="0" x="16106"/>
        <item sd="0" x="16107"/>
        <item sd="0" x="16108"/>
        <item sd="0" x="16109"/>
        <item sd="0" x="16110"/>
        <item sd="0" x="16111"/>
        <item sd="0" x="16112"/>
        <item sd="0" x="16113"/>
        <item sd="0" x="16114"/>
        <item sd="0" x="16115"/>
        <item sd="0" x="16116"/>
        <item sd="0" x="16117"/>
        <item sd="0" x="16118"/>
        <item sd="0" x="16119"/>
        <item sd="0" x="16120"/>
        <item sd="0" x="16121"/>
        <item sd="0" x="16122"/>
        <item sd="0" x="16123"/>
        <item sd="0" x="16124"/>
        <item sd="0" x="16125"/>
        <item sd="0" x="16126"/>
        <item sd="0" x="16127"/>
        <item sd="0" x="16128"/>
        <item sd="0" x="16129"/>
        <item sd="0" x="16130"/>
        <item sd="0" x="16131"/>
        <item sd="0" x="16132"/>
        <item sd="0" x="16133"/>
        <item sd="0" x="16134"/>
        <item sd="0" x="16135"/>
        <item sd="0" x="16136"/>
        <item sd="0" x="16137"/>
        <item sd="0" x="16138"/>
        <item sd="0" x="16139"/>
        <item sd="0" x="16140"/>
        <item sd="0" x="16141"/>
        <item sd="0" x="16142"/>
        <item sd="0" x="16143"/>
        <item sd="0" x="16144"/>
        <item sd="0" x="16145"/>
        <item sd="0" x="16146"/>
        <item sd="0" x="16147"/>
        <item sd="0" x="16148"/>
        <item sd="0" x="16149"/>
        <item sd="0" x="16150"/>
        <item sd="0" x="16151"/>
        <item sd="0" x="16152"/>
        <item sd="0" x="16153"/>
        <item sd="0" x="16154"/>
        <item sd="0" x="16155"/>
        <item sd="0" x="16156"/>
        <item sd="0" x="16157"/>
        <item sd="0" x="16158"/>
        <item sd="0" x="16159"/>
        <item sd="0" x="16160"/>
        <item sd="0" x="16161"/>
        <item sd="0" x="16162"/>
        <item sd="0" x="16163"/>
        <item sd="0" x="16164"/>
        <item sd="0" x="16165"/>
        <item sd="0" x="16166"/>
        <item sd="0" x="16167"/>
        <item sd="0" x="16168"/>
        <item sd="0" x="16169"/>
        <item sd="0" x="16170"/>
        <item sd="0" x="16171"/>
        <item sd="0" x="16172"/>
        <item sd="0" x="16173"/>
        <item sd="0" x="16174"/>
        <item sd="0" x="16175"/>
        <item sd="0" x="16176"/>
        <item sd="0" x="16177"/>
        <item sd="0" x="16178"/>
        <item sd="0" x="16179"/>
        <item sd="0" x="16180"/>
        <item sd="0" x="16181"/>
        <item sd="0" x="16182"/>
        <item sd="0" x="16183"/>
        <item sd="0" x="16184"/>
        <item sd="0" x="16185"/>
        <item sd="0" x="16186"/>
        <item sd="0" x="16187"/>
        <item sd="0" x="16188"/>
        <item sd="0" x="16189"/>
        <item sd="0" x="16190"/>
        <item sd="0" x="16191"/>
        <item sd="0" x="16192"/>
        <item sd="0" x="16193"/>
        <item sd="0" x="16194"/>
        <item sd="0" x="16195"/>
        <item sd="0" x="16196"/>
        <item sd="0" x="16197"/>
        <item sd="0" x="16198"/>
        <item sd="0" x="16199"/>
        <item sd="0" x="16200"/>
        <item sd="0" x="16201"/>
        <item sd="0" x="16202"/>
        <item sd="0" x="16203"/>
        <item sd="0" x="16204"/>
        <item sd="0" x="16205"/>
        <item sd="0" x="16206"/>
        <item sd="0" x="16207"/>
        <item sd="0" x="16208"/>
        <item sd="0" x="16209"/>
        <item sd="0" x="16210"/>
        <item sd="0" x="16211"/>
        <item sd="0" x="16212"/>
        <item sd="0" x="16213"/>
        <item sd="0" x="16214"/>
        <item sd="0" x="16215"/>
        <item sd="0" x="16216"/>
        <item sd="0" x="16217"/>
        <item sd="0" x="16218"/>
        <item sd="0" x="16219"/>
        <item sd="0" x="16220"/>
        <item sd="0" x="16221"/>
        <item sd="0" x="16222"/>
        <item sd="0" x="16223"/>
        <item sd="0" x="16224"/>
        <item sd="0" x="16225"/>
        <item sd="0" x="16226"/>
        <item sd="0" x="16227"/>
        <item sd="0" x="16228"/>
        <item sd="0" x="16229"/>
        <item sd="0" x="16230"/>
        <item sd="0" x="16231"/>
        <item sd="0" x="16232"/>
        <item sd="0" x="16233"/>
        <item sd="0" x="16234"/>
        <item sd="0" x="16235"/>
        <item sd="0" x="16236"/>
        <item sd="0" x="16237"/>
        <item sd="0" x="16238"/>
        <item sd="0" x="16239"/>
        <item sd="0" x="16240"/>
        <item sd="0" x="16241"/>
        <item sd="0" x="16242"/>
        <item sd="0" x="16243"/>
        <item sd="0" x="16244"/>
        <item sd="0" x="16245"/>
        <item sd="0" x="16246"/>
        <item sd="0" x="16247"/>
        <item sd="0" x="16248"/>
        <item sd="0" x="16249"/>
        <item sd="0" x="16250"/>
        <item sd="0" x="16251"/>
        <item sd="0" x="16252"/>
        <item sd="0" x="16253"/>
        <item sd="0" x="16254"/>
        <item sd="0" x="16255"/>
        <item sd="0" x="16256"/>
        <item sd="0" x="16257"/>
        <item sd="0" x="16258"/>
        <item sd="0" x="16259"/>
        <item sd="0" x="16260"/>
        <item sd="0" x="16261"/>
        <item sd="0" x="16262"/>
        <item sd="0" x="16263"/>
        <item sd="0" x="16264"/>
        <item sd="0" x="16265"/>
        <item sd="0" x="16266"/>
        <item sd="0" x="16267"/>
        <item sd="0" x="16268"/>
        <item sd="0" x="16269"/>
        <item sd="0" x="16270"/>
        <item sd="0" x="16271"/>
        <item sd="0" x="16272"/>
        <item sd="0" x="16273"/>
        <item sd="0" x="16274"/>
        <item sd="0" x="16275"/>
        <item sd="0" x="16276"/>
        <item sd="0" x="16277"/>
        <item sd="0" x="16278"/>
        <item sd="0" x="16279"/>
        <item sd="0" x="16280"/>
        <item sd="0" x="16281"/>
        <item sd="0" x="16282"/>
        <item sd="0" x="16283"/>
        <item sd="0" x="16284"/>
        <item sd="0" x="16285"/>
        <item sd="0" x="16286"/>
        <item sd="0" x="16287"/>
        <item sd="0" x="16288"/>
        <item sd="0" x="16289"/>
        <item sd="0" x="16290"/>
        <item sd="0" x="16291"/>
        <item sd="0" x="16292"/>
        <item sd="0" x="16293"/>
        <item sd="0" x="16294"/>
        <item sd="0" x="16295"/>
        <item sd="0" x="16296"/>
        <item sd="0" x="16297"/>
        <item sd="0" x="16298"/>
        <item sd="0" x="16299"/>
        <item sd="0" x="16300"/>
        <item sd="0" x="16301"/>
        <item sd="0" x="16302"/>
        <item sd="0" x="16303"/>
        <item sd="0" x="16304"/>
        <item sd="0" x="16305"/>
        <item sd="0" x="16306"/>
        <item sd="0" x="16307"/>
        <item sd="0" x="16308"/>
        <item sd="0" x="16309"/>
        <item sd="0" x="16310"/>
        <item sd="0" x="16311"/>
        <item sd="0" x="16312"/>
        <item sd="0" x="16313"/>
        <item sd="0" x="16314"/>
        <item sd="0" x="16315"/>
        <item sd="0" x="16316"/>
        <item sd="0" x="16317"/>
        <item sd="0" x="16318"/>
        <item sd="0" x="16319"/>
        <item sd="0" x="16320"/>
        <item sd="0" x="16321"/>
        <item sd="0" x="16322"/>
        <item sd="0" x="16323"/>
        <item sd="0" x="16324"/>
        <item sd="0" x="16325"/>
        <item sd="0" x="16326"/>
        <item sd="0" x="16327"/>
        <item sd="0" x="16328"/>
        <item sd="0" x="16329"/>
        <item sd="0" x="16330"/>
        <item sd="0" x="16331"/>
        <item sd="0" x="16332"/>
        <item sd="0" x="16333"/>
        <item sd="0" x="16334"/>
        <item sd="0" x="16335"/>
        <item sd="0" x="16336"/>
        <item sd="0" x="16337"/>
        <item sd="0" x="16338"/>
        <item sd="0" x="16339"/>
        <item sd="0" x="16340"/>
        <item sd="0" x="16341"/>
        <item sd="0" x="16342"/>
        <item sd="0" x="16343"/>
        <item sd="0" x="16344"/>
        <item sd="0" x="16345"/>
        <item sd="0" x="16346"/>
        <item sd="0" x="16347"/>
        <item sd="0" x="16348"/>
        <item sd="0" x="16349"/>
        <item sd="0" x="16350"/>
        <item sd="0" x="16351"/>
        <item sd="0" x="16352"/>
        <item sd="0" x="16353"/>
        <item sd="0" x="16354"/>
        <item sd="0" x="16355"/>
        <item sd="0" x="16356"/>
        <item sd="0" x="16357"/>
        <item sd="0" x="16358"/>
        <item sd="0" x="16359"/>
        <item sd="0" x="16360"/>
        <item sd="0" x="16361"/>
        <item sd="0" x="16362"/>
        <item sd="0" x="16363"/>
        <item sd="0" x="16364"/>
        <item sd="0" x="16365"/>
        <item sd="0" x="16366"/>
        <item sd="0" x="16367"/>
        <item sd="0" x="16368"/>
        <item sd="0" x="16369"/>
        <item sd="0" x="16370"/>
        <item sd="0" x="16371"/>
        <item sd="0" x="16372"/>
        <item sd="0" x="16373"/>
        <item sd="0" x="16374"/>
        <item sd="0" x="16375"/>
        <item sd="0" x="16376"/>
        <item sd="0" x="16377"/>
        <item sd="0" x="16378"/>
        <item sd="0" x="16379"/>
        <item sd="0" x="16380"/>
        <item sd="0" x="16381"/>
        <item sd="0" x="16382"/>
        <item sd="0" x="16383"/>
        <item sd="0" x="16384"/>
        <item sd="0" x="16385"/>
        <item sd="0" x="16386"/>
        <item sd="0" x="16387"/>
        <item sd="0" x="16388"/>
        <item sd="0" x="16389"/>
        <item sd="0" x="16390"/>
        <item sd="0" x="16391"/>
        <item sd="0" x="16392"/>
        <item sd="0" x="16393"/>
        <item sd="0" x="16394"/>
        <item sd="0" x="16395"/>
        <item sd="0" x="16396"/>
        <item sd="0" x="16397"/>
        <item sd="0" x="16398"/>
        <item sd="0" x="16399"/>
        <item sd="0" x="16400"/>
        <item sd="0" x="16401"/>
        <item sd="0" x="16402"/>
        <item sd="0" x="16403"/>
        <item sd="0" x="16404"/>
        <item sd="0" x="16405"/>
        <item sd="0" x="16406"/>
        <item sd="0" x="16407"/>
        <item sd="0" x="16408"/>
        <item sd="0" x="16409"/>
        <item sd="0" x="16410"/>
        <item sd="0" x="16411"/>
        <item sd="0" x="16412"/>
        <item sd="0" x="16413"/>
        <item sd="0" x="16414"/>
        <item sd="0" x="16415"/>
        <item sd="0" x="16416"/>
        <item sd="0" x="16417"/>
        <item sd="0" x="16418"/>
        <item sd="0" x="16419"/>
        <item sd="0" x="16420"/>
        <item sd="0" x="16421"/>
        <item sd="0" x="16422"/>
        <item sd="0" x="16423"/>
        <item sd="0" x="16424"/>
        <item sd="0" x="16425"/>
        <item sd="0" x="16426"/>
        <item sd="0" x="16427"/>
        <item sd="0" x="16428"/>
        <item sd="0" x="16429"/>
        <item sd="0" x="16430"/>
        <item sd="0" x="16431"/>
        <item sd="0" x="16432"/>
        <item sd="0" x="16433"/>
        <item sd="0" x="16434"/>
        <item sd="0" x="16435"/>
        <item sd="0" x="16436"/>
        <item sd="0" x="16437"/>
        <item sd="0" x="16438"/>
        <item sd="0" x="16439"/>
        <item sd="0" x="16440"/>
        <item sd="0" x="16441"/>
        <item sd="0" x="16442"/>
        <item sd="0" x="16443"/>
        <item sd="0" x="16444"/>
        <item sd="0" x="16445"/>
        <item sd="0" x="16446"/>
        <item sd="0" x="16447"/>
        <item sd="0" x="16448"/>
        <item sd="0" x="16449"/>
        <item sd="0" x="16450"/>
        <item sd="0" x="16451"/>
        <item sd="0" x="16452"/>
        <item sd="0" x="16453"/>
        <item sd="0" x="16454"/>
        <item sd="0" x="16455"/>
        <item sd="0" x="16456"/>
        <item sd="0" x="16457"/>
        <item sd="0" x="16458"/>
        <item sd="0" x="16459"/>
        <item sd="0" x="16460"/>
        <item sd="0" x="16461"/>
        <item sd="0" x="16462"/>
        <item sd="0" x="16463"/>
        <item sd="0" x="16464"/>
        <item sd="0" x="16465"/>
        <item sd="0" x="16466"/>
        <item sd="0" x="16467"/>
        <item sd="0" x="16468"/>
        <item sd="0" x="16469"/>
        <item sd="0" x="16470"/>
        <item sd="0" x="16471"/>
        <item sd="0" x="16472"/>
        <item sd="0" x="16473"/>
        <item sd="0" x="16474"/>
        <item sd="0" x="16475"/>
        <item sd="0" x="16476"/>
        <item sd="0" x="16477"/>
        <item sd="0" x="16478"/>
        <item sd="0" x="16479"/>
        <item sd="0" x="16480"/>
        <item sd="0" x="16481"/>
        <item sd="0" x="16482"/>
        <item sd="0" x="16483"/>
        <item sd="0" x="16484"/>
        <item sd="0" x="16485"/>
        <item sd="0" x="16486"/>
        <item sd="0" x="16487"/>
        <item sd="0" x="16488"/>
        <item sd="0" x="16489"/>
        <item sd="0" x="16490"/>
        <item sd="0" x="16491"/>
        <item sd="0" x="16492"/>
        <item sd="0" x="16493"/>
        <item sd="0" x="16494"/>
        <item sd="0" x="16495"/>
        <item sd="0" x="16496"/>
        <item sd="0" x="16497"/>
        <item sd="0" x="16498"/>
        <item sd="0" x="16499"/>
        <item sd="0" x="16500"/>
        <item sd="0" x="16501"/>
        <item sd="0" x="16502"/>
        <item sd="0" x="16503"/>
        <item sd="0" x="16504"/>
        <item sd="0" x="16505"/>
        <item sd="0" x="16506"/>
        <item sd="0" x="16507"/>
        <item sd="0" x="16508"/>
        <item sd="0" x="16509"/>
        <item sd="0" x="16510"/>
        <item sd="0" x="16511"/>
        <item sd="0" x="16512"/>
        <item sd="0" x="16513"/>
        <item sd="0" x="16514"/>
        <item sd="0" x="16515"/>
        <item sd="0" x="16516"/>
        <item sd="0" x="16517"/>
        <item sd="0" x="16518"/>
        <item sd="0" x="16519"/>
        <item sd="0" x="16520"/>
        <item sd="0" x="16521"/>
        <item sd="0" x="16522"/>
        <item sd="0" x="16523"/>
        <item sd="0" x="16524"/>
        <item sd="0" x="16525"/>
        <item sd="0" x="16526"/>
        <item sd="0" x="16527"/>
        <item sd="0" x="16528"/>
        <item sd="0" x="16529"/>
        <item sd="0" x="16530"/>
        <item sd="0" x="16531"/>
        <item sd="0" x="16532"/>
        <item sd="0" x="16533"/>
        <item sd="0" x="16534"/>
        <item sd="0" x="16535"/>
        <item sd="0" x="16536"/>
        <item sd="0" x="16537"/>
        <item sd="0" x="16538"/>
        <item sd="0" x="16539"/>
        <item sd="0" x="16540"/>
        <item sd="0" x="16541"/>
        <item sd="0" x="16542"/>
        <item sd="0" x="16543"/>
        <item sd="0" x="16544"/>
        <item sd="0" x="16545"/>
        <item sd="0" x="16546"/>
        <item sd="0" x="16547"/>
        <item sd="0" x="16548"/>
        <item sd="0" x="16549"/>
        <item sd="0" x="16550"/>
        <item sd="0" x="16551"/>
        <item sd="0" x="16552"/>
        <item sd="0" x="16553"/>
        <item sd="0" x="16554"/>
        <item sd="0" x="16555"/>
        <item sd="0" x="16556"/>
        <item sd="0" x="16557"/>
        <item sd="0" x="16558"/>
        <item sd="0" x="16559"/>
        <item sd="0" x="16560"/>
        <item sd="0" x="16561"/>
        <item sd="0" x="16562"/>
        <item sd="0" x="16563"/>
        <item sd="0" x="16564"/>
        <item sd="0" x="16565"/>
        <item sd="0" x="16566"/>
        <item sd="0" x="16567"/>
        <item sd="0" x="16568"/>
        <item sd="0" x="16569"/>
        <item sd="0" x="16570"/>
        <item sd="0" x="16571"/>
        <item sd="0" x="16572"/>
        <item sd="0" x="16573"/>
        <item sd="0" x="16574"/>
        <item sd="0" x="16575"/>
        <item sd="0" x="16576"/>
        <item sd="0" x="16577"/>
        <item sd="0" x="16578"/>
        <item sd="0" x="16579"/>
        <item sd="0" x="16580"/>
        <item sd="0" x="16581"/>
        <item sd="0" x="16582"/>
        <item sd="0" x="16583"/>
        <item sd="0" x="16584"/>
        <item sd="0" x="16585"/>
        <item sd="0" x="16586"/>
        <item sd="0" x="16587"/>
        <item sd="0" x="16588"/>
        <item sd="0" x="16589"/>
        <item sd="0" x="16590"/>
        <item sd="0" x="16591"/>
        <item sd="0" x="16592"/>
        <item sd="0" x="16593"/>
        <item sd="0" x="16594"/>
        <item sd="0" x="16595"/>
        <item sd="0" x="16596"/>
        <item sd="0" x="16597"/>
        <item sd="0" x="16598"/>
        <item sd="0" x="16599"/>
        <item sd="0" x="16600"/>
        <item sd="0" x="16601"/>
        <item sd="0" x="16602"/>
        <item sd="0" x="16603"/>
        <item sd="0" x="16604"/>
        <item sd="0" x="16605"/>
        <item sd="0" x="16606"/>
        <item sd="0" x="16607"/>
        <item sd="0" x="16608"/>
        <item sd="0" x="16609"/>
        <item sd="0" x="16610"/>
        <item sd="0" x="16611"/>
        <item sd="0" x="16612"/>
        <item sd="0" x="16613"/>
        <item sd="0" x="16614"/>
        <item sd="0" x="16615"/>
        <item sd="0" x="16616"/>
        <item sd="0" x="16617"/>
        <item sd="0" x="16618"/>
        <item sd="0" x="16619"/>
        <item sd="0" x="16620"/>
        <item sd="0" x="16621"/>
        <item sd="0" x="16622"/>
        <item sd="0" x="16623"/>
        <item sd="0" x="16624"/>
        <item sd="0" x="16625"/>
        <item sd="0" x="16626"/>
        <item sd="0" x="16627"/>
        <item sd="0" x="16628"/>
        <item sd="0" x="16629"/>
        <item sd="0" x="16630"/>
        <item sd="0" x="16631"/>
        <item sd="0" x="16632"/>
        <item sd="0" x="16633"/>
        <item sd="0" x="16634"/>
        <item sd="0" x="16635"/>
        <item sd="0" x="16636"/>
        <item sd="0" x="16637"/>
        <item sd="0" x="16638"/>
        <item sd="0" x="16639"/>
        <item sd="0" x="16640"/>
        <item sd="0" x="16641"/>
        <item sd="0" x="16642"/>
        <item sd="0" x="16643"/>
        <item sd="0" x="16644"/>
        <item sd="0" x="16645"/>
        <item sd="0" x="16646"/>
        <item sd="0" x="16647"/>
        <item sd="0" x="16648"/>
        <item sd="0" x="16649"/>
        <item sd="0" x="16650"/>
        <item sd="0" x="16651"/>
        <item sd="0" x="16652"/>
        <item sd="0" x="16653"/>
        <item sd="0" x="16654"/>
        <item sd="0" x="16655"/>
        <item sd="0" x="16656"/>
        <item sd="0" x="16657"/>
        <item sd="0" x="16658"/>
        <item sd="0" x="16659"/>
        <item sd="0" x="16660"/>
        <item sd="0" x="16661"/>
        <item sd="0" x="16662"/>
        <item sd="0" x="16663"/>
        <item sd="0" x="16664"/>
        <item sd="0" x="16665"/>
        <item sd="0" x="16666"/>
        <item sd="0" x="16667"/>
        <item sd="0" x="16668"/>
        <item sd="0" x="16669"/>
        <item sd="0" x="16670"/>
        <item sd="0" x="16671"/>
        <item sd="0" x="16672"/>
        <item sd="0" x="16673"/>
        <item sd="0" x="16674"/>
        <item sd="0" x="16675"/>
        <item sd="0" x="16676"/>
        <item sd="0" x="16677"/>
        <item sd="0" x="16678"/>
        <item sd="0" x="16679"/>
        <item sd="0" x="16680"/>
        <item sd="0" x="16681"/>
        <item sd="0" x="16682"/>
        <item sd="0" x="16683"/>
        <item sd="0" x="16684"/>
        <item sd="0" x="16685"/>
        <item sd="0" x="16686"/>
        <item sd="0" x="16687"/>
        <item sd="0" x="16688"/>
        <item sd="0" x="16689"/>
        <item sd="0" x="16690"/>
        <item sd="0" x="16691"/>
        <item sd="0" x="16692"/>
        <item sd="0" x="16693"/>
        <item sd="0" x="16694"/>
        <item sd="0" x="16695"/>
        <item sd="0" x="16696"/>
        <item sd="0" x="16697"/>
        <item sd="0" x="16698"/>
        <item sd="0" x="16699"/>
        <item sd="0" x="16700"/>
        <item sd="0" x="16701"/>
        <item sd="0" x="16702"/>
        <item sd="0" x="16703"/>
        <item sd="0" x="16704"/>
        <item sd="0" x="16705"/>
        <item sd="0" x="16706"/>
        <item sd="0" x="16707"/>
        <item sd="0" x="16708"/>
        <item sd="0" x="16709"/>
        <item sd="0" x="16710"/>
        <item sd="0" x="16711"/>
        <item sd="0" x="16712"/>
        <item sd="0" x="16713"/>
        <item sd="0" x="16714"/>
        <item sd="0" x="16715"/>
        <item sd="0" x="16716"/>
        <item sd="0" x="16717"/>
        <item sd="0" x="16718"/>
        <item sd="0" x="16719"/>
        <item sd="0" x="16720"/>
        <item sd="0" x="16721"/>
        <item sd="0" x="16722"/>
        <item sd="0" x="16723"/>
        <item sd="0" x="16724"/>
        <item sd="0" x="16725"/>
        <item sd="0" x="16726"/>
        <item sd="0" x="16727"/>
        <item sd="0" x="16728"/>
        <item sd="0" x="16729"/>
        <item sd="0" x="16730"/>
        <item sd="0" x="16731"/>
        <item sd="0" x="16732"/>
        <item sd="0" x="16733"/>
        <item sd="0" x="16734"/>
        <item sd="0" x="16735"/>
        <item sd="0" x="16736"/>
        <item sd="0" x="16737"/>
        <item sd="0" x="16738"/>
        <item sd="0" x="16739"/>
        <item sd="0" x="16740"/>
        <item sd="0" x="16741"/>
        <item sd="0" x="16742"/>
        <item sd="0" x="16743"/>
        <item sd="0" x="16744"/>
        <item sd="0" x="16745"/>
        <item sd="0" x="16746"/>
        <item sd="0" x="16747"/>
        <item sd="0" x="16748"/>
        <item sd="0" x="16749"/>
        <item sd="0" x="16750"/>
        <item sd="0" x="16751"/>
        <item sd="0" x="16752"/>
        <item sd="0" x="16753"/>
        <item sd="0" x="16754"/>
        <item sd="0" x="16755"/>
        <item sd="0" x="16756"/>
        <item sd="0" x="16757"/>
        <item sd="0" x="16758"/>
        <item sd="0" x="16759"/>
        <item sd="0" x="16760"/>
        <item sd="0" x="16761"/>
        <item sd="0" x="16762"/>
        <item sd="0" x="16763"/>
        <item sd="0" x="16764"/>
        <item sd="0" x="16765"/>
        <item sd="0" x="16766"/>
        <item sd="0" x="16767"/>
        <item sd="0" x="16768"/>
        <item sd="0" x="16769"/>
        <item sd="0" x="16770"/>
        <item sd="0" x="16771"/>
        <item sd="0" x="16772"/>
        <item sd="0" x="16773"/>
        <item sd="0" x="16774"/>
        <item sd="0" x="16775"/>
        <item sd="0" x="16776"/>
        <item sd="0" x="16777"/>
        <item sd="0" x="16778"/>
        <item sd="0" x="16779"/>
        <item sd="0" x="16780"/>
        <item sd="0" x="16781"/>
        <item sd="0" x="16782"/>
        <item sd="0" x="16783"/>
        <item sd="0" x="16784"/>
        <item sd="0" x="16785"/>
        <item sd="0" x="16786"/>
        <item sd="0" x="16787"/>
        <item sd="0" x="16788"/>
        <item sd="0" x="16789"/>
        <item sd="0" x="16790"/>
        <item sd="0" x="16791"/>
        <item sd="0" x="16792"/>
        <item sd="0" x="16793"/>
        <item sd="0" x="16794"/>
        <item sd="0" x="16795"/>
        <item sd="0" x="16796"/>
        <item sd="0" x="16797"/>
        <item sd="0" x="16798"/>
        <item sd="0" x="16799"/>
        <item sd="0" x="16800"/>
        <item sd="0" x="16801"/>
        <item sd="0" x="16802"/>
        <item sd="0" x="16803"/>
        <item sd="0" x="16804"/>
        <item sd="0" x="16805"/>
        <item sd="0" x="16806"/>
        <item sd="0" x="16807"/>
        <item sd="0" x="16808"/>
        <item sd="0" x="16809"/>
        <item sd="0" x="16810"/>
        <item sd="0" x="16811"/>
        <item sd="0" x="16812"/>
        <item sd="0" x="16813"/>
        <item sd="0" x="16814"/>
        <item sd="0" x="16815"/>
        <item sd="0" x="16816"/>
        <item sd="0" x="16817"/>
        <item sd="0" x="16818"/>
        <item sd="0" x="16819"/>
        <item sd="0" x="16820"/>
        <item sd="0" x="16821"/>
        <item sd="0" x="16822"/>
        <item sd="0" x="16823"/>
        <item sd="0" x="16824"/>
        <item sd="0" x="16825"/>
        <item sd="0" x="16826"/>
        <item sd="0" x="16827"/>
        <item sd="0" x="16828"/>
        <item sd="0" x="16829"/>
        <item sd="0" x="16830"/>
        <item sd="0" x="16831"/>
        <item sd="0" x="16832"/>
        <item sd="0" x="16833"/>
        <item sd="0" x="16834"/>
        <item sd="0" x="16835"/>
        <item sd="0" x="16836"/>
        <item sd="0" x="16837"/>
        <item sd="0" x="16838"/>
        <item sd="0" x="16839"/>
        <item sd="0" x="16840"/>
        <item sd="0" x="16841"/>
        <item sd="0" x="16842"/>
        <item sd="0" x="16843"/>
        <item sd="0" x="16844"/>
        <item sd="0" x="16845"/>
        <item sd="0" x="16846"/>
        <item sd="0" x="16847"/>
        <item sd="0" x="16848"/>
        <item sd="0" x="16849"/>
        <item sd="0" x="16850"/>
        <item sd="0" x="16851"/>
        <item sd="0" x="16852"/>
        <item sd="0" x="16853"/>
        <item sd="0" x="16854"/>
        <item sd="0" x="16855"/>
        <item sd="0" x="16856"/>
        <item sd="0" x="16857"/>
        <item sd="0" x="16858"/>
        <item sd="0" x="16859"/>
        <item sd="0" x="16860"/>
        <item sd="0" x="16861"/>
        <item sd="0" x="16862"/>
        <item sd="0" x="16863"/>
        <item sd="0" x="16864"/>
        <item sd="0" x="16865"/>
        <item sd="0" x="16866"/>
        <item sd="0" x="16867"/>
        <item sd="0" x="16868"/>
        <item sd="0" x="16869"/>
        <item sd="0" x="16870"/>
        <item sd="0" x="16871"/>
        <item sd="0" x="16872"/>
        <item sd="0" x="16873"/>
        <item sd="0" x="16874"/>
        <item sd="0" x="16875"/>
        <item sd="0" x="16876"/>
        <item sd="0" x="16877"/>
        <item sd="0" x="16878"/>
        <item sd="0" x="16879"/>
        <item sd="0" x="16880"/>
        <item sd="0" x="16881"/>
        <item sd="0" x="16882"/>
        <item sd="0" x="16883"/>
        <item sd="0" x="16884"/>
        <item sd="0" x="16885"/>
        <item sd="0" x="16886"/>
        <item sd="0" x="16887"/>
        <item sd="0" x="16888"/>
        <item sd="0" x="16889"/>
        <item sd="0" x="16890"/>
        <item sd="0" x="16891"/>
        <item sd="0" x="16892"/>
        <item sd="0" x="16893"/>
        <item sd="0" x="16894"/>
        <item sd="0" x="16895"/>
        <item sd="0" x="16896"/>
        <item sd="0" x="16897"/>
        <item sd="0" x="16898"/>
        <item sd="0" x="16899"/>
        <item sd="0" x="16900"/>
        <item sd="0" x="16901"/>
        <item sd="0" x="16902"/>
        <item sd="0" x="16903"/>
        <item sd="0" x="16904"/>
        <item sd="0" x="16905"/>
        <item sd="0" x="16906"/>
        <item sd="0" x="16907"/>
        <item sd="0" x="16908"/>
        <item sd="0" x="16909"/>
        <item sd="0" x="16910"/>
        <item sd="0" x="16911"/>
        <item sd="0" x="16912"/>
        <item sd="0" x="16913"/>
        <item sd="0" x="16914"/>
        <item sd="0" x="16915"/>
        <item sd="0" x="16916"/>
        <item sd="0" x="16917"/>
        <item sd="0" x="16918"/>
        <item sd="0" x="16919"/>
        <item sd="0" x="16920"/>
        <item sd="0" x="16921"/>
        <item sd="0" x="16922"/>
        <item sd="0" x="16923"/>
        <item sd="0" x="16924"/>
        <item sd="0" x="16925"/>
        <item sd="0" x="16926"/>
        <item sd="0" x="16927"/>
        <item sd="0" x="16928"/>
        <item sd="0" x="16929"/>
        <item sd="0" x="16930"/>
        <item sd="0" x="16931"/>
        <item sd="0" x="16932"/>
        <item sd="0" x="16933"/>
        <item sd="0" x="16934"/>
        <item sd="0" x="16935"/>
        <item sd="0" x="16936"/>
        <item sd="0" x="16937"/>
        <item sd="0" x="16938"/>
        <item sd="0" x="16939"/>
        <item sd="0" x="16940"/>
        <item sd="0" x="16941"/>
        <item sd="0" x="16942"/>
        <item sd="0" x="16943"/>
        <item sd="0" x="16944"/>
        <item sd="0" x="16945"/>
        <item sd="0" x="16946"/>
        <item sd="0" x="16947"/>
        <item sd="0" x="16948"/>
        <item sd="0" x="16949"/>
        <item sd="0" x="16950"/>
        <item sd="0" x="16951"/>
        <item sd="0" x="16952"/>
        <item sd="0" x="16953"/>
        <item sd="0" x="16954"/>
        <item sd="0" x="16955"/>
        <item sd="0" x="16956"/>
        <item sd="0" x="16957"/>
        <item sd="0" x="16958"/>
        <item sd="0" x="16959"/>
        <item sd="0" x="16960"/>
        <item sd="0" x="16961"/>
        <item sd="0" x="16962"/>
        <item sd="0" x="16963"/>
        <item sd="0" x="16964"/>
        <item sd="0" x="16965"/>
        <item sd="0" x="16966"/>
        <item sd="0" x="16967"/>
        <item sd="0" x="16968"/>
        <item sd="0" x="16969"/>
        <item sd="0" x="16970"/>
        <item sd="0" x="16971"/>
        <item sd="0" x="16972"/>
        <item sd="0" x="16973"/>
        <item sd="0" x="16974"/>
        <item sd="0" x="16975"/>
        <item sd="0" x="16976"/>
        <item sd="0" x="16977"/>
        <item sd="0" x="16978"/>
        <item sd="0" x="16979"/>
        <item sd="0" x="16980"/>
        <item sd="0" x="16981"/>
        <item sd="0" x="16982"/>
        <item sd="0" x="16983"/>
        <item sd="0" x="16984"/>
        <item sd="0" x="16985"/>
        <item sd="0" x="16986"/>
        <item sd="0" x="16987"/>
        <item sd="0" x="16988"/>
        <item sd="0" x="16989"/>
        <item sd="0" x="16990"/>
        <item sd="0" x="16991"/>
        <item sd="0" x="16992"/>
        <item sd="0" x="16993"/>
        <item sd="0" x="16994"/>
        <item sd="0" x="16995"/>
        <item sd="0" x="16996"/>
        <item sd="0" x="16997"/>
        <item sd="0" x="16998"/>
        <item sd="0" x="16999"/>
        <item sd="0" x="17000"/>
        <item sd="0" x="17001"/>
        <item sd="0" x="17002"/>
        <item sd="0" x="17003"/>
        <item sd="0" x="17004"/>
        <item sd="0" x="17005"/>
        <item sd="0" x="17006"/>
        <item sd="0" x="17007"/>
        <item sd="0" x="17008"/>
        <item sd="0" x="17009"/>
        <item sd="0" x="17010"/>
        <item sd="0" x="17011"/>
        <item sd="0" x="17012"/>
        <item sd="0" x="17013"/>
        <item sd="0" x="17014"/>
        <item sd="0" x="17015"/>
        <item sd="0" x="17016"/>
        <item sd="0" x="17017"/>
        <item sd="0" x="17018"/>
        <item sd="0" x="17019"/>
        <item sd="0" x="17020"/>
        <item sd="0" x="17021"/>
        <item sd="0" x="17022"/>
        <item sd="0" x="17023"/>
        <item sd="0" x="17024"/>
        <item sd="0" x="17025"/>
        <item sd="0" x="17026"/>
        <item sd="0" x="17027"/>
        <item sd="0" x="17028"/>
        <item sd="0" x="17029"/>
        <item sd="0" x="17030"/>
        <item sd="0" x="17031"/>
        <item sd="0" x="17032"/>
        <item sd="0" x="17033"/>
        <item sd="0" x="17034"/>
        <item sd="0" x="17035"/>
        <item sd="0" x="17036"/>
        <item sd="0" x="17037"/>
        <item sd="0" x="17038"/>
        <item sd="0" x="17039"/>
        <item sd="0" x="17040"/>
        <item sd="0" x="17041"/>
        <item sd="0" x="17042"/>
        <item sd="0" x="17043"/>
        <item sd="0" x="17044"/>
        <item sd="0" x="17045"/>
        <item sd="0" x="17046"/>
        <item sd="0" x="17047"/>
        <item sd="0" x="17048"/>
        <item sd="0" x="17049"/>
        <item sd="0" x="17050"/>
        <item sd="0" x="17051"/>
        <item sd="0" x="17052"/>
        <item sd="0" x="17053"/>
        <item sd="0" x="17054"/>
        <item sd="0" x="17055"/>
        <item sd="0" x="17056"/>
        <item sd="0" x="17057"/>
        <item sd="0" x="17058"/>
        <item sd="0" x="17059"/>
        <item sd="0" x="17060"/>
        <item sd="0" x="17061"/>
        <item sd="0" x="17062"/>
        <item sd="0" x="17063"/>
        <item sd="0" x="17064"/>
        <item sd="0" x="17065"/>
        <item sd="0" x="17066"/>
        <item sd="0" x="17067"/>
        <item sd="0" x="17068"/>
        <item sd="0" x="17069"/>
        <item sd="0" x="17070"/>
        <item sd="0" x="17071"/>
        <item sd="0" x="17072"/>
        <item sd="0" x="17073"/>
        <item sd="0" x="17074"/>
        <item sd="0" x="17075"/>
        <item sd="0" x="17076"/>
        <item sd="0" x="17077"/>
        <item sd="0" x="17078"/>
        <item sd="0" x="17079"/>
        <item sd="0" x="17080"/>
        <item sd="0" x="17081"/>
        <item sd="0" x="17082"/>
        <item sd="0" x="17083"/>
        <item sd="0" x="17084"/>
        <item sd="0" x="17085"/>
        <item sd="0" x="17086"/>
        <item sd="0" x="17087"/>
        <item sd="0" x="17088"/>
        <item sd="0" x="17089"/>
        <item sd="0" x="17090"/>
        <item sd="0" x="17091"/>
        <item sd="0" x="17092"/>
        <item sd="0" x="17093"/>
        <item sd="0" x="17094"/>
        <item sd="0" x="17095"/>
        <item sd="0" x="17096"/>
        <item sd="0" x="17097"/>
        <item sd="0" x="17098"/>
        <item sd="0" x="17099"/>
        <item sd="0" x="17100"/>
        <item sd="0" x="17101"/>
        <item sd="0" x="17102"/>
        <item sd="0" x="17103"/>
        <item sd="0" x="17104"/>
        <item sd="0" x="17105"/>
        <item sd="0" x="17106"/>
        <item sd="0" x="17107"/>
        <item sd="0" x="17108"/>
        <item sd="0" x="17109"/>
        <item sd="0" x="17110"/>
        <item sd="0" x="17111"/>
        <item sd="0" x="17112"/>
        <item sd="0" x="17113"/>
        <item sd="0" x="17114"/>
        <item sd="0" x="17115"/>
        <item sd="0" x="17116"/>
        <item sd="0" x="17117"/>
        <item sd="0" x="17118"/>
        <item sd="0" x="17119"/>
        <item sd="0" x="17120"/>
        <item sd="0" x="17121"/>
        <item sd="0" x="17122"/>
        <item sd="0" x="17123"/>
        <item sd="0" x="17124"/>
        <item sd="0" x="17125"/>
        <item sd="0" x="17126"/>
        <item sd="0" x="17127"/>
        <item sd="0" x="17128"/>
        <item sd="0" x="17129"/>
        <item sd="0" x="17130"/>
        <item sd="0" x="17131"/>
        <item sd="0" x="17132"/>
        <item sd="0" x="17133"/>
        <item sd="0" x="17134"/>
        <item sd="0" x="17135"/>
        <item sd="0" x="17136"/>
        <item sd="0" x="17137"/>
        <item sd="0" x="17138"/>
        <item sd="0" x="17139"/>
        <item sd="0" x="17140"/>
        <item sd="0" x="17141"/>
        <item sd="0" x="17142"/>
        <item sd="0" x="17143"/>
        <item sd="0" x="17144"/>
        <item sd="0" x="17145"/>
        <item sd="0" x="17146"/>
        <item sd="0" x="17147"/>
        <item sd="0" x="17148"/>
        <item sd="0" x="17149"/>
        <item sd="0" x="17150"/>
        <item sd="0" x="17151"/>
        <item sd="0" x="17152"/>
        <item sd="0" x="17153"/>
        <item sd="0" x="17154"/>
        <item sd="0" x="17155"/>
        <item sd="0" x="17156"/>
        <item sd="0" x="17157"/>
        <item sd="0" x="17158"/>
        <item sd="0" x="17159"/>
        <item sd="0" x="17160"/>
        <item sd="0" x="17161"/>
        <item sd="0" x="17162"/>
        <item sd="0" x="17163"/>
        <item sd="0" x="17164"/>
        <item sd="0" x="17165"/>
        <item sd="0" x="17166"/>
        <item sd="0" x="17167"/>
        <item sd="0" x="17168"/>
        <item sd="0" x="17169"/>
        <item sd="0" x="17170"/>
        <item sd="0" x="17171"/>
        <item sd="0" x="17172"/>
        <item sd="0" x="17173"/>
        <item sd="0" x="17174"/>
        <item sd="0" x="17175"/>
        <item sd="0" x="17176"/>
        <item sd="0" x="17177"/>
        <item sd="0" x="17178"/>
        <item sd="0" x="17179"/>
        <item sd="0" x="17180"/>
        <item sd="0" x="17181"/>
        <item sd="0" x="17182"/>
        <item sd="0" x="17183"/>
        <item sd="0" x="17184"/>
        <item sd="0" x="17185"/>
        <item sd="0" x="17186"/>
        <item sd="0" x="17187"/>
        <item sd="0" x="17188"/>
        <item sd="0" x="17189"/>
        <item sd="0" x="17190"/>
        <item sd="0" x="17191"/>
        <item sd="0" x="17192"/>
        <item sd="0" x="17193"/>
        <item sd="0" x="17194"/>
        <item sd="0" x="17195"/>
        <item sd="0" x="17196"/>
        <item sd="0" x="17197"/>
        <item sd="0" x="17198"/>
        <item sd="0" x="17199"/>
        <item sd="0" x="17200"/>
        <item sd="0" x="17201"/>
        <item sd="0" x="17202"/>
        <item sd="0" x="17203"/>
        <item sd="0" x="17204"/>
        <item sd="0" x="17205"/>
        <item sd="0" x="17206"/>
        <item sd="0" x="17207"/>
        <item sd="0" x="17208"/>
        <item sd="0" x="17209"/>
        <item sd="0" x="17210"/>
        <item sd="0" x="17211"/>
        <item sd="0" x="17212"/>
        <item sd="0" x="17213"/>
        <item sd="0" x="17214"/>
        <item sd="0" x="17215"/>
        <item sd="0" x="17216"/>
        <item sd="0" x="17217"/>
        <item sd="0" x="17218"/>
        <item sd="0" x="17219"/>
        <item sd="0" x="17220"/>
        <item sd="0" x="17221"/>
        <item sd="0" x="17222"/>
        <item sd="0" x="17223"/>
        <item sd="0" x="17224"/>
        <item sd="0" x="17225"/>
        <item sd="0" x="17226"/>
        <item sd="0" x="17227"/>
        <item sd="0" x="17228"/>
        <item sd="0" x="17229"/>
        <item sd="0" x="17230"/>
        <item sd="0" x="17231"/>
        <item sd="0" x="17232"/>
        <item sd="0" x="17233"/>
        <item sd="0" x="17234"/>
        <item sd="0" x="17235"/>
        <item sd="0" x="17236"/>
        <item sd="0" x="17237"/>
        <item sd="0" x="17238"/>
        <item sd="0" x="17239"/>
        <item sd="0" x="17240"/>
        <item sd="0" x="17241"/>
        <item sd="0" x="17242"/>
        <item sd="0" x="17243"/>
        <item sd="0" x="17244"/>
        <item sd="0" x="17245"/>
        <item sd="0" x="17246"/>
        <item sd="0" x="17247"/>
        <item sd="0" x="17248"/>
        <item sd="0" x="17249"/>
        <item sd="0" x="17250"/>
        <item sd="0" x="17251"/>
        <item sd="0" x="17252"/>
        <item sd="0" x="17253"/>
        <item sd="0" x="17254"/>
        <item sd="0" x="17255"/>
        <item sd="0" x="17256"/>
        <item sd="0" x="17257"/>
        <item sd="0" x="17258"/>
        <item sd="0" x="17259"/>
        <item sd="0" x="17260"/>
        <item sd="0" x="17261"/>
        <item sd="0" x="17262"/>
        <item sd="0" x="17263"/>
        <item sd="0" x="17264"/>
        <item sd="0" x="17265"/>
        <item sd="0" x="17266"/>
        <item sd="0" x="17267"/>
        <item sd="0" x="17268"/>
        <item sd="0" x="17269"/>
        <item sd="0" x="17270"/>
        <item sd="0" x="17271"/>
        <item sd="0" x="17272"/>
        <item sd="0" x="17273"/>
        <item sd="0" x="17274"/>
        <item sd="0" x="17275"/>
        <item sd="0" x="17276"/>
        <item sd="0" x="17277"/>
        <item sd="0" x="17278"/>
        <item sd="0" x="17279"/>
        <item sd="0" x="17280"/>
        <item sd="0" x="17281"/>
        <item sd="0" x="17282"/>
        <item sd="0" x="17283"/>
        <item sd="0" x="17284"/>
        <item sd="0" x="17285"/>
        <item sd="0" x="17286"/>
        <item sd="0" x="17287"/>
        <item sd="0" x="17288"/>
        <item sd="0" x="17289"/>
        <item sd="0" x="17290"/>
        <item sd="0" x="17291"/>
        <item sd="0" x="17292"/>
        <item sd="0" x="17293"/>
        <item sd="0" x="17294"/>
        <item sd="0" x="17295"/>
        <item sd="0" x="17296"/>
        <item sd="0" x="17297"/>
        <item sd="0" x="17298"/>
        <item sd="0" x="17299"/>
        <item sd="0" x="17300"/>
        <item sd="0" x="17301"/>
        <item sd="0" x="17302"/>
        <item sd="0" x="17303"/>
        <item sd="0" x="17304"/>
        <item sd="0" x="17305"/>
        <item sd="0" x="17306"/>
        <item sd="0" x="17307"/>
        <item sd="0" x="17308"/>
        <item sd="0" x="17309"/>
        <item sd="0" x="17310"/>
        <item sd="0" x="17311"/>
        <item sd="0" x="17312"/>
        <item sd="0" x="17313"/>
        <item sd="0" x="17314"/>
        <item sd="0" x="17315"/>
        <item sd="0" x="17316"/>
        <item sd="0" x="17317"/>
        <item sd="0" x="17318"/>
        <item sd="0" x="17319"/>
        <item sd="0" x="17320"/>
        <item sd="0" x="17321"/>
        <item sd="0" x="17322"/>
        <item sd="0" x="17323"/>
        <item sd="0" x="17324"/>
        <item sd="0" x="17325"/>
        <item sd="0" x="17326"/>
        <item sd="0" x="17327"/>
        <item sd="0" x="17328"/>
        <item sd="0" x="17329"/>
        <item sd="0" x="17330"/>
        <item sd="0" x="17331"/>
        <item sd="0" x="17332"/>
        <item sd="0" x="17333"/>
        <item sd="0" x="17334"/>
        <item sd="0" x="17335"/>
        <item sd="0" x="17336"/>
        <item sd="0" x="17337"/>
        <item sd="0" x="17338"/>
        <item sd="0" x="17339"/>
        <item sd="0" x="17340"/>
        <item sd="0" x="17341"/>
        <item sd="0" x="17342"/>
        <item sd="0" x="17343"/>
        <item sd="0" x="17344"/>
        <item sd="0" x="17345"/>
        <item sd="0" x="17346"/>
        <item sd="0" x="17347"/>
        <item sd="0" x="17348"/>
        <item sd="0" x="17349"/>
        <item sd="0" x="17350"/>
        <item sd="0" x="17351"/>
        <item sd="0" x="17352"/>
        <item sd="0" x="17353"/>
        <item sd="0" x="17354"/>
        <item sd="0" x="17355"/>
        <item sd="0" x="17356"/>
        <item sd="0" x="17357"/>
        <item sd="0" x="17358"/>
        <item sd="0" x="17359"/>
        <item sd="0" x="17360"/>
        <item sd="0" x="17361"/>
        <item sd="0" x="17362"/>
        <item sd="0" x="17363"/>
        <item sd="0" x="17364"/>
        <item sd="0" x="17365"/>
        <item sd="0" x="17366"/>
        <item sd="0" x="17367"/>
        <item sd="0" x="17368"/>
        <item sd="0" x="17369"/>
        <item sd="0" x="17370"/>
        <item sd="0" x="17371"/>
        <item sd="0" x="17372"/>
        <item sd="0" x="17373"/>
        <item sd="0" x="17374"/>
        <item sd="0" x="17375"/>
        <item sd="0" x="17376"/>
        <item sd="0" x="17377"/>
        <item sd="0" x="17378"/>
        <item sd="0" x="17379"/>
        <item sd="0" x="17380"/>
        <item sd="0" x="17381"/>
        <item sd="0" x="17382"/>
        <item sd="0" x="17383"/>
        <item sd="0" x="17384"/>
        <item sd="0" x="17385"/>
        <item sd="0" x="17386"/>
        <item sd="0" x="17387"/>
        <item sd="0" x="17388"/>
        <item sd="0" x="17389"/>
        <item sd="0" x="17390"/>
        <item sd="0" x="17391"/>
        <item sd="0" x="17392"/>
        <item sd="0" x="17393"/>
        <item sd="0" x="17394"/>
        <item sd="0" x="17395"/>
        <item sd="0" x="17396"/>
        <item sd="0" x="17397"/>
        <item sd="0" x="17398"/>
        <item sd="0" x="17399"/>
        <item sd="0" x="17400"/>
        <item sd="0" x="17401"/>
        <item sd="0" x="17402"/>
        <item sd="0" x="17403"/>
        <item sd="0" x="17404"/>
        <item sd="0" x="17405"/>
        <item sd="0" x="17406"/>
        <item sd="0" x="17407"/>
        <item sd="0" x="17408"/>
        <item sd="0" x="17409"/>
        <item sd="0" x="17410"/>
        <item sd="0" x="17411"/>
        <item sd="0" x="17412"/>
        <item sd="0" x="17413"/>
        <item sd="0" x="17414"/>
        <item sd="0" x="17415"/>
        <item sd="0" x="17416"/>
        <item sd="0" x="17417"/>
        <item sd="0" x="17418"/>
        <item sd="0" x="17419"/>
        <item sd="0" x="17420"/>
        <item sd="0" x="17421"/>
        <item sd="0" x="17422"/>
        <item sd="0" x="17423"/>
        <item sd="0" x="17424"/>
        <item sd="0" x="17425"/>
        <item sd="0" x="17426"/>
        <item sd="0" x="17427"/>
        <item sd="0" x="17428"/>
        <item sd="0" x="17429"/>
        <item sd="0" x="17430"/>
        <item sd="0" x="17431"/>
        <item sd="0" x="17432"/>
        <item sd="0" x="17433"/>
        <item sd="0" x="17434"/>
        <item sd="0" x="17435"/>
        <item sd="0" x="17436"/>
        <item sd="0" x="17437"/>
        <item sd="0" x="17438"/>
        <item sd="0" x="17439"/>
        <item sd="0" x="17440"/>
        <item sd="0" x="17441"/>
        <item sd="0" x="17442"/>
        <item sd="0" x="17443"/>
        <item sd="0" x="17444"/>
        <item sd="0" x="17445"/>
        <item sd="0" x="17446"/>
        <item sd="0" x="17447"/>
        <item sd="0" x="17448"/>
        <item sd="0" x="17449"/>
        <item sd="0" x="17450"/>
        <item sd="0" x="17451"/>
        <item sd="0" x="17452"/>
        <item sd="0" x="17453"/>
        <item sd="0" x="17454"/>
        <item sd="0" x="17455"/>
        <item sd="0" x="17456"/>
        <item sd="0" x="17457"/>
        <item sd="0" x="17458"/>
        <item sd="0" x="17459"/>
        <item sd="0" x="17460"/>
        <item sd="0" x="17461"/>
        <item sd="0" x="17462"/>
        <item sd="0" x="17463"/>
        <item sd="0" x="17464"/>
        <item sd="0" x="17465"/>
        <item sd="0" x="17466"/>
        <item sd="0" x="17467"/>
        <item sd="0" x="17468"/>
        <item sd="0" x="17469"/>
        <item sd="0" x="17470"/>
        <item sd="0" x="17471"/>
        <item sd="0" x="17472"/>
        <item sd="0" x="17473"/>
        <item sd="0" x="17474"/>
        <item sd="0" x="17475"/>
        <item sd="0" x="17476"/>
        <item sd="0" x="17477"/>
        <item sd="0" x="17478"/>
        <item sd="0" x="17479"/>
        <item sd="0" x="17480"/>
        <item sd="0" x="17481"/>
        <item sd="0" x="17482"/>
        <item sd="0" x="17483"/>
        <item sd="0" x="17484"/>
        <item sd="0" x="17485"/>
        <item sd="0" x="17486"/>
        <item sd="0" x="17487"/>
        <item sd="0" x="17488"/>
        <item sd="0" x="17489"/>
        <item sd="0" x="17490"/>
        <item sd="0" x="17491"/>
        <item sd="0" x="17492"/>
        <item sd="0" x="17493"/>
        <item sd="0" x="17494"/>
        <item sd="0" x="17495"/>
        <item sd="0" x="17496"/>
        <item sd="0" x="17497"/>
        <item sd="0" x="17498"/>
        <item sd="0" x="17499"/>
        <item sd="0" x="17500"/>
        <item sd="0" x="17501"/>
        <item sd="0" x="17502"/>
        <item sd="0" x="17503"/>
        <item sd="0" x="17504"/>
        <item sd="0" x="17505"/>
        <item sd="0" x="17506"/>
        <item sd="0" x="17507"/>
        <item sd="0" x="17508"/>
        <item sd="0" x="17509"/>
        <item sd="0" x="17510"/>
        <item sd="0" x="17511"/>
        <item sd="0" x="17512"/>
        <item sd="0" x="17513"/>
        <item sd="0" x="17514"/>
        <item sd="0" x="17515"/>
        <item sd="0" x="17516"/>
        <item sd="0" x="17517"/>
        <item sd="0" x="17518"/>
        <item sd="0" x="17519"/>
        <item sd="0" x="17520"/>
        <item sd="0" x="17521"/>
        <item sd="0" x="17522"/>
        <item sd="0" x="17523"/>
        <item sd="0" x="17524"/>
        <item sd="0" x="17525"/>
        <item sd="0" x="17526"/>
        <item sd="0" x="17527"/>
        <item sd="0" x="17528"/>
        <item sd="0" x="17529"/>
        <item sd="0" x="17530"/>
        <item sd="0" x="17531"/>
        <item sd="0" x="17532"/>
        <item sd="0" x="17533"/>
        <item sd="0" x="17534"/>
        <item sd="0" x="17535"/>
        <item sd="0" x="17536"/>
        <item sd="0" x="17537"/>
        <item sd="0" x="17538"/>
        <item sd="0" x="17539"/>
        <item sd="0" x="17540"/>
        <item sd="0" x="17541"/>
        <item sd="0" x="17542"/>
        <item sd="0" x="17543"/>
        <item sd="0" x="17544"/>
        <item sd="0" x="17545"/>
        <item sd="0" x="17546"/>
        <item sd="0" x="17547"/>
        <item sd="0" x="17548"/>
        <item sd="0" x="17549"/>
        <item sd="0" x="17550"/>
        <item sd="0" x="17551"/>
        <item sd="0" x="17552"/>
        <item sd="0" x="17553"/>
        <item sd="0" x="17554"/>
        <item sd="0" x="17555"/>
        <item sd="0" x="17556"/>
        <item sd="0" x="17557"/>
        <item sd="0" x="17558"/>
        <item sd="0" x="17559"/>
        <item sd="0" x="17560"/>
        <item sd="0" x="17561"/>
        <item sd="0" x="17562"/>
        <item sd="0" x="17563"/>
        <item sd="0" x="17564"/>
        <item sd="0" x="17565"/>
        <item sd="0" x="17566"/>
        <item sd="0" x="17567"/>
        <item sd="0" x="17568"/>
        <item sd="0" x="17569"/>
        <item sd="0" x="17570"/>
        <item sd="0" x="17571"/>
        <item sd="0" x="17572"/>
        <item sd="0" x="17573"/>
        <item sd="0" x="17574"/>
        <item sd="0" x="17575"/>
        <item sd="0" x="17576"/>
        <item sd="0" x="17577"/>
        <item sd="0" x="17578"/>
        <item sd="0" x="17579"/>
        <item sd="0" x="17580"/>
        <item sd="0" x="17581"/>
        <item sd="0" x="17582"/>
        <item sd="0" x="17583"/>
        <item sd="0" x="17584"/>
        <item sd="0" x="17585"/>
        <item sd="0" x="17586"/>
        <item sd="0" x="17587"/>
        <item sd="0" x="17588"/>
        <item sd="0" x="17589"/>
        <item sd="0" x="17590"/>
        <item sd="0" x="17591"/>
        <item sd="0" x="17592"/>
        <item sd="0" x="17593"/>
        <item sd="0" x="17594"/>
        <item sd="0" x="17595"/>
        <item sd="0" x="17596"/>
        <item sd="0" x="17597"/>
        <item sd="0" x="17598"/>
        <item sd="0" x="17599"/>
        <item sd="0" x="17600"/>
        <item sd="0" x="17601"/>
        <item sd="0" x="17602"/>
        <item sd="0" x="17603"/>
        <item sd="0" x="17604"/>
        <item sd="0" x="17605"/>
        <item sd="0" x="17606"/>
        <item sd="0" x="17607"/>
        <item sd="0" x="17608"/>
        <item sd="0" x="17609"/>
        <item sd="0" x="17610"/>
        <item sd="0" x="17611"/>
        <item sd="0" x="17612"/>
        <item sd="0" x="17613"/>
        <item sd="0" x="17614"/>
        <item sd="0" x="17615"/>
        <item sd="0" x="17616"/>
        <item sd="0" x="17617"/>
        <item sd="0" x="17618"/>
        <item sd="0" x="17619"/>
        <item sd="0" x="17620"/>
        <item sd="0" x="17621"/>
        <item sd="0" x="17622"/>
        <item sd="0" x="17623"/>
        <item sd="0" x="17624"/>
        <item sd="0" x="17625"/>
        <item sd="0" x="17626"/>
        <item sd="0" x="17627"/>
        <item sd="0" x="17628"/>
        <item sd="0" x="17629"/>
        <item sd="0" x="17630"/>
        <item sd="0" x="17631"/>
        <item sd="0" x="17632"/>
        <item sd="0" x="17633"/>
        <item sd="0" x="17634"/>
        <item sd="0" x="17635"/>
        <item sd="0" x="17636"/>
        <item sd="0" x="17637"/>
        <item sd="0" x="17638"/>
        <item sd="0" x="17639"/>
        <item sd="0" x="17640"/>
        <item sd="0" x="17641"/>
        <item sd="0" x="17642"/>
        <item sd="0" x="17643"/>
        <item sd="0" x="17644"/>
        <item sd="0" x="17645"/>
        <item sd="0" x="17646"/>
        <item sd="0" x="17647"/>
        <item sd="0" x="17648"/>
        <item sd="0" x="17649"/>
        <item sd="0" x="17650"/>
        <item sd="0" x="17651"/>
        <item sd="0" x="17652"/>
        <item sd="0" x="17653"/>
        <item sd="0" x="17654"/>
        <item sd="0" x="17655"/>
        <item sd="0" x="17656"/>
        <item sd="0" x="17657"/>
        <item sd="0" x="17658"/>
        <item sd="0" x="17659"/>
        <item sd="0" x="17660"/>
        <item sd="0" x="17661"/>
        <item sd="0" x="17662"/>
        <item sd="0" x="17663"/>
        <item sd="0" x="17664"/>
        <item sd="0" x="17665"/>
        <item sd="0" x="17666"/>
        <item sd="0" x="17667"/>
        <item sd="0" x="17668"/>
        <item sd="0" x="17669"/>
        <item sd="0" x="17670"/>
        <item sd="0" x="17671"/>
        <item sd="0" x="17672"/>
        <item sd="0" x="17673"/>
        <item sd="0" x="17674"/>
        <item sd="0" x="17675"/>
        <item sd="0" x="17676"/>
        <item sd="0" x="17677"/>
        <item sd="0" x="17678"/>
        <item sd="0" x="17679"/>
        <item sd="0" x="17680"/>
        <item sd="0" x="17681"/>
        <item sd="0" x="17682"/>
        <item sd="0" x="17683"/>
        <item sd="0" x="17684"/>
        <item sd="0" x="17685"/>
        <item sd="0" x="17686"/>
        <item sd="0" x="17687"/>
        <item sd="0" x="17688"/>
        <item sd="0" x="17689"/>
        <item sd="0" x="17690"/>
        <item sd="0" x="17691"/>
        <item sd="0" x="17692"/>
        <item sd="0" x="17693"/>
        <item sd="0" x="17694"/>
        <item sd="0" x="17695"/>
        <item sd="0" x="17696"/>
        <item sd="0" x="17697"/>
        <item sd="0" x="17698"/>
        <item sd="0" x="17699"/>
        <item sd="0" x="17700"/>
        <item sd="0" x="17701"/>
        <item sd="0" x="17702"/>
        <item sd="0" x="17703"/>
        <item sd="0" x="17704"/>
        <item sd="0" x="17705"/>
        <item sd="0" x="17706"/>
        <item sd="0" x="17707"/>
        <item sd="0" x="17708"/>
        <item sd="0" x="17709"/>
        <item sd="0" x="17710"/>
        <item sd="0" x="17711"/>
        <item sd="0" x="17712"/>
        <item sd="0" x="17713"/>
        <item sd="0" x="17714"/>
        <item sd="0" x="17715"/>
        <item sd="0" x="17716"/>
        <item sd="0" x="17717"/>
        <item sd="0" x="17718"/>
        <item sd="0" x="17719"/>
        <item sd="0" x="17720"/>
        <item sd="0" x="17721"/>
        <item sd="0" x="17722"/>
        <item sd="0" x="17723"/>
        <item sd="0" x="17724"/>
        <item sd="0" x="17725"/>
        <item sd="0" x="17726"/>
        <item sd="0" x="17727"/>
        <item sd="0" x="17728"/>
        <item sd="0" x="17729"/>
        <item sd="0" x="17730"/>
        <item sd="0" x="17731"/>
        <item sd="0" x="17732"/>
        <item sd="0" x="17733"/>
        <item sd="0" x="17734"/>
        <item sd="0" x="17735"/>
        <item sd="0" x="17736"/>
        <item sd="0" x="17737"/>
        <item sd="0" x="17738"/>
        <item sd="0" x="17739"/>
        <item sd="0" x="17740"/>
        <item sd="0" x="17741"/>
        <item sd="0" x="17742"/>
        <item sd="0" x="17743"/>
        <item sd="0" x="17744"/>
        <item sd="0" x="17745"/>
        <item sd="0" x="17746"/>
        <item sd="0" x="17747"/>
        <item sd="0" x="17748"/>
        <item sd="0" x="17749"/>
        <item sd="0" x="17750"/>
        <item sd="0" x="17751"/>
        <item sd="0" x="17752"/>
        <item sd="0" x="17753"/>
        <item sd="0" x="17754"/>
        <item sd="0" x="17755"/>
        <item sd="0" x="17756"/>
        <item sd="0" x="17757"/>
        <item sd="0" x="17758"/>
        <item sd="0" x="17759"/>
        <item sd="0" x="17760"/>
        <item sd="0" x="17761"/>
        <item sd="0" x="17762"/>
        <item sd="0" x="17763"/>
        <item sd="0" x="17764"/>
        <item sd="0" x="17765"/>
        <item sd="0" x="17766"/>
        <item sd="0" x="17767"/>
        <item sd="0" x="17768"/>
        <item sd="0" x="17769"/>
        <item sd="0" x="17770"/>
        <item sd="0" x="17771"/>
        <item sd="0" x="17772"/>
        <item sd="0" x="17773"/>
        <item sd="0" x="17774"/>
        <item sd="0" x="17775"/>
        <item sd="0" x="17776"/>
        <item sd="0" x="17777"/>
        <item sd="0" x="17778"/>
        <item sd="0" x="17779"/>
        <item sd="0" x="17780"/>
        <item sd="0" x="17781"/>
        <item sd="0" x="17782"/>
        <item sd="0" x="17783"/>
        <item sd="0" x="17784"/>
        <item sd="0" x="17785"/>
        <item sd="0" x="17786"/>
        <item sd="0" x="17787"/>
        <item sd="0" x="17788"/>
        <item sd="0" x="17789"/>
        <item sd="0" x="17790"/>
        <item sd="0" x="17791"/>
        <item sd="0" x="17792"/>
        <item sd="0" x="17793"/>
        <item sd="0" x="17794"/>
        <item sd="0" x="17795"/>
        <item sd="0" x="17796"/>
        <item sd="0" x="17797"/>
        <item sd="0" x="17798"/>
        <item sd="0" x="17799"/>
        <item sd="0" x="17800"/>
        <item sd="0" x="17801"/>
        <item sd="0" x="17802"/>
        <item sd="0" x="17803"/>
        <item sd="0" x="17804"/>
        <item sd="0" x="17805"/>
        <item sd="0" x="17806"/>
        <item sd="0" x="17807"/>
        <item sd="0" x="17808"/>
        <item sd="0" x="17809"/>
        <item sd="0" x="17810"/>
        <item sd="0" x="17811"/>
        <item sd="0" x="17812"/>
        <item sd="0" x="17813"/>
        <item sd="0" x="17814"/>
        <item sd="0" x="17815"/>
        <item sd="0" x="17816"/>
        <item sd="0" x="17817"/>
        <item sd="0" x="17818"/>
        <item sd="0" x="17819"/>
        <item sd="0" x="17820"/>
        <item sd="0" x="17821"/>
        <item sd="0" x="17822"/>
        <item sd="0" x="17823"/>
        <item sd="0" x="17824"/>
        <item sd="0" x="17825"/>
        <item sd="0" x="17826"/>
        <item sd="0" x="17827"/>
        <item sd="0" x="17828"/>
        <item sd="0" x="17829"/>
        <item sd="0" x="17830"/>
        <item sd="0" x="17831"/>
        <item sd="0" x="17832"/>
        <item sd="0" x="17833"/>
        <item sd="0" x="17834"/>
        <item sd="0" x="17835"/>
        <item sd="0" x="17836"/>
        <item sd="0" x="17837"/>
        <item sd="0" x="17838"/>
        <item sd="0" x="17839"/>
        <item sd="0" x="17840"/>
        <item sd="0" x="17841"/>
        <item sd="0" x="17842"/>
        <item sd="0" x="17843"/>
        <item sd="0" x="17844"/>
        <item sd="0" x="17845"/>
        <item sd="0" x="17846"/>
        <item sd="0" x="17847"/>
        <item sd="0" x="17848"/>
        <item sd="0" x="17849"/>
        <item sd="0" x="17850"/>
        <item sd="0" x="17851"/>
        <item sd="0" x="17852"/>
        <item sd="0" x="17853"/>
        <item sd="0" x="17854"/>
        <item sd="0" x="17855"/>
        <item sd="0" x="17856"/>
        <item sd="0" x="17857"/>
        <item sd="0" x="17858"/>
        <item sd="0" x="17859"/>
        <item sd="0" x="17860"/>
        <item sd="0" x="17861"/>
        <item sd="0" x="17862"/>
        <item sd="0" x="17863"/>
        <item sd="0" x="17864"/>
        <item sd="0" x="17865"/>
        <item sd="0" x="17866"/>
        <item sd="0" x="17867"/>
        <item sd="0" x="17868"/>
        <item sd="0" x="17869"/>
        <item sd="0" x="17870"/>
        <item sd="0" x="17871"/>
        <item sd="0" x="17872"/>
        <item sd="0" x="17873"/>
        <item sd="0" x="17874"/>
        <item sd="0" x="17875"/>
        <item sd="0" x="17876"/>
        <item sd="0" x="17877"/>
        <item sd="0" x="17878"/>
        <item sd="0" x="17879"/>
        <item sd="0" x="17880"/>
        <item sd="0" x="17881"/>
        <item sd="0" x="17882"/>
        <item sd="0" x="17883"/>
        <item sd="0" x="17884"/>
        <item sd="0" x="17885"/>
        <item sd="0" x="17886"/>
        <item sd="0" x="17887"/>
        <item sd="0" x="17888"/>
        <item sd="0" x="17889"/>
        <item sd="0" x="17890"/>
        <item sd="0" x="17891"/>
        <item sd="0" x="17892"/>
        <item sd="0" x="17893"/>
        <item sd="0" x="17894"/>
        <item sd="0" x="17895"/>
        <item sd="0" x="17896"/>
        <item sd="0" x="17897"/>
        <item sd="0" x="17898"/>
        <item sd="0" x="17899"/>
        <item sd="0" x="17900"/>
        <item sd="0" x="17901"/>
        <item sd="0" x="17902"/>
        <item sd="0" x="17903"/>
        <item sd="0" x="17904"/>
        <item sd="0" x="17905"/>
        <item sd="0" x="17906"/>
        <item sd="0" x="17907"/>
        <item sd="0" x="17908"/>
        <item sd="0" x="17909"/>
        <item sd="0" x="17910"/>
        <item sd="0" x="17911"/>
        <item sd="0" x="17912"/>
        <item sd="0" x="17913"/>
        <item sd="0" x="17914"/>
        <item sd="0" x="17915"/>
        <item sd="0" x="17916"/>
        <item sd="0" x="17917"/>
        <item sd="0" x="17918"/>
        <item sd="0" x="17919"/>
        <item sd="0" x="17920"/>
        <item sd="0" x="17921"/>
        <item sd="0" x="17922"/>
        <item sd="0" x="17923"/>
        <item sd="0" x="17924"/>
        <item sd="0" x="17925"/>
        <item sd="0" x="17926"/>
        <item sd="0" x="17927"/>
        <item sd="0" x="17928"/>
        <item sd="0" x="17929"/>
        <item sd="0" x="17930"/>
        <item sd="0" x="17931"/>
        <item sd="0" x="17932"/>
        <item sd="0" x="17933"/>
        <item sd="0" x="17934"/>
        <item sd="0" x="17935"/>
        <item sd="0" x="17936"/>
        <item sd="0" x="17937"/>
        <item sd="0" x="17938"/>
        <item sd="0" x="17939"/>
        <item sd="0" x="17940"/>
        <item sd="0" x="17941"/>
        <item sd="0" x="17942"/>
        <item sd="0" x="17943"/>
        <item sd="0" x="17944"/>
        <item sd="0" x="17945"/>
        <item sd="0" x="17946"/>
        <item sd="0" x="17947"/>
        <item sd="0" x="17948"/>
        <item sd="0" x="17949"/>
        <item sd="0" x="17950"/>
        <item sd="0" x="17951"/>
        <item sd="0" x="17952"/>
        <item sd="0" x="17953"/>
        <item sd="0" x="17954"/>
        <item sd="0" x="17955"/>
        <item sd="0" x="17956"/>
        <item sd="0" x="17957"/>
        <item sd="0" x="17958"/>
        <item sd="0" x="17959"/>
        <item sd="0" x="17960"/>
        <item sd="0" x="17961"/>
        <item sd="0" x="17962"/>
        <item sd="0" x="17963"/>
        <item sd="0" x="17964"/>
        <item sd="0" x="17965"/>
        <item sd="0" x="17966"/>
        <item sd="0" x="17967"/>
        <item sd="0" x="17968"/>
        <item sd="0" x="17969"/>
        <item sd="0" x="17970"/>
        <item sd="0" x="17971"/>
        <item sd="0" x="17972"/>
        <item sd="0" x="17973"/>
        <item sd="0" x="17974"/>
        <item sd="0" x="17975"/>
        <item sd="0" x="17976"/>
        <item sd="0" x="17977"/>
        <item sd="0" x="17978"/>
        <item sd="0" x="17979"/>
        <item sd="0" x="17980"/>
        <item sd="0" x="17981"/>
        <item sd="0" x="17982"/>
        <item sd="0" x="17983"/>
        <item sd="0" x="17984"/>
        <item sd="0" x="17985"/>
        <item sd="0" x="17986"/>
        <item sd="0" x="17987"/>
        <item sd="0" x="17988"/>
        <item sd="0" x="17989"/>
        <item sd="0" x="17990"/>
        <item sd="0" x="17991"/>
        <item sd="0" x="17992"/>
        <item sd="0" x="17993"/>
        <item sd="0" x="17994"/>
        <item sd="0" x="17995"/>
        <item sd="0" x="17996"/>
        <item sd="0" x="17997"/>
        <item sd="0" x="17998"/>
        <item sd="0" x="17999"/>
        <item sd="0" x="18000"/>
        <item sd="0" x="18001"/>
        <item sd="0" x="18002"/>
        <item sd="0" x="18003"/>
        <item sd="0" x="18004"/>
        <item sd="0" x="18005"/>
        <item sd="0" x="18006"/>
        <item sd="0" x="18007"/>
        <item sd="0" x="18008"/>
        <item sd="0" x="18009"/>
        <item sd="0" x="18010"/>
        <item sd="0" x="18011"/>
        <item sd="0" x="18012"/>
        <item sd="0" x="18013"/>
        <item sd="0" x="18014"/>
        <item sd="0" x="18015"/>
        <item sd="0" x="18016"/>
        <item sd="0" x="18017"/>
        <item sd="0" x="18018"/>
        <item sd="0" x="18019"/>
        <item sd="0" x="18020"/>
        <item sd="0" x="18021"/>
        <item sd="0" x="18022"/>
        <item sd="0" x="18023"/>
        <item sd="0" x="18024"/>
        <item sd="0" x="18025"/>
        <item sd="0" x="18026"/>
        <item sd="0" x="18027"/>
        <item sd="0" x="18028"/>
        <item sd="0" x="18029"/>
        <item sd="0" x="18030"/>
        <item sd="0" x="18031"/>
        <item sd="0" x="18032"/>
        <item sd="0" x="18033"/>
        <item sd="0" x="18034"/>
        <item sd="0" x="18035"/>
        <item sd="0" x="18036"/>
        <item sd="0" x="18037"/>
        <item sd="0" x="18038"/>
        <item sd="0" x="18039"/>
        <item sd="0" x="18040"/>
        <item sd="0" x="18041"/>
        <item sd="0" x="18042"/>
        <item sd="0" x="18043"/>
        <item sd="0" x="18044"/>
        <item sd="0" x="18045"/>
        <item sd="0" x="18046"/>
        <item sd="0" x="18047"/>
        <item sd="0" x="18048"/>
        <item sd="0" x="18049"/>
        <item sd="0" x="18050"/>
        <item sd="0" x="18051"/>
        <item sd="0" x="18052"/>
        <item sd="0" x="18053"/>
        <item sd="0" x="18054"/>
        <item sd="0" x="18055"/>
        <item sd="0" x="18056"/>
        <item sd="0" x="18057"/>
        <item sd="0" x="18058"/>
        <item sd="0" x="18059"/>
        <item sd="0" x="18060"/>
        <item sd="0" x="18061"/>
        <item sd="0" x="18062"/>
        <item sd="0" x="18063"/>
        <item sd="0" x="18064"/>
        <item sd="0" x="18065"/>
        <item sd="0" x="18066"/>
        <item sd="0" x="18067"/>
        <item sd="0" x="18068"/>
        <item sd="0" x="18069"/>
        <item sd="0" x="18070"/>
        <item sd="0" x="18071"/>
        <item sd="0" x="18072"/>
        <item sd="0" x="18073"/>
        <item sd="0" x="18074"/>
        <item sd="0" x="18075"/>
        <item sd="0" x="18076"/>
        <item sd="0" x="18077"/>
        <item sd="0" x="18078"/>
        <item sd="0" x="18079"/>
        <item sd="0" x="18080"/>
        <item sd="0" x="18081"/>
        <item sd="0" x="18082"/>
        <item sd="0" x="18083"/>
        <item sd="0" x="18084"/>
        <item sd="0" x="18085"/>
        <item sd="0" x="18086"/>
        <item sd="0" x="18087"/>
        <item sd="0" x="18088"/>
        <item sd="0" x="18089"/>
        <item sd="0" x="18090"/>
        <item sd="0" x="18091"/>
        <item sd="0" x="18092"/>
        <item sd="0" x="18093"/>
        <item sd="0" x="18094"/>
        <item sd="0" x="18095"/>
        <item sd="0" x="18096"/>
        <item sd="0" x="18097"/>
        <item sd="0" x="18098"/>
        <item sd="0" x="18099"/>
        <item sd="0" x="18100"/>
        <item sd="0" x="18101"/>
        <item sd="0" x="18102"/>
        <item sd="0" x="18103"/>
        <item sd="0" x="18104"/>
        <item sd="0" x="18105"/>
        <item sd="0" x="18106"/>
        <item sd="0" x="18107"/>
        <item sd="0" x="18108"/>
        <item sd="0" x="18109"/>
        <item sd="0" x="18110"/>
        <item sd="0" x="18111"/>
        <item sd="0" x="18112"/>
        <item sd="0" x="18113"/>
        <item sd="0" x="18114"/>
        <item sd="0" x="18115"/>
        <item sd="0" x="18116"/>
        <item sd="0" x="18117"/>
        <item sd="0" x="18118"/>
        <item sd="0" x="18119"/>
        <item sd="0" x="18120"/>
        <item sd="0" x="18121"/>
        <item sd="0" x="18122"/>
        <item sd="0" x="18123"/>
        <item sd="0" x="18124"/>
        <item sd="0" x="18125"/>
        <item sd="0" x="18126"/>
        <item sd="0" x="18127"/>
        <item sd="0" x="18128"/>
        <item sd="0" x="18129"/>
        <item sd="0" x="18130"/>
        <item sd="0" x="18131"/>
        <item sd="0" x="18132"/>
        <item sd="0" x="18133"/>
        <item sd="0" x="18134"/>
        <item sd="0" x="18135"/>
        <item sd="0" x="18136"/>
        <item sd="0" x="18137"/>
        <item sd="0" x="18138"/>
        <item sd="0" x="18139"/>
        <item sd="0" x="18140"/>
        <item sd="0" x="18141"/>
        <item sd="0" x="18142"/>
        <item sd="0" x="18143"/>
        <item sd="0" x="18144"/>
        <item sd="0" x="18145"/>
        <item sd="0" x="18146"/>
        <item sd="0" x="18147"/>
        <item sd="0" x="18148"/>
        <item sd="0" x="18149"/>
        <item sd="0" x="18150"/>
        <item sd="0" x="18151"/>
        <item sd="0" x="18152"/>
        <item sd="0" x="18153"/>
        <item sd="0" x="18154"/>
        <item sd="0" x="18155"/>
        <item sd="0" x="18156"/>
        <item sd="0" x="18157"/>
        <item sd="0" x="18158"/>
        <item sd="0" x="18159"/>
        <item sd="0" x="18160"/>
        <item sd="0" x="18161"/>
        <item sd="0" x="18162"/>
        <item sd="0" x="18163"/>
        <item sd="0" x="18164"/>
        <item sd="0" x="18165"/>
        <item sd="0" x="18166"/>
        <item sd="0" x="18167"/>
        <item sd="0" x="18168"/>
        <item sd="0" x="18169"/>
        <item sd="0" x="18170"/>
        <item sd="0" x="18171"/>
        <item sd="0" x="18172"/>
        <item sd="0" x="18173"/>
        <item sd="0" x="18174"/>
        <item sd="0" x="18175"/>
        <item sd="0" x="18176"/>
        <item sd="0" x="18177"/>
        <item sd="0" x="18178"/>
        <item sd="0" x="18179"/>
        <item sd="0" x="18180"/>
        <item sd="0" x="18181"/>
        <item sd="0" x="18182"/>
        <item sd="0" x="18183"/>
        <item sd="0" x="18184"/>
        <item sd="0" x="18185"/>
        <item sd="0" x="18186"/>
        <item sd="0" x="18187"/>
        <item sd="0" x="18188"/>
        <item sd="0" x="18189"/>
        <item sd="0" x="18190"/>
        <item sd="0" x="18191"/>
        <item sd="0" x="18192"/>
        <item sd="0" x="18193"/>
        <item sd="0" x="18194"/>
        <item sd="0" x="18195"/>
        <item sd="0" x="18196"/>
        <item sd="0" x="18197"/>
        <item sd="0" x="18198"/>
        <item sd="0" x="18199"/>
        <item sd="0" x="18200"/>
        <item sd="0" x="18201"/>
        <item sd="0" x="18202"/>
        <item sd="0" x="18203"/>
        <item sd="0" x="18204"/>
        <item sd="0" x="18205"/>
        <item sd="0" x="18206"/>
        <item sd="0" x="18207"/>
        <item sd="0" x="18208"/>
        <item sd="0" x="18209"/>
        <item sd="0" x="18210"/>
        <item sd="0" x="18211"/>
        <item sd="0" x="18212"/>
        <item sd="0" x="18213"/>
        <item sd="0" x="18214"/>
        <item sd="0" x="18215"/>
        <item sd="0" x="18216"/>
        <item sd="0" x="18217"/>
        <item sd="0" x="18218"/>
        <item sd="0" x="18219"/>
        <item sd="0" x="18220"/>
        <item sd="0" x="18221"/>
        <item sd="0" x="18222"/>
        <item sd="0" x="18223"/>
        <item sd="0" x="18224"/>
        <item sd="0" x="18225"/>
        <item sd="0" x="18226"/>
        <item sd="0" x="18227"/>
        <item sd="0" x="18228"/>
        <item sd="0" x="18229"/>
        <item sd="0" x="18230"/>
        <item sd="0" x="18231"/>
        <item sd="0" x="18232"/>
        <item sd="0" x="18233"/>
        <item sd="0" x="18234"/>
        <item sd="0" x="18235"/>
        <item sd="0" x="18236"/>
        <item sd="0" x="18237"/>
        <item sd="0" x="18238"/>
        <item sd="0" x="18239"/>
        <item sd="0" x="18240"/>
        <item sd="0" x="18241"/>
        <item sd="0" x="18242"/>
        <item sd="0" x="18243"/>
        <item sd="0" x="18244"/>
        <item sd="0" x="18245"/>
        <item sd="0" x="18246"/>
        <item sd="0" x="18247"/>
        <item sd="0" x="18248"/>
        <item sd="0" x="18249"/>
        <item sd="0" x="18250"/>
        <item sd="0" x="18251"/>
        <item sd="0" x="18252"/>
        <item sd="0" x="18253"/>
        <item sd="0" x="18254"/>
        <item sd="0" x="18255"/>
        <item sd="0" x="18256"/>
        <item sd="0" x="18257"/>
        <item sd="0" x="18258"/>
        <item sd="0" x="18259"/>
        <item sd="0" x="18260"/>
        <item sd="0" x="18261"/>
        <item sd="0" x="18262"/>
        <item sd="0" x="18263"/>
        <item sd="0" x="18264"/>
        <item sd="0" x="18265"/>
        <item sd="0" x="18266"/>
        <item sd="0" x="18267"/>
        <item sd="0" x="18268"/>
        <item sd="0" x="18269"/>
        <item sd="0" x="18270"/>
        <item sd="0" x="18271"/>
        <item sd="0" x="18272"/>
        <item sd="0" x="18273"/>
        <item sd="0" x="18274"/>
        <item sd="0" x="18275"/>
        <item sd="0" x="18276"/>
        <item sd="0" x="18277"/>
        <item sd="0" x="18278"/>
        <item sd="0" x="18279"/>
        <item sd="0" x="18280"/>
        <item sd="0" x="18281"/>
        <item sd="0" x="18282"/>
        <item sd="0" x="18283"/>
        <item sd="0" x="18284"/>
        <item sd="0" x="18285"/>
        <item sd="0" x="18286"/>
        <item sd="0" x="18287"/>
        <item sd="0" x="18288"/>
        <item sd="0" x="18289"/>
        <item sd="0" x="18290"/>
        <item sd="0" x="18291"/>
        <item sd="0" x="18292"/>
        <item sd="0" x="18293"/>
        <item sd="0" x="18294"/>
        <item sd="0" x="18295"/>
        <item sd="0" x="18296"/>
        <item sd="0" x="18297"/>
        <item sd="0" x="18298"/>
        <item sd="0" x="18299"/>
        <item sd="0" x="18300"/>
        <item sd="0" x="18301"/>
        <item sd="0" x="18302"/>
        <item sd="0" x="18303"/>
        <item sd="0" x="18304"/>
        <item sd="0" x="18305"/>
        <item sd="0" x="18306"/>
        <item sd="0" x="18307"/>
        <item sd="0" x="18308"/>
        <item sd="0" x="18309"/>
        <item sd="0" x="18310"/>
        <item sd="0" x="18311"/>
        <item sd="0" x="18312"/>
        <item sd="0" x="18313"/>
        <item sd="0" x="18314"/>
        <item sd="0" x="18315"/>
        <item sd="0" x="18316"/>
        <item sd="0" x="18317"/>
        <item sd="0" x="18318"/>
        <item sd="0" x="18319"/>
        <item sd="0" x="18320"/>
        <item sd="0" x="18321"/>
        <item sd="0" x="18322"/>
        <item sd="0" x="18323"/>
        <item sd="0" x="18324"/>
        <item sd="0" x="18325"/>
        <item sd="0" x="18326"/>
        <item sd="0" x="18327"/>
        <item sd="0" x="18328"/>
        <item sd="0" x="18329"/>
        <item sd="0" x="18330"/>
        <item sd="0" x="18331"/>
        <item sd="0" x="18332"/>
        <item sd="0" x="18333"/>
        <item sd="0" x="18334"/>
        <item sd="0" x="18335"/>
        <item sd="0" x="18336"/>
        <item sd="0" x="18337"/>
        <item sd="0" x="18338"/>
        <item sd="0" x="18339"/>
        <item sd="0" x="18340"/>
        <item sd="0" x="18341"/>
        <item sd="0" x="18342"/>
        <item sd="0" x="18343"/>
        <item sd="0" x="18344"/>
        <item sd="0" x="18345"/>
        <item sd="0" x="18346"/>
        <item sd="0" x="18347"/>
        <item sd="0" x="18348"/>
        <item sd="0" x="18349"/>
        <item sd="0" x="18350"/>
        <item sd="0" x="18351"/>
        <item sd="0" x="18352"/>
        <item sd="0" x="18353"/>
        <item sd="0" x="18354"/>
        <item sd="0" x="18355"/>
        <item sd="0" x="18356"/>
        <item sd="0" x="18357"/>
        <item sd="0" x="18358"/>
        <item sd="0" x="18359"/>
        <item sd="0" x="18360"/>
        <item sd="0" x="18361"/>
        <item sd="0" x="18362"/>
        <item sd="0" x="18363"/>
        <item sd="0" x="18364"/>
        <item sd="0" x="18365"/>
        <item sd="0" x="18366"/>
        <item sd="0" x="18367"/>
        <item sd="0" x="18368"/>
        <item sd="0" x="18369"/>
        <item sd="0" x="18370"/>
        <item sd="0" x="18371"/>
        <item sd="0" x="18372"/>
        <item sd="0" x="18373"/>
        <item sd="0" x="18374"/>
        <item sd="0" x="18375"/>
        <item sd="0" x="18376"/>
        <item sd="0" x="18377"/>
        <item sd="0" x="18378"/>
        <item sd="0" x="18379"/>
        <item sd="0" x="18380"/>
        <item sd="0" x="18381"/>
        <item sd="0" x="18382"/>
        <item sd="0" x="18383"/>
        <item sd="0" x="18384"/>
        <item sd="0" x="18385"/>
        <item sd="0" x="18386"/>
        <item sd="0" x="18387"/>
        <item sd="0" x="18388"/>
        <item sd="0" x="18389"/>
        <item sd="0" x="18390"/>
        <item sd="0" x="18391"/>
        <item sd="0" x="18392"/>
        <item sd="0" x="18393"/>
        <item sd="0" x="18394"/>
        <item sd="0" x="18395"/>
        <item sd="0" x="18396"/>
        <item sd="0" x="18397"/>
        <item sd="0" x="18398"/>
        <item sd="0" x="18399"/>
        <item sd="0" x="18400"/>
        <item sd="0" x="18401"/>
        <item sd="0" x="18402"/>
        <item sd="0" x="18403"/>
        <item sd="0" x="18404"/>
        <item sd="0" x="18405"/>
        <item sd="0" x="18406"/>
        <item sd="0" x="18407"/>
        <item sd="0" x="18408"/>
        <item sd="0" x="18409"/>
        <item sd="0" x="18410"/>
        <item sd="0" x="18411"/>
        <item sd="0" x="18412"/>
        <item sd="0" x="18413"/>
        <item sd="0" x="18414"/>
        <item sd="0" x="18415"/>
        <item sd="0" x="18416"/>
        <item sd="0" x="18417"/>
        <item sd="0" x="18418"/>
        <item sd="0" x="18419"/>
        <item sd="0" x="18420"/>
        <item sd="0" x="18421"/>
        <item sd="0" x="18422"/>
        <item sd="0" x="18423"/>
        <item sd="0" x="18424"/>
        <item sd="0" x="18425"/>
        <item sd="0" x="18426"/>
        <item sd="0" x="18427"/>
        <item sd="0" x="18428"/>
        <item sd="0" x="18429"/>
        <item sd="0" x="18430"/>
        <item sd="0" x="18431"/>
        <item sd="0" x="18432"/>
        <item sd="0" x="18433"/>
        <item sd="0" x="18434"/>
        <item sd="0" x="18435"/>
        <item sd="0" x="18436"/>
        <item sd="0" x="18437"/>
        <item sd="0" x="18438"/>
        <item sd="0" x="18439"/>
        <item sd="0" x="18440"/>
        <item sd="0" x="18441"/>
        <item sd="0" x="18442"/>
        <item sd="0" x="18443"/>
        <item sd="0" x="18444"/>
        <item sd="0" x="18445"/>
        <item sd="0" x="18446"/>
        <item sd="0" x="18447"/>
        <item sd="0" x="18448"/>
        <item sd="0" x="18449"/>
        <item sd="0" x="18450"/>
        <item sd="0" x="18451"/>
        <item sd="0" x="18452"/>
        <item sd="0" x="18453"/>
        <item sd="0" x="18454"/>
        <item sd="0" x="18455"/>
        <item sd="0" x="18456"/>
        <item sd="0" x="18457"/>
        <item sd="0" x="18458"/>
        <item sd="0" x="18459"/>
        <item sd="0" x="18460"/>
        <item sd="0" x="18461"/>
        <item sd="0" x="18462"/>
        <item sd="0" x="18463"/>
        <item sd="0" x="18464"/>
        <item sd="0" x="18465"/>
        <item sd="0" x="18466"/>
        <item sd="0" x="18467"/>
        <item sd="0" x="18468"/>
        <item sd="0" x="18469"/>
        <item sd="0" x="18470"/>
        <item sd="0" x="18471"/>
        <item sd="0" x="18472"/>
        <item sd="0" x="18473"/>
        <item sd="0" x="18474"/>
        <item sd="0" x="18475"/>
        <item sd="0" x="18476"/>
        <item sd="0" x="18477"/>
        <item sd="0" x="18478"/>
        <item sd="0" x="18479"/>
        <item sd="0" x="18480"/>
        <item sd="0" x="18481"/>
        <item sd="0" x="18482"/>
        <item sd="0" x="18483"/>
        <item sd="0" x="18484"/>
        <item sd="0" x="18485"/>
        <item sd="0" x="18486"/>
        <item sd="0" x="18487"/>
        <item sd="0" x="18488"/>
        <item sd="0" x="18489"/>
        <item sd="0" x="18490"/>
        <item sd="0" x="18491"/>
        <item sd="0" x="18492"/>
        <item sd="0" x="18493"/>
        <item sd="0" x="18494"/>
        <item sd="0" x="18495"/>
        <item sd="0" x="18496"/>
        <item sd="0" x="18497"/>
        <item sd="0" x="18498"/>
        <item sd="0" x="18499"/>
        <item sd="0" x="18500"/>
        <item sd="0" x="18501"/>
        <item sd="0" x="18502"/>
        <item sd="0" x="18503"/>
        <item sd="0" x="18504"/>
        <item sd="0" x="18505"/>
        <item sd="0" x="18506"/>
        <item sd="0" x="18507"/>
        <item sd="0" x="18508"/>
        <item sd="0" x="18509"/>
        <item sd="0" x="18510"/>
        <item sd="0" x="18511"/>
        <item sd="0" x="18512"/>
        <item sd="0" x="18513"/>
        <item sd="0" x="18514"/>
        <item sd="0" x="18515"/>
        <item sd="0" x="18516"/>
        <item sd="0" x="18517"/>
        <item sd="0" x="18518"/>
        <item sd="0" x="18519"/>
        <item sd="0" x="18520"/>
        <item sd="0" x="18521"/>
        <item sd="0" x="18522"/>
        <item sd="0" x="18523"/>
        <item sd="0" x="18524"/>
        <item sd="0" x="18525"/>
        <item sd="0" x="18526"/>
        <item sd="0" x="18527"/>
        <item sd="0" x="18528"/>
        <item sd="0" x="18529"/>
        <item sd="0" x="18530"/>
        <item sd="0" x="18531"/>
        <item sd="0" x="18532"/>
        <item sd="0" x="18533"/>
        <item sd="0" x="18534"/>
        <item sd="0" x="18535"/>
        <item sd="0" x="18536"/>
        <item sd="0" x="18537"/>
        <item sd="0" x="18538"/>
        <item sd="0" x="18539"/>
        <item sd="0" x="18540"/>
        <item sd="0" x="18541"/>
        <item sd="0" x="18542"/>
        <item sd="0" x="18543"/>
        <item sd="0" x="18544"/>
        <item sd="0" x="18545"/>
        <item sd="0" x="18546"/>
        <item sd="0" x="18547"/>
        <item sd="0" x="18548"/>
        <item sd="0" x="18549"/>
        <item sd="0" x="18550"/>
        <item sd="0" x="18551"/>
        <item sd="0" x="18552"/>
        <item sd="0" x="18553"/>
        <item sd="0" x="18554"/>
        <item sd="0" x="18555"/>
        <item sd="0" x="18556"/>
        <item sd="0" x="18557"/>
        <item sd="0" x="18558"/>
        <item sd="0" x="18559"/>
        <item sd="0" x="18560"/>
        <item sd="0" x="18561"/>
        <item sd="0" x="18562"/>
        <item sd="0" x="18563"/>
        <item sd="0" x="18564"/>
        <item sd="0" x="18565"/>
        <item sd="0" x="18566"/>
        <item sd="0" x="18567"/>
        <item sd="0" x="18568"/>
        <item sd="0" x="18569"/>
        <item sd="0" x="18570"/>
        <item sd="0" x="18571"/>
        <item sd="0" x="18572"/>
        <item sd="0" x="18573"/>
        <item sd="0" x="18574"/>
        <item sd="0" x="18575"/>
        <item sd="0" x="18576"/>
        <item sd="0" x="18577"/>
        <item sd="0" x="18578"/>
        <item sd="0" x="18579"/>
        <item sd="0" x="18580"/>
        <item sd="0" x="18581"/>
        <item sd="0" x="18582"/>
        <item sd="0" x="18583"/>
        <item sd="0" x="18584"/>
        <item sd="0" x="18585"/>
        <item sd="0" x="18586"/>
        <item sd="0" x="18587"/>
        <item sd="0" x="18588"/>
        <item sd="0" x="18589"/>
        <item sd="0" x="18590"/>
        <item sd="0" x="18591"/>
        <item sd="0" x="18592"/>
        <item sd="0" x="18593"/>
        <item sd="0" x="18594"/>
        <item sd="0" x="18595"/>
        <item sd="0" x="18596"/>
        <item sd="0" x="18597"/>
        <item sd="0" x="18598"/>
        <item sd="0" x="18599"/>
        <item sd="0" x="18600"/>
        <item sd="0" x="18601"/>
        <item sd="0" x="18602"/>
        <item sd="0" x="18603"/>
        <item sd="0" x="18604"/>
        <item sd="0" x="18605"/>
        <item sd="0" x="18606"/>
        <item sd="0" x="18607"/>
        <item sd="0" x="18608"/>
        <item sd="0" x="18609"/>
        <item sd="0" x="18610"/>
        <item sd="0" x="18611"/>
        <item sd="0" x="18612"/>
        <item sd="0" x="18613"/>
        <item sd="0" x="18614"/>
        <item sd="0" x="18615"/>
        <item sd="0" x="18616"/>
        <item sd="0" x="18617"/>
        <item sd="0" x="18618"/>
        <item sd="0" x="18619"/>
        <item sd="0" x="18620"/>
        <item sd="0" x="18621"/>
        <item sd="0" x="18622"/>
        <item sd="0" x="18623"/>
        <item sd="0" x="18624"/>
        <item sd="0" x="18625"/>
        <item sd="0" x="18626"/>
        <item sd="0" x="18627"/>
        <item sd="0" x="18628"/>
        <item sd="0" x="18629"/>
        <item sd="0" x="18630"/>
        <item sd="0" x="18631"/>
        <item sd="0" x="18632"/>
        <item sd="0" x="18633"/>
        <item sd="0" x="18634"/>
        <item sd="0" x="18635"/>
        <item sd="0" x="18636"/>
        <item sd="0" x="18637"/>
        <item sd="0" x="18638"/>
        <item sd="0" x="18639"/>
        <item sd="0" x="18640"/>
        <item sd="0" x="18641"/>
        <item sd="0" x="18642"/>
        <item sd="0" x="18643"/>
        <item sd="0" x="18644"/>
        <item sd="0" x="18645"/>
        <item sd="0" x="18646"/>
        <item sd="0" x="18647"/>
        <item sd="0" x="18648"/>
        <item sd="0" x="18649"/>
        <item sd="0" x="18650"/>
        <item sd="0" x="18651"/>
        <item sd="0" x="18652"/>
        <item sd="0" x="18653"/>
        <item sd="0" x="18654"/>
        <item sd="0" x="18655"/>
        <item sd="0" x="18656"/>
        <item sd="0" x="18657"/>
        <item sd="0" x="18658"/>
        <item sd="0" x="18659"/>
        <item sd="0" x="18660"/>
        <item sd="0" x="18661"/>
        <item sd="0" x="18662"/>
        <item sd="0" x="18663"/>
        <item sd="0" x="18664"/>
        <item sd="0" x="18665"/>
        <item sd="0" x="18666"/>
        <item sd="0" x="18667"/>
        <item sd="0" x="18668"/>
        <item sd="0" x="18669"/>
        <item sd="0" x="18670"/>
        <item sd="0" x="18671"/>
        <item sd="0" x="18672"/>
        <item sd="0" x="18673"/>
        <item sd="0" x="18674"/>
        <item sd="0" x="18675"/>
        <item sd="0" x="18676"/>
        <item sd="0" x="18677"/>
        <item sd="0" x="18678"/>
        <item sd="0" x="18679"/>
        <item sd="0" x="18680"/>
        <item sd="0" x="18681"/>
        <item sd="0" x="18682"/>
        <item sd="0" x="18683"/>
        <item sd="0" x="18684"/>
        <item sd="0" x="18685"/>
        <item sd="0" x="18686"/>
        <item sd="0" x="18687"/>
        <item sd="0" x="18688"/>
        <item sd="0" x="18689"/>
        <item sd="0" x="18690"/>
        <item sd="0" x="18691"/>
        <item sd="0" x="18692"/>
        <item sd="0" x="18693"/>
        <item sd="0" x="18694"/>
        <item sd="0" x="18695"/>
        <item sd="0" x="18696"/>
        <item sd="0" x="18697"/>
        <item sd="0" x="18698"/>
        <item sd="0" x="18699"/>
        <item sd="0" x="18700"/>
        <item sd="0" x="18701"/>
        <item sd="0" x="18702"/>
        <item sd="0" x="18703"/>
        <item sd="0" x="18704"/>
        <item sd="0" x="18705"/>
        <item sd="0" x="18706"/>
        <item sd="0" x="18707"/>
        <item sd="0" x="18708"/>
        <item sd="0" x="18709"/>
        <item sd="0" x="18710"/>
        <item sd="0" x="18711"/>
        <item sd="0" x="18712"/>
        <item sd="0" x="18713"/>
        <item sd="0" x="18714"/>
        <item sd="0" x="18715"/>
        <item sd="0" x="18716"/>
        <item sd="0" x="18717"/>
        <item sd="0" x="18718"/>
        <item sd="0" x="18719"/>
        <item sd="0" x="18720"/>
        <item sd="0" x="18721"/>
        <item sd="0" x="18722"/>
        <item sd="0" x="18723"/>
        <item sd="0" x="18724"/>
        <item sd="0" x="18725"/>
        <item sd="0" x="18726"/>
        <item sd="0" x="18727"/>
        <item sd="0" x="18728"/>
        <item sd="0" x="18729"/>
        <item sd="0" x="18730"/>
        <item sd="0" x="18731"/>
        <item sd="0" x="18732"/>
        <item sd="0" x="18733"/>
        <item sd="0" x="18734"/>
        <item sd="0" x="18735"/>
        <item sd="0" x="18736"/>
        <item sd="0" x="18737"/>
        <item sd="0" x="18738"/>
        <item sd="0" x="18739"/>
        <item sd="0" x="18740"/>
        <item sd="0" x="18741"/>
        <item sd="0" x="18742"/>
        <item sd="0" x="18743"/>
        <item sd="0" x="18744"/>
        <item sd="0" x="18745"/>
        <item sd="0" x="18746"/>
        <item sd="0" x="18747"/>
        <item sd="0" x="18748"/>
        <item sd="0" x="18749"/>
        <item sd="0" x="18750"/>
        <item sd="0" x="18751"/>
        <item sd="0" x="18752"/>
        <item sd="0" x="18753"/>
        <item sd="0" x="18754"/>
        <item sd="0" x="18755"/>
        <item sd="0" x="18756"/>
        <item sd="0" x="18757"/>
        <item sd="0" x="18758"/>
        <item sd="0" x="18759"/>
        <item sd="0" x="18760"/>
        <item sd="0" x="18761"/>
        <item sd="0" x="18762"/>
        <item sd="0" x="18763"/>
        <item sd="0" x="18764"/>
        <item sd="0" x="18765"/>
        <item sd="0" x="18766"/>
        <item sd="0" x="18767"/>
        <item sd="0" x="18768"/>
        <item sd="0" x="18769"/>
        <item sd="0" x="18770"/>
        <item sd="0" x="18771"/>
        <item sd="0" x="18772"/>
        <item sd="0" x="18773"/>
        <item sd="0" x="18774"/>
        <item sd="0" x="18775"/>
        <item sd="0" x="18776"/>
        <item sd="0" x="18777"/>
        <item sd="0" x="18778"/>
        <item sd="0" x="18779"/>
        <item sd="0" x="18780"/>
        <item sd="0" x="18781"/>
        <item sd="0" x="18782"/>
        <item sd="0" x="18783"/>
        <item sd="0" x="18784"/>
        <item sd="0" x="18785"/>
        <item sd="0" x="18786"/>
        <item sd="0" x="18787"/>
        <item sd="0" x="18788"/>
        <item sd="0" x="18789"/>
        <item sd="0" x="18790"/>
        <item sd="0" x="18791"/>
        <item sd="0" x="18792"/>
        <item sd="0" x="18793"/>
        <item sd="0" x="18794"/>
        <item sd="0" x="18795"/>
        <item sd="0" x="18796"/>
        <item sd="0" x="18797"/>
        <item sd="0" x="18798"/>
        <item sd="0" x="18799"/>
        <item sd="0" x="18800"/>
        <item sd="0" x="18801"/>
        <item sd="0" x="18802"/>
        <item sd="0" x="18803"/>
        <item sd="0" x="18804"/>
        <item sd="0" x="18805"/>
        <item sd="0" x="18806"/>
        <item sd="0" x="18807"/>
        <item sd="0" x="18808"/>
        <item sd="0" x="18809"/>
        <item sd="0" x="18810"/>
        <item sd="0" x="18811"/>
        <item sd="0" x="18812"/>
        <item sd="0" x="18813"/>
        <item sd="0" x="18814"/>
        <item sd="0" x="18815"/>
        <item sd="0" x="18816"/>
        <item sd="0" x="18817"/>
        <item sd="0" x="18818"/>
        <item sd="0" x="18819"/>
        <item sd="0" x="18820"/>
        <item sd="0" x="18821"/>
        <item sd="0" x="18822"/>
        <item sd="0" x="18823"/>
        <item sd="0" x="18824"/>
        <item sd="0" x="18825"/>
        <item sd="0" x="18826"/>
        <item sd="0" x="18827"/>
        <item sd="0" x="18828"/>
        <item sd="0" x="18829"/>
        <item sd="0" x="18830"/>
        <item sd="0" x="18831"/>
        <item sd="0" x="18832"/>
        <item sd="0" x="18833"/>
        <item sd="0" x="18834"/>
        <item sd="0" x="18835"/>
        <item sd="0" x="18836"/>
        <item sd="0" x="18837"/>
        <item sd="0" x="18838"/>
        <item sd="0" x="18839"/>
        <item sd="0" x="18840"/>
        <item sd="0" x="18841"/>
        <item sd="0" x="18842"/>
        <item sd="0" x="18843"/>
        <item sd="0" x="18844"/>
        <item sd="0" x="18845"/>
        <item sd="0" x="18846"/>
        <item sd="0" x="18847"/>
        <item sd="0" x="18848"/>
        <item sd="0" x="18849"/>
        <item sd="0" x="18850"/>
        <item sd="0" x="18851"/>
        <item sd="0" x="18852"/>
        <item sd="0" x="18853"/>
        <item sd="0" x="18854"/>
        <item sd="0" x="18855"/>
        <item sd="0" x="18856"/>
        <item sd="0" x="18857"/>
        <item sd="0" x="18858"/>
        <item sd="0" x="18859"/>
        <item sd="0" x="18860"/>
        <item sd="0" x="18861"/>
        <item sd="0" x="18862"/>
        <item sd="0" x="18863"/>
        <item sd="0" x="18864"/>
        <item sd="0" x="18865"/>
        <item sd="0" x="18866"/>
        <item sd="0" x="18867"/>
        <item sd="0" x="18868"/>
        <item sd="0" x="18869"/>
        <item sd="0" x="18870"/>
        <item sd="0" x="18871"/>
        <item sd="0" x="18872"/>
        <item sd="0" x="18873"/>
        <item sd="0" x="18874"/>
        <item sd="0" x="18875"/>
        <item sd="0" x="18876"/>
        <item sd="0" x="18877"/>
        <item sd="0" x="18878"/>
        <item sd="0" x="18879"/>
        <item sd="0" x="18880"/>
        <item sd="0" x="18881"/>
        <item sd="0" x="18882"/>
        <item sd="0" x="18883"/>
        <item sd="0" x="18884"/>
        <item sd="0" x="18885"/>
        <item sd="0" x="18886"/>
        <item sd="0" x="18887"/>
        <item sd="0" x="18888"/>
        <item sd="0" x="18889"/>
        <item sd="0" x="18890"/>
        <item sd="0" x="18891"/>
        <item sd="0" x="18892"/>
        <item sd="0" x="18893"/>
        <item sd="0" x="18894"/>
        <item sd="0" x="18895"/>
        <item sd="0" x="18896"/>
        <item sd="0" x="18897"/>
        <item sd="0" x="18898"/>
        <item sd="0" x="18899"/>
        <item sd="0" x="18900"/>
        <item sd="0" x="18901"/>
        <item sd="0" x="18902"/>
        <item sd="0" x="18903"/>
        <item sd="0" x="18904"/>
        <item sd="0" x="18905"/>
        <item sd="0" x="18906"/>
        <item sd="0" x="18907"/>
        <item sd="0" x="18908"/>
        <item sd="0" x="18909"/>
        <item sd="0" x="18910"/>
        <item sd="0" x="18911"/>
        <item sd="0" x="18912"/>
        <item sd="0" x="18913"/>
        <item sd="0" x="18914"/>
        <item sd="0" x="18915"/>
        <item sd="0" x="18916"/>
        <item sd="0" x="18917"/>
        <item sd="0" x="18918"/>
        <item sd="0" x="18919"/>
        <item sd="0" x="18920"/>
        <item sd="0" x="18921"/>
        <item sd="0" x="18922"/>
        <item sd="0" x="18923"/>
        <item sd="0" x="18924"/>
        <item sd="0" x="18925"/>
        <item sd="0" x="18926"/>
        <item sd="0" x="18927"/>
        <item sd="0" x="18928"/>
        <item sd="0" x="18929"/>
        <item sd="0" x="18930"/>
        <item sd="0" x="18931"/>
        <item sd="0" x="18932"/>
        <item sd="0" x="18933"/>
        <item sd="0" x="18934"/>
        <item sd="0" x="18935"/>
        <item sd="0" x="18936"/>
        <item sd="0" x="18937"/>
        <item sd="0" x="18938"/>
        <item sd="0" x="18939"/>
        <item sd="0" x="18940"/>
        <item sd="0" x="18941"/>
        <item sd="0" x="18942"/>
        <item sd="0" x="18943"/>
        <item sd="0" x="18944"/>
        <item sd="0" x="18945"/>
        <item sd="0" x="18946"/>
        <item sd="0" x="18947"/>
        <item sd="0" x="18948"/>
        <item sd="0" x="18949"/>
        <item sd="0" x="18950"/>
        <item sd="0" x="18951"/>
        <item sd="0" x="18952"/>
        <item sd="0" x="18953"/>
        <item sd="0" x="18954"/>
        <item sd="0" x="18955"/>
        <item sd="0" x="18956"/>
        <item sd="0" x="18957"/>
        <item sd="0" x="18958"/>
        <item sd="0" x="18959"/>
        <item sd="0" x="18960"/>
        <item sd="0" x="18961"/>
        <item sd="0" x="18962"/>
        <item sd="0" x="18963"/>
        <item sd="0" x="18964"/>
        <item sd="0" x="18965"/>
        <item sd="0" x="18966"/>
        <item sd="0" x="18967"/>
        <item sd="0" x="18968"/>
        <item sd="0" x="18969"/>
        <item sd="0" x="18970"/>
        <item sd="0" x="18971"/>
        <item sd="0" x="18972"/>
        <item sd="0" x="18973"/>
        <item sd="0" x="18974"/>
        <item sd="0" x="18975"/>
        <item sd="0" x="18976"/>
        <item sd="0" x="18977"/>
        <item sd="0" x="18978"/>
        <item sd="0" x="18979"/>
        <item sd="0" x="18980"/>
        <item sd="0" x="18981"/>
        <item sd="0" x="18982"/>
        <item sd="0" x="18983"/>
        <item sd="0" x="18984"/>
        <item sd="0" x="18985"/>
        <item sd="0" x="18986"/>
        <item sd="0" x="18987"/>
        <item sd="0" x="18988"/>
        <item sd="0" x="18989"/>
        <item sd="0" x="18990"/>
        <item sd="0" x="18991"/>
        <item sd="0" x="18992"/>
        <item sd="0" x="18993"/>
        <item sd="0" x="18994"/>
        <item sd="0" x="18995"/>
        <item sd="0" x="18996"/>
        <item sd="0" x="18997"/>
        <item sd="0" x="18998"/>
        <item sd="0" x="18999"/>
        <item sd="0" x="19000"/>
        <item sd="0" x="19001"/>
        <item sd="0" x="19002"/>
        <item sd="0" x="19003"/>
        <item sd="0" x="19004"/>
        <item sd="0" x="19005"/>
        <item sd="0" x="19006"/>
        <item sd="0" x="19007"/>
        <item sd="0" x="19008"/>
        <item sd="0" x="19009"/>
        <item sd="0" x="19010"/>
        <item sd="0" x="19011"/>
        <item sd="0" x="19012"/>
        <item sd="0" x="19013"/>
        <item sd="0" x="19014"/>
        <item sd="0" x="19015"/>
        <item sd="0" x="19016"/>
        <item sd="0" x="19017"/>
        <item sd="0" x="19018"/>
        <item sd="0" x="19019"/>
        <item sd="0" x="19020"/>
        <item sd="0" x="19021"/>
        <item sd="0" x="19022"/>
        <item sd="0" x="19023"/>
        <item sd="0" x="19024"/>
        <item sd="0" x="19025"/>
        <item sd="0" x="19026"/>
        <item sd="0" x="19027"/>
        <item sd="0" x="19028"/>
        <item sd="0" x="19029"/>
        <item sd="0" x="19030"/>
        <item sd="0" x="19031"/>
        <item sd="0" x="19032"/>
        <item sd="0" x="19033"/>
        <item sd="0" x="19034"/>
        <item sd="0" x="19035"/>
        <item sd="0" x="19036"/>
        <item sd="0" x="19037"/>
        <item sd="0" x="19038"/>
        <item sd="0" x="19039"/>
        <item sd="0" x="19040"/>
        <item sd="0" x="19041"/>
        <item sd="0" x="19042"/>
        <item sd="0" x="19043"/>
        <item sd="0" x="19044"/>
        <item sd="0" x="19045"/>
        <item sd="0" x="19046"/>
        <item sd="0" x="19047"/>
        <item sd="0" x="19048"/>
        <item sd="0" x="19049"/>
        <item sd="0" x="19050"/>
        <item sd="0" x="19051"/>
        <item sd="0" x="19052"/>
        <item sd="0" x="19053"/>
        <item sd="0" x="19054"/>
        <item sd="0" x="19055"/>
        <item sd="0" x="19056"/>
        <item sd="0" x="19057"/>
        <item sd="0" x="19058"/>
        <item sd="0" x="19059"/>
        <item sd="0" x="19060"/>
        <item sd="0" x="19061"/>
        <item sd="0" x="19062"/>
        <item sd="0" x="19063"/>
        <item sd="0" x="19064"/>
        <item sd="0" x="19065"/>
        <item sd="0" x="19066"/>
        <item sd="0" x="19067"/>
        <item sd="0" x="19068"/>
        <item sd="0" x="19069"/>
        <item sd="0" x="19070"/>
        <item sd="0" x="19071"/>
        <item sd="0" x="19072"/>
        <item sd="0" x="19073"/>
        <item sd="0" x="19074"/>
        <item sd="0" x="19075"/>
        <item sd="0" x="19076"/>
        <item sd="0" x="19077"/>
        <item sd="0" x="19078"/>
        <item sd="0" x="19079"/>
        <item sd="0" x="19080"/>
        <item sd="0" x="19081"/>
        <item sd="0" x="19082"/>
        <item sd="0" x="19083"/>
        <item sd="0" x="19084"/>
        <item sd="0" x="19085"/>
        <item sd="0" x="19086"/>
        <item sd="0" x="19087"/>
        <item sd="0" x="19088"/>
        <item sd="0" x="19089"/>
        <item sd="0" x="19090"/>
        <item sd="0" x="19091"/>
        <item sd="0" x="19092"/>
        <item sd="0" x="19093"/>
        <item sd="0" x="19094"/>
        <item sd="0" x="19095"/>
        <item sd="0" x="19096"/>
        <item sd="0" x="19097"/>
        <item sd="0" x="19098"/>
        <item sd="0" x="19099"/>
        <item sd="0" x="19100"/>
        <item sd="0" x="19101"/>
        <item sd="0" x="19102"/>
        <item sd="0" x="19103"/>
        <item sd="0" x="19104"/>
        <item sd="0" x="19105"/>
        <item sd="0" x="19106"/>
        <item sd="0" x="19107"/>
        <item sd="0" x="19108"/>
        <item sd="0" x="19109"/>
        <item sd="0" x="19110"/>
        <item sd="0" x="19111"/>
        <item sd="0" x="19112"/>
        <item sd="0" x="19113"/>
        <item sd="0" x="19114"/>
        <item sd="0" x="19115"/>
        <item sd="0" x="19116"/>
        <item sd="0" x="19117"/>
        <item sd="0" x="19118"/>
        <item sd="0" x="19119"/>
        <item sd="0" x="19120"/>
        <item sd="0" x="19121"/>
        <item sd="0" x="19122"/>
        <item sd="0" x="19123"/>
        <item sd="0" x="19124"/>
        <item sd="0" x="19125"/>
        <item sd="0" x="19126"/>
        <item sd="0" x="19127"/>
        <item sd="0" x="19128"/>
        <item sd="0" x="19129"/>
        <item sd="0" x="19130"/>
        <item sd="0" x="19131"/>
        <item sd="0" x="19132"/>
        <item sd="0" x="19133"/>
        <item sd="0" x="19134"/>
        <item sd="0" x="19135"/>
        <item sd="0" x="19136"/>
        <item sd="0" x="19137"/>
        <item sd="0" x="19138"/>
        <item sd="0" x="19139"/>
        <item sd="0" x="19140"/>
        <item sd="0" x="19141"/>
        <item sd="0" x="19142"/>
        <item sd="0" x="19143"/>
        <item sd="0" x="19144"/>
        <item sd="0" x="19145"/>
        <item sd="0" x="19146"/>
        <item sd="0" x="19147"/>
        <item sd="0" x="19148"/>
        <item sd="0" x="19149"/>
        <item sd="0" x="19150"/>
        <item sd="0" x="19151"/>
        <item sd="0" x="19152"/>
        <item sd="0" x="19153"/>
        <item sd="0" x="19154"/>
        <item sd="0" x="19155"/>
        <item sd="0" x="19156"/>
        <item sd="0" x="19157"/>
        <item sd="0" x="19158"/>
        <item sd="0" x="19159"/>
        <item sd="0" x="19160"/>
        <item sd="0" x="19161"/>
        <item sd="0" x="19162"/>
        <item sd="0" x="19163"/>
        <item sd="0" x="19164"/>
        <item sd="0" x="19165"/>
        <item sd="0" x="19166"/>
        <item sd="0" x="19167"/>
        <item sd="0" x="19168"/>
        <item sd="0" x="19169"/>
        <item sd="0" x="19170"/>
        <item sd="0" x="19171"/>
        <item sd="0" x="19172"/>
        <item sd="0" x="19173"/>
        <item sd="0" x="19174"/>
        <item sd="0" x="19175"/>
        <item sd="0" x="19176"/>
        <item sd="0" x="19177"/>
        <item sd="0" x="19178"/>
        <item sd="0" x="19179"/>
        <item sd="0" x="19180"/>
        <item sd="0" x="19181"/>
        <item sd="0" x="19182"/>
        <item sd="0" x="19183"/>
        <item sd="0" x="19184"/>
        <item sd="0" x="19185"/>
        <item sd="0" x="19186"/>
        <item sd="0" x="19187"/>
        <item sd="0" x="19188"/>
        <item sd="0" x="19189"/>
        <item sd="0" x="19190"/>
        <item sd="0" x="19191"/>
        <item sd="0" x="19192"/>
        <item sd="0" x="19193"/>
        <item sd="0" x="19194"/>
        <item sd="0" x="19195"/>
        <item sd="0" x="19196"/>
        <item sd="0" x="19197"/>
        <item sd="0" x="19198"/>
        <item sd="0" x="19199"/>
        <item sd="0" x="19200"/>
        <item sd="0" x="19201"/>
        <item sd="0" x="19202"/>
        <item sd="0" x="19203"/>
        <item sd="0" x="19204"/>
        <item sd="0" x="19205"/>
        <item sd="0" x="19206"/>
        <item sd="0" x="19207"/>
        <item sd="0" x="19208"/>
        <item sd="0" x="19209"/>
        <item sd="0" x="19210"/>
        <item sd="0" x="19211"/>
        <item sd="0" x="19212"/>
        <item sd="0" x="19213"/>
        <item sd="0" x="19214"/>
        <item sd="0" x="19215"/>
        <item sd="0" x="19216"/>
        <item sd="0" x="19217"/>
        <item sd="0" x="19218"/>
        <item sd="0" x="19219"/>
        <item sd="0" x="19220"/>
        <item sd="0" x="19221"/>
        <item sd="0" x="19222"/>
        <item sd="0" x="19223"/>
        <item sd="0" x="19224"/>
        <item sd="0" x="19225"/>
        <item sd="0" x="19226"/>
        <item sd="0" x="19227"/>
        <item sd="0" x="19228"/>
        <item sd="0" x="19229"/>
        <item sd="0" x="19230"/>
        <item sd="0" x="19231"/>
        <item sd="0" x="19232"/>
        <item sd="0" x="19233"/>
        <item sd="0" x="19234"/>
        <item sd="0" x="19235"/>
        <item sd="0" x="19236"/>
        <item sd="0" x="19237"/>
        <item sd="0" x="19238"/>
        <item sd="0" x="19239"/>
        <item sd="0" x="19240"/>
        <item sd="0" x="19241"/>
        <item sd="0" x="19242"/>
        <item sd="0" x="19243"/>
        <item sd="0" x="19244"/>
        <item sd="0" x="19245"/>
        <item sd="0" x="19246"/>
        <item sd="0" x="19247"/>
        <item sd="0" x="19248"/>
        <item sd="0" x="19249"/>
        <item sd="0" x="19250"/>
        <item sd="0" x="19251"/>
        <item sd="0" x="19252"/>
        <item sd="0" x="19253"/>
        <item sd="0" x="19254"/>
        <item sd="0" x="19255"/>
        <item sd="0" x="19256"/>
        <item sd="0" x="19257"/>
        <item sd="0" x="19258"/>
        <item sd="0" x="19259"/>
        <item sd="0" x="19260"/>
        <item sd="0" x="19261"/>
        <item sd="0" x="19262"/>
        <item sd="0" x="19263"/>
        <item sd="0" x="19264"/>
        <item sd="0" x="19265"/>
        <item sd="0" x="19266"/>
        <item sd="0" x="19267"/>
        <item sd="0" x="19268"/>
        <item sd="0" x="19269"/>
        <item sd="0" x="19270"/>
        <item sd="0" x="19271"/>
        <item sd="0" x="19272"/>
        <item sd="0" x="19273"/>
        <item sd="0" x="19274"/>
        <item sd="0" x="19275"/>
        <item sd="0" x="19276"/>
        <item sd="0" x="19277"/>
        <item sd="0" x="19278"/>
        <item sd="0" x="19279"/>
        <item sd="0" x="19280"/>
        <item sd="0" x="19281"/>
        <item sd="0" x="19282"/>
        <item sd="0" x="19283"/>
        <item sd="0" x="19284"/>
        <item sd="0" x="19285"/>
        <item sd="0" x="19286"/>
        <item sd="0" x="19287"/>
        <item sd="0" x="19288"/>
        <item sd="0" x="19289"/>
        <item sd="0" x="19290"/>
        <item sd="0" x="19291"/>
        <item sd="0" x="19292"/>
        <item sd="0" x="19293"/>
        <item sd="0" x="19294"/>
        <item sd="0" x="19295"/>
        <item sd="0" x="19296"/>
        <item sd="0" x="19297"/>
        <item sd="0" x="19298"/>
        <item sd="0" x="19299"/>
        <item sd="0" x="19300"/>
        <item sd="0" x="19301"/>
        <item sd="0" x="19302"/>
        <item sd="0" x="19303"/>
        <item sd="0" x="19304"/>
        <item sd="0" x="19305"/>
        <item sd="0" x="19306"/>
        <item sd="0" x="19307"/>
        <item sd="0" x="19308"/>
        <item sd="0" x="19309"/>
        <item sd="0" x="19310"/>
        <item sd="0" x="19311"/>
        <item sd="0" x="19312"/>
        <item sd="0" x="19313"/>
        <item sd="0" x="19314"/>
        <item sd="0" x="19315"/>
        <item sd="0" x="19316"/>
        <item sd="0" x="19317"/>
        <item sd="0" x="19318"/>
        <item sd="0" x="19319"/>
        <item sd="0" x="19320"/>
        <item sd="0" x="19321"/>
        <item sd="0" x="19322"/>
        <item sd="0" x="19323"/>
        <item sd="0" x="19324"/>
        <item sd="0" x="19325"/>
        <item sd="0" x="19326"/>
        <item sd="0" x="19327"/>
        <item sd="0" x="19328"/>
        <item sd="0" x="19329"/>
        <item sd="0" x="19330"/>
        <item sd="0" x="19331"/>
        <item sd="0" x="19332"/>
        <item sd="0" x="19333"/>
        <item sd="0" x="19334"/>
        <item sd="0" x="19335"/>
        <item sd="0" x="19336"/>
        <item sd="0" x="19337"/>
        <item sd="0" x="19338"/>
        <item sd="0" x="19339"/>
        <item sd="0" x="19340"/>
        <item sd="0" x="19341"/>
        <item sd="0" x="19342"/>
        <item sd="0" x="19343"/>
        <item sd="0" x="19344"/>
        <item sd="0" x="19345"/>
        <item sd="0" x="19346"/>
        <item sd="0" x="19347"/>
        <item sd="0" x="19348"/>
        <item sd="0" x="19349"/>
        <item sd="0" x="19350"/>
        <item sd="0" x="19351"/>
        <item sd="0" x="19352"/>
        <item sd="0" x="19353"/>
        <item sd="0" x="19354"/>
        <item sd="0" x="19355"/>
        <item sd="0" x="19356"/>
        <item sd="0" x="19357"/>
        <item sd="0" x="19358"/>
        <item sd="0" x="19359"/>
        <item sd="0" x="19360"/>
        <item sd="0" x="19361"/>
        <item sd="0" x="19362"/>
        <item sd="0" x="19363"/>
        <item sd="0" x="19364"/>
        <item sd="0" x="19365"/>
        <item sd="0" x="19366"/>
        <item sd="0" x="19367"/>
        <item sd="0" x="19368"/>
        <item sd="0" x="19369"/>
        <item sd="0" x="19370"/>
        <item sd="0" x="19371"/>
        <item sd="0" x="19372"/>
        <item sd="0" x="19373"/>
        <item sd="0" x="19374"/>
        <item sd="0" x="19375"/>
        <item sd="0" x="19376"/>
        <item sd="0" x="19377"/>
        <item sd="0" x="19378"/>
        <item sd="0" x="19379"/>
        <item sd="0" x="19380"/>
        <item sd="0" x="19381"/>
        <item sd="0" x="19382"/>
        <item sd="0" x="19383"/>
        <item sd="0" x="19384"/>
        <item sd="0" x="19385"/>
        <item sd="0" x="19386"/>
        <item sd="0" x="19387"/>
        <item sd="0" x="19388"/>
        <item sd="0" x="19389"/>
        <item sd="0" x="19390"/>
        <item sd="0" x="19391"/>
        <item sd="0" x="19392"/>
        <item sd="0" x="19393"/>
        <item sd="0" x="19394"/>
        <item sd="0" x="19395"/>
        <item sd="0" x="19396"/>
        <item sd="0" x="19397"/>
        <item sd="0" x="19398"/>
        <item sd="0" x="19399"/>
        <item sd="0" x="19400"/>
        <item sd="0" x="19401"/>
        <item sd="0" x="19402"/>
        <item sd="0" x="19403"/>
        <item sd="0" x="19404"/>
        <item sd="0" x="19405"/>
        <item sd="0" x="19406"/>
        <item sd="0" x="19407"/>
        <item sd="0" x="19408"/>
        <item sd="0" x="19409"/>
        <item sd="0" x="19410"/>
        <item sd="0" x="19411"/>
        <item sd="0" x="19412"/>
        <item sd="0" x="19413"/>
        <item sd="0" x="19414"/>
        <item sd="0" x="19415"/>
        <item sd="0" x="19416"/>
        <item sd="0" x="19417"/>
        <item sd="0" x="19418"/>
        <item sd="0" x="19419"/>
        <item sd="0" x="19420"/>
        <item sd="0" x="19421"/>
        <item sd="0" x="19422"/>
        <item sd="0" x="19423"/>
        <item sd="0" x="19424"/>
        <item sd="0" x="19425"/>
        <item sd="0" x="19426"/>
        <item sd="0" x="19427"/>
        <item sd="0" x="19428"/>
        <item sd="0" x="19429"/>
        <item sd="0" x="19430"/>
        <item sd="0" x="19431"/>
        <item sd="0" x="19432"/>
        <item sd="0" x="19433"/>
        <item sd="0" x="19434"/>
        <item sd="0" x="19435"/>
        <item sd="0" x="19436"/>
        <item sd="0" x="19437"/>
        <item sd="0" x="19438"/>
        <item sd="0" x="19439"/>
        <item sd="0" x="19440"/>
        <item sd="0" x="19441"/>
        <item sd="0" x="19442"/>
        <item sd="0" x="19443"/>
        <item sd="0" x="19444"/>
        <item sd="0" x="19445"/>
        <item sd="0" x="19446"/>
        <item sd="0" x="19447"/>
        <item sd="0" x="19448"/>
        <item sd="0" x="19449"/>
        <item sd="0" x="19450"/>
        <item sd="0" x="19451"/>
        <item sd="0" x="19452"/>
        <item sd="0" x="19453"/>
        <item sd="0" x="19454"/>
        <item sd="0" x="19455"/>
        <item sd="0" x="19456"/>
        <item sd="0" x="19457"/>
        <item sd="0" x="19458"/>
        <item sd="0" x="19459"/>
        <item sd="0" x="19460"/>
        <item sd="0" x="19461"/>
        <item sd="0" x="19462"/>
        <item sd="0" x="19463"/>
        <item sd="0" x="19464"/>
        <item sd="0" x="19465"/>
        <item sd="0" x="19466"/>
        <item sd="0" x="19467"/>
        <item sd="0" x="19468"/>
        <item sd="0" x="19469"/>
        <item sd="0" x="19470"/>
        <item sd="0" x="19471"/>
        <item sd="0" x="19472"/>
        <item sd="0" x="19473"/>
        <item sd="0" x="19474"/>
        <item sd="0" x="19475"/>
        <item sd="0" x="19476"/>
        <item sd="0" x="19477"/>
        <item sd="0" x="19478"/>
        <item sd="0" x="19479"/>
        <item sd="0" x="19480"/>
        <item sd="0" x="19481"/>
        <item sd="0" x="19482"/>
        <item sd="0" x="19483"/>
        <item sd="0" x="19484"/>
        <item sd="0" x="19485"/>
        <item sd="0" x="19486"/>
        <item sd="0" x="19487"/>
        <item sd="0" x="19488"/>
        <item sd="0" x="19489"/>
        <item sd="0" x="19490"/>
        <item sd="0" x="19491"/>
        <item sd="0" x="19492"/>
        <item sd="0" x="19493"/>
        <item sd="0" x="19494"/>
        <item sd="0" x="19495"/>
        <item sd="0" x="19496"/>
        <item sd="0" x="19497"/>
        <item sd="0" x="19498"/>
        <item sd="0" x="19499"/>
        <item sd="0" x="19500"/>
        <item sd="0" x="19501"/>
        <item sd="0" x="19502"/>
        <item sd="0" x="19503"/>
        <item sd="0" x="19504"/>
        <item sd="0" x="19505"/>
        <item sd="0" x="19506"/>
        <item sd="0" x="19507"/>
        <item sd="0" x="19508"/>
        <item sd="0" x="19509"/>
        <item sd="0" x="19510"/>
        <item sd="0" x="19511"/>
        <item sd="0" x="19512"/>
        <item sd="0" x="19513"/>
        <item sd="0" x="19514"/>
        <item sd="0" x="19515"/>
        <item sd="0" x="19516"/>
        <item sd="0" x="19517"/>
        <item sd="0" x="19518"/>
        <item sd="0" x="19519"/>
        <item sd="0" x="19520"/>
        <item sd="0" x="19521"/>
        <item sd="0" x="19522"/>
        <item sd="0" x="19523"/>
        <item sd="0" x="19524"/>
        <item sd="0" x="19525"/>
        <item sd="0" x="19526"/>
        <item sd="0" x="19527"/>
        <item sd="0" x="19528"/>
        <item sd="0" x="19529"/>
        <item sd="0" x="19530"/>
        <item sd="0" x="19531"/>
        <item sd="0" x="19532"/>
        <item sd="0" x="19533"/>
        <item sd="0" x="19534"/>
        <item sd="0" x="19535"/>
        <item sd="0" x="19536"/>
        <item sd="0" x="19537"/>
        <item sd="0" x="19538"/>
        <item sd="0" x="19539"/>
        <item sd="0" x="19540"/>
        <item sd="0" x="19541"/>
        <item sd="0" x="19542"/>
        <item sd="0" x="19543"/>
        <item sd="0" x="19544"/>
        <item sd="0" x="19545"/>
        <item sd="0" x="19546"/>
        <item sd="0" x="19547"/>
        <item sd="0" x="19548"/>
        <item sd="0" x="19549"/>
        <item sd="0" x="19550"/>
        <item sd="0" x="19551"/>
        <item sd="0" x="19552"/>
        <item sd="0" x="19553"/>
        <item sd="0" x="19554"/>
        <item sd="0" x="19555"/>
        <item sd="0" x="19556"/>
        <item sd="0" x="19557"/>
        <item sd="0" x="19558"/>
        <item sd="0" x="19559"/>
        <item sd="0" x="19560"/>
        <item sd="0" x="19561"/>
        <item sd="0" x="19562"/>
        <item sd="0" x="19563"/>
        <item sd="0" x="19564"/>
        <item sd="0" x="19565"/>
        <item sd="0" x="19566"/>
        <item sd="0" x="19567"/>
        <item sd="0" x="19568"/>
        <item sd="0" x="19569"/>
        <item sd="0" x="19570"/>
        <item sd="0" x="19571"/>
        <item sd="0" x="19572"/>
        <item sd="0" x="19573"/>
        <item sd="0" x="19574"/>
        <item sd="0" x="19575"/>
        <item sd="0" x="19576"/>
        <item sd="0" x="19577"/>
        <item sd="0" x="19578"/>
        <item sd="0" x="19579"/>
        <item sd="0" x="19580"/>
        <item sd="0" x="19581"/>
        <item sd="0" x="19582"/>
        <item sd="0" x="19583"/>
        <item sd="0" x="19584"/>
        <item sd="0" x="19585"/>
        <item sd="0" x="19586"/>
        <item sd="0" x="19587"/>
        <item sd="0" x="19588"/>
        <item sd="0" x="19589"/>
        <item sd="0" x="19590"/>
        <item sd="0" x="19591"/>
        <item sd="0" x="19592"/>
        <item sd="0" x="19593"/>
        <item sd="0" x="19594"/>
        <item sd="0" x="19595"/>
        <item sd="0" x="19596"/>
        <item sd="0" x="19597"/>
        <item sd="0" x="19598"/>
        <item sd="0" x="19599"/>
        <item sd="0" x="19600"/>
        <item sd="0" x="19601"/>
        <item sd="0" x="19602"/>
        <item sd="0" x="19603"/>
        <item sd="0" x="19604"/>
        <item sd="0" x="19605"/>
        <item sd="0" x="19606"/>
        <item sd="0" x="19607"/>
        <item sd="0" x="19608"/>
        <item sd="0" x="19609"/>
        <item sd="0" x="19610"/>
        <item sd="0" x="19611"/>
        <item sd="0" x="19612"/>
        <item sd="0" x="19613"/>
        <item sd="0" x="19614"/>
        <item sd="0" x="19615"/>
        <item sd="0" x="19616"/>
        <item sd="0" x="19617"/>
        <item sd="0" x="19618"/>
        <item sd="0" x="19619"/>
        <item sd="0" x="19620"/>
        <item sd="0" x="19621"/>
        <item sd="0" x="19622"/>
        <item sd="0" x="19623"/>
        <item sd="0" x="19624"/>
        <item sd="0" x="19625"/>
        <item sd="0" x="19626"/>
        <item sd="0" x="19627"/>
        <item sd="0" x="19628"/>
        <item sd="0" x="19629"/>
        <item sd="0" x="19630"/>
        <item sd="0" x="19631"/>
        <item sd="0" x="19632"/>
        <item sd="0" x="19633"/>
        <item sd="0" x="19634"/>
        <item sd="0" x="19635"/>
        <item sd="0" x="19636"/>
        <item sd="0" x="19637"/>
        <item sd="0" x="19638"/>
        <item sd="0" x="19639"/>
        <item sd="0" x="19640"/>
        <item sd="0" x="19641"/>
        <item sd="0" x="19642"/>
        <item sd="0" x="19643"/>
        <item sd="0" x="19644"/>
        <item sd="0" x="19645"/>
        <item sd="0" x="19646"/>
        <item sd="0" x="19647"/>
        <item sd="0" x="19648"/>
        <item sd="0" x="19649"/>
        <item sd="0" x="19650"/>
        <item sd="0" x="19651"/>
        <item sd="0" x="19652"/>
        <item sd="0" x="19653"/>
        <item sd="0" x="19654"/>
        <item sd="0" x="19655"/>
        <item sd="0" x="19656"/>
        <item sd="0" x="19657"/>
        <item sd="0" x="19658"/>
        <item sd="0" x="19659"/>
        <item sd="0" x="19660"/>
        <item sd="0" x="19661"/>
        <item sd="0" x="19662"/>
        <item sd="0" x="19663"/>
        <item sd="0" x="19664"/>
        <item sd="0" x="19665"/>
        <item sd="0" x="19666"/>
        <item sd="0" x="19667"/>
        <item sd="0" x="19668"/>
        <item sd="0" x="19669"/>
        <item sd="0" x="19670"/>
        <item sd="0" x="19671"/>
        <item sd="0" x="19672"/>
        <item sd="0" x="19673"/>
        <item sd="0" x="19674"/>
        <item sd="0" x="19675"/>
        <item sd="0" x="19676"/>
        <item sd="0" x="19677"/>
        <item sd="0" x="19678"/>
        <item sd="0" x="19679"/>
        <item sd="0" x="19680"/>
        <item sd="0" x="19681"/>
        <item sd="0" x="19682"/>
        <item sd="0" x="19683"/>
        <item sd="0" x="19684"/>
        <item sd="0" x="19685"/>
        <item sd="0" x="19686"/>
        <item sd="0" x="19687"/>
        <item sd="0" x="19688"/>
        <item sd="0" x="19689"/>
        <item sd="0" x="19690"/>
        <item sd="0" x="19691"/>
        <item sd="0" x="19692"/>
        <item sd="0" x="19693"/>
        <item sd="0" x="19694"/>
        <item sd="0" x="19695"/>
        <item sd="0" x="19696"/>
        <item sd="0" x="19697"/>
        <item sd="0" x="19698"/>
        <item sd="0" x="19699"/>
        <item sd="0" x="19700"/>
        <item sd="0" x="19701"/>
        <item sd="0" x="19702"/>
        <item sd="0" x="19703"/>
        <item sd="0" x="19704"/>
        <item sd="0" x="19705"/>
        <item sd="0" x="19706"/>
        <item sd="0" x="19707"/>
        <item sd="0" x="19708"/>
        <item sd="0" x="19709"/>
        <item sd="0" x="19710"/>
        <item sd="0" x="19711"/>
        <item sd="0" x="19712"/>
        <item sd="0" x="19713"/>
        <item sd="0" x="19714"/>
        <item sd="0" x="19715"/>
        <item sd="0" x="19716"/>
        <item sd="0" x="19717"/>
        <item sd="0" x="19718"/>
        <item sd="0" x="19719"/>
        <item sd="0" x="19720"/>
        <item sd="0" x="19721"/>
        <item sd="0" x="19722"/>
        <item sd="0" x="19723"/>
        <item sd="0" x="19724"/>
        <item sd="0" x="19725"/>
        <item sd="0" x="19726"/>
        <item sd="0" x="19727"/>
        <item sd="0" x="19728"/>
        <item sd="0" x="19729"/>
        <item sd="0" x="19730"/>
        <item sd="0" x="19731"/>
        <item sd="0" x="19732"/>
        <item sd="0" x="19733"/>
        <item sd="0" x="19734"/>
        <item sd="0" x="19735"/>
        <item sd="0" x="19736"/>
        <item sd="0" x="19737"/>
        <item sd="0" x="19738"/>
        <item sd="0" x="19739"/>
        <item sd="0" x="19740"/>
        <item sd="0" x="19741"/>
        <item sd="0" x="19742"/>
        <item sd="0" x="19743"/>
        <item sd="0" x="19744"/>
        <item sd="0" x="19745"/>
        <item sd="0" x="19746"/>
        <item sd="0" x="19747"/>
        <item sd="0" x="19748"/>
        <item sd="0" x="19749"/>
        <item sd="0" x="19750"/>
        <item sd="0" x="19751"/>
        <item sd="0" x="19752"/>
        <item sd="0" x="19753"/>
        <item sd="0" x="19754"/>
        <item sd="0" x="19755"/>
        <item sd="0" x="19756"/>
        <item sd="0" x="19757"/>
        <item sd="0" x="19758"/>
        <item sd="0" x="19759"/>
        <item sd="0" x="19760"/>
        <item sd="0" x="19761"/>
        <item sd="0" x="19762"/>
        <item sd="0" x="19763"/>
        <item sd="0" x="19764"/>
        <item sd="0" x="19765"/>
        <item sd="0" x="19766"/>
        <item sd="0" x="19767"/>
        <item sd="0" x="19768"/>
        <item sd="0" x="19769"/>
        <item sd="0" x="19770"/>
        <item sd="0" x="19771"/>
        <item sd="0" x="19772"/>
        <item sd="0" x="19773"/>
        <item sd="0" x="19774"/>
        <item sd="0" x="19775"/>
        <item sd="0" x="19776"/>
        <item sd="0" x="19777"/>
        <item sd="0" x="19778"/>
        <item sd="0" x="19779"/>
        <item sd="0" x="19780"/>
        <item sd="0" x="19781"/>
        <item sd="0" x="19782"/>
        <item sd="0" x="19783"/>
        <item sd="0" x="19784"/>
        <item sd="0" x="19785"/>
        <item sd="0" x="19786"/>
        <item sd="0" x="19787"/>
        <item sd="0" x="19788"/>
        <item sd="0" x="19789"/>
        <item sd="0" x="19790"/>
        <item sd="0" x="19791"/>
        <item sd="0" x="19792"/>
        <item sd="0" x="19793"/>
        <item sd="0" x="19794"/>
        <item sd="0" x="19795"/>
        <item sd="0" x="19796"/>
        <item sd="0" x="19797"/>
        <item sd="0" x="19798"/>
        <item sd="0" x="19799"/>
        <item sd="0" x="19800"/>
        <item sd="0" x="19801"/>
        <item sd="0" x="19802"/>
        <item sd="0" x="19803"/>
        <item sd="0" x="19804"/>
        <item sd="0" x="19805"/>
        <item sd="0" x="19806"/>
        <item sd="0" x="19807"/>
        <item sd="0" x="19808"/>
        <item sd="0" x="19809"/>
        <item sd="0" x="19810"/>
        <item sd="0" x="19811"/>
        <item sd="0" x="19812"/>
        <item sd="0" x="19813"/>
        <item sd="0" x="19814"/>
        <item sd="0" x="19815"/>
        <item sd="0" x="19816"/>
        <item sd="0" x="19817"/>
        <item sd="0" x="19818"/>
        <item sd="0" x="19819"/>
        <item sd="0" x="19820"/>
        <item sd="0" x="19821"/>
        <item sd="0" x="19822"/>
        <item sd="0" x="19823"/>
        <item sd="0" x="19824"/>
        <item sd="0" x="19825"/>
        <item sd="0" x="19826"/>
        <item sd="0" x="19827"/>
        <item sd="0" x="19828"/>
        <item sd="0" x="19829"/>
        <item sd="0" x="19830"/>
        <item sd="0" x="19831"/>
        <item sd="0" x="19832"/>
        <item sd="0" x="19833"/>
        <item sd="0" x="19834"/>
        <item sd="0" x="19835"/>
        <item sd="0" x="19836"/>
        <item sd="0" x="19837"/>
        <item sd="0" x="19838"/>
        <item sd="0" x="19839"/>
        <item sd="0" x="19840"/>
        <item sd="0" x="19841"/>
        <item sd="0" x="19842"/>
        <item sd="0" x="19843"/>
        <item sd="0" x="19844"/>
        <item sd="0" x="19845"/>
        <item sd="0" x="19846"/>
        <item sd="0" x="19847"/>
        <item sd="0" x="19848"/>
        <item sd="0" x="19849"/>
        <item sd="0" x="19850"/>
        <item sd="0" x="19851"/>
        <item sd="0" x="19852"/>
        <item sd="0" x="19853"/>
        <item sd="0" x="19854"/>
        <item sd="0" x="19855"/>
        <item sd="0" x="19856"/>
        <item sd="0" x="19857"/>
        <item sd="0" x="19858"/>
        <item sd="0" x="19859"/>
        <item sd="0" x="19860"/>
        <item sd="0" x="19861"/>
        <item sd="0" x="19862"/>
        <item sd="0" x="19863"/>
        <item sd="0" x="19864"/>
        <item sd="0" x="19865"/>
        <item sd="0" x="19866"/>
        <item sd="0" x="19867"/>
        <item sd="0" x="19868"/>
        <item sd="0" x="19869"/>
        <item sd="0" x="19870"/>
        <item sd="0" x="19871"/>
        <item sd="0" x="19872"/>
        <item sd="0" x="19873"/>
        <item sd="0" x="19874"/>
        <item sd="0" x="19875"/>
        <item sd="0" x="19876"/>
        <item sd="0" x="19877"/>
        <item sd="0" x="19878"/>
        <item sd="0" x="19879"/>
        <item sd="0" x="19880"/>
        <item sd="0" x="19881"/>
        <item sd="0" x="19882"/>
        <item sd="0" x="19883"/>
        <item sd="0" x="19884"/>
        <item sd="0" x="19885"/>
        <item sd="0" x="19886"/>
        <item sd="0" x="19887"/>
        <item sd="0" x="19888"/>
        <item sd="0" x="19889"/>
        <item sd="0" x="19890"/>
        <item sd="0" x="19891"/>
        <item sd="0" x="19892"/>
        <item sd="0" x="19893"/>
        <item sd="0" x="19894"/>
        <item sd="0" x="19895"/>
        <item sd="0" x="19896"/>
        <item sd="0" x="19897"/>
        <item sd="0" x="19898"/>
        <item sd="0" x="19899"/>
        <item sd="0" x="19900"/>
        <item sd="0" x="19901"/>
        <item sd="0" x="19902"/>
        <item sd="0" x="19903"/>
        <item sd="0" x="19904"/>
        <item sd="0" x="19905"/>
        <item sd="0" x="19906"/>
        <item sd="0" x="19907"/>
        <item sd="0" x="19908"/>
        <item sd="0" x="19909"/>
        <item sd="0" x="19910"/>
        <item sd="0" x="19911"/>
        <item sd="0" x="19912"/>
        <item sd="0" x="19913"/>
        <item sd="0" x="19914"/>
        <item sd="0" x="19915"/>
        <item sd="0" x="19916"/>
        <item sd="0" x="19917"/>
        <item sd="0" x="19918"/>
        <item sd="0" x="19919"/>
        <item sd="0" x="19920"/>
        <item sd="0" x="19921"/>
        <item sd="0" x="19922"/>
        <item sd="0" x="19923"/>
        <item sd="0" x="19924"/>
        <item sd="0" x="19925"/>
        <item sd="0" x="19926"/>
        <item sd="0" x="19927"/>
        <item sd="0" x="19928"/>
        <item sd="0" x="19929"/>
        <item sd="0" x="19930"/>
        <item sd="0" x="19931"/>
        <item sd="0" x="19932"/>
        <item sd="0" x="19933"/>
        <item sd="0" x="19934"/>
        <item sd="0" x="19935"/>
        <item sd="0" x="19936"/>
        <item sd="0" x="19937"/>
        <item sd="0" x="19938"/>
        <item sd="0" x="19939"/>
        <item sd="0" x="19940"/>
        <item sd="0" x="19941"/>
        <item sd="0" x="19942"/>
        <item sd="0" x="19943"/>
        <item sd="0" x="19944"/>
        <item sd="0" x="19945"/>
        <item sd="0" x="19946"/>
        <item sd="0" x="19947"/>
        <item sd="0" x="19948"/>
        <item sd="0" x="19949"/>
        <item sd="0" x="19950"/>
        <item sd="0" x="19951"/>
        <item sd="0" x="19952"/>
        <item sd="0" x="19953"/>
        <item sd="0" x="19954"/>
        <item sd="0" x="19955"/>
        <item sd="0" x="19956"/>
        <item sd="0" x="19957"/>
        <item sd="0" x="19958"/>
        <item sd="0" x="19959"/>
        <item sd="0" x="19960"/>
        <item sd="0" x="19961"/>
        <item sd="0" x="19962"/>
        <item sd="0" x="19963"/>
        <item sd="0" x="19964"/>
        <item sd="0" x="19965"/>
        <item sd="0" x="19966"/>
        <item sd="0" x="19967"/>
        <item sd="0" x="19968"/>
        <item sd="0" x="19969"/>
        <item sd="0" x="19970"/>
        <item sd="0" x="19971"/>
        <item sd="0" x="19972"/>
        <item sd="0" x="19973"/>
        <item sd="0" x="19974"/>
        <item sd="0" x="19975"/>
        <item sd="0" x="19976"/>
        <item sd="0" x="19977"/>
        <item sd="0" x="19978"/>
        <item sd="0" x="19979"/>
        <item sd="0" x="19980"/>
        <item sd="0" x="19981"/>
        <item sd="0" x="19982"/>
        <item sd="0" x="19983"/>
        <item sd="0" x="19984"/>
        <item sd="0" x="19985"/>
        <item sd="0" x="19986"/>
        <item sd="0" x="19987"/>
        <item sd="0" x="19988"/>
        <item sd="0" x="19989"/>
        <item sd="0" x="19990"/>
        <item sd="0" x="19991"/>
        <item sd="0" x="19992"/>
        <item sd="0" x="19993"/>
        <item sd="0" x="19994"/>
        <item sd="0" x="19995"/>
        <item sd="0" x="19996"/>
        <item sd="0" x="19997"/>
        <item sd="0" x="19998"/>
        <item sd="0" x="19999"/>
        <item sd="0" x="20000"/>
        <item sd="0" x="20001"/>
        <item sd="0" x="20002"/>
        <item sd="0" x="20003"/>
        <item sd="0" x="20004"/>
        <item sd="0" x="20005"/>
        <item sd="0" x="20006"/>
        <item sd="0" x="20007"/>
        <item sd="0" x="20008"/>
        <item sd="0" x="20009"/>
        <item sd="0" x="20010"/>
        <item sd="0" x="20011"/>
        <item sd="0" x="20012"/>
        <item sd="0" x="20013"/>
        <item sd="0" x="20014"/>
        <item sd="0" x="20015"/>
        <item sd="0" x="20016"/>
        <item sd="0" x="20017"/>
        <item sd="0" x="20018"/>
        <item sd="0" x="20019"/>
        <item sd="0" x="20020"/>
        <item sd="0" x="20021"/>
        <item sd="0" x="20022"/>
        <item sd="0" x="20023"/>
        <item sd="0" x="20024"/>
        <item sd="0" x="20025"/>
        <item sd="0" x="20026"/>
        <item sd="0" x="20027"/>
        <item sd="0" x="20028"/>
        <item sd="0" x="20029"/>
        <item sd="0" x="20030"/>
        <item sd="0" x="20031"/>
        <item sd="0" x="20032"/>
        <item sd="0" x="20033"/>
        <item sd="0" x="20034"/>
        <item sd="0" x="20035"/>
        <item sd="0" x="20036"/>
        <item sd="0" x="20037"/>
        <item sd="0" x="20038"/>
        <item sd="0" x="20039"/>
        <item sd="0" x="20040"/>
        <item sd="0" x="20041"/>
        <item sd="0" x="20042"/>
        <item sd="0" x="20043"/>
        <item sd="0" x="20044"/>
        <item sd="0" x="20045"/>
        <item sd="0" x="20046"/>
        <item sd="0" x="20047"/>
        <item sd="0" x="20048"/>
        <item sd="0" x="20049"/>
        <item sd="0" x="20050"/>
        <item sd="0" x="20051"/>
        <item sd="0" x="20052"/>
        <item sd="0" x="20053"/>
        <item sd="0" x="20054"/>
        <item sd="0" x="20055"/>
        <item sd="0" x="20056"/>
        <item sd="0" x="20057"/>
        <item sd="0" x="20058"/>
        <item sd="0" x="20059"/>
        <item sd="0" x="20060"/>
        <item sd="0" x="20061"/>
        <item sd="0" x="20062"/>
        <item sd="0" x="20063"/>
        <item sd="0" x="20064"/>
        <item sd="0" x="20065"/>
        <item sd="0" x="20066"/>
        <item sd="0" x="20067"/>
        <item sd="0" x="20068"/>
        <item sd="0" x="20069"/>
        <item sd="0" x="20070"/>
        <item sd="0" x="20071"/>
        <item sd="0" x="20072"/>
        <item sd="0" x="20073"/>
        <item sd="0" x="20074"/>
        <item sd="0" x="20075"/>
        <item sd="0" x="20076"/>
        <item sd="0" x="20077"/>
        <item sd="0" x="20078"/>
        <item sd="0" x="20079"/>
        <item sd="0" x="20080"/>
        <item sd="0" x="20081"/>
        <item sd="0" x="20082"/>
        <item sd="0" x="20083"/>
        <item sd="0" x="20084"/>
        <item sd="0" x="20085"/>
        <item sd="0" x="20086"/>
        <item sd="0" x="20087"/>
        <item sd="0" x="20088"/>
        <item sd="0" x="20089"/>
        <item sd="0" x="20090"/>
        <item sd="0" x="20091"/>
        <item sd="0" x="20092"/>
        <item sd="0" x="20093"/>
        <item sd="0" x="20094"/>
        <item sd="0" x="20095"/>
        <item sd="0" x="20096"/>
        <item sd="0" x="20097"/>
        <item sd="0" x="20098"/>
        <item sd="0" x="20099"/>
        <item sd="0" x="20100"/>
        <item sd="0" x="20101"/>
        <item sd="0" x="20102"/>
        <item sd="0" x="20103"/>
        <item sd="0" x="20104"/>
        <item sd="0" x="20105"/>
        <item sd="0" x="20106"/>
        <item sd="0" x="20107"/>
        <item sd="0" x="20108"/>
        <item sd="0" x="20109"/>
        <item sd="0" x="20110"/>
        <item sd="0" x="20111"/>
        <item sd="0" x="20112"/>
        <item sd="0" x="20113"/>
        <item sd="0" x="20114"/>
        <item sd="0" x="20115"/>
        <item sd="0" x="20116"/>
        <item sd="0" x="20117"/>
        <item sd="0" x="20118"/>
        <item sd="0" x="20119"/>
        <item sd="0" x="20120"/>
        <item sd="0" x="20121"/>
        <item sd="0" x="20122"/>
        <item sd="0" x="20123"/>
        <item sd="0" x="20124"/>
        <item sd="0" x="20125"/>
        <item sd="0" x="20126"/>
        <item sd="0" x="20127"/>
        <item sd="0" x="20128"/>
        <item sd="0" x="20129"/>
        <item sd="0" x="20130"/>
        <item sd="0" x="20131"/>
        <item sd="0" x="20132"/>
        <item sd="0" x="20133"/>
        <item sd="0" x="20134"/>
        <item sd="0" x="20135"/>
        <item sd="0" x="20136"/>
        <item sd="0" x="20137"/>
        <item sd="0" x="20138"/>
        <item sd="0" x="20139"/>
        <item sd="0" x="20140"/>
        <item sd="0" x="20141"/>
        <item sd="0" x="20142"/>
        <item sd="0" x="20143"/>
        <item sd="0" x="20144"/>
        <item sd="0" x="20145"/>
        <item sd="0" x="20146"/>
        <item sd="0" x="20147"/>
        <item sd="0" x="20148"/>
        <item sd="0" x="20149"/>
        <item sd="0" x="20150"/>
        <item sd="0" x="20151"/>
        <item sd="0" x="20152"/>
        <item sd="0" x="20153"/>
        <item sd="0" x="20154"/>
        <item sd="0" x="20155"/>
        <item sd="0" x="20156"/>
        <item sd="0" x="20157"/>
        <item sd="0" x="20158"/>
        <item sd="0" x="20159"/>
        <item sd="0" x="20160"/>
        <item sd="0" x="20161"/>
        <item sd="0" x="20162"/>
        <item sd="0" x="20163"/>
        <item sd="0" x="20164"/>
        <item sd="0" x="20165"/>
        <item sd="0" x="20166"/>
        <item sd="0" x="20167"/>
        <item sd="0" x="20168"/>
        <item sd="0" x="20169"/>
        <item sd="0" x="20170"/>
        <item sd="0" x="20171"/>
        <item sd="0" x="20172"/>
        <item sd="0" x="20173"/>
        <item sd="0" x="20174"/>
        <item sd="0" x="20175"/>
        <item sd="0" x="20176"/>
        <item sd="0" x="20177"/>
        <item sd="0" x="20178"/>
        <item sd="0" x="20179"/>
        <item sd="0" x="20180"/>
        <item sd="0" x="20181"/>
        <item sd="0" x="20182"/>
        <item sd="0" x="20183"/>
        <item sd="0" x="20184"/>
        <item sd="0" x="20185"/>
        <item sd="0" x="20186"/>
        <item sd="0" x="20187"/>
        <item sd="0" x="20188"/>
        <item sd="0" x="20189"/>
        <item sd="0" x="20190"/>
        <item sd="0" x="20191"/>
        <item sd="0" x="20192"/>
        <item sd="0" x="20193"/>
        <item sd="0" x="20194"/>
        <item sd="0" x="20195"/>
        <item sd="0" x="20196"/>
        <item sd="0" x="20197"/>
        <item sd="0" x="20198"/>
        <item sd="0" x="20199"/>
        <item sd="0" x="20200"/>
        <item sd="0" x="20201"/>
        <item sd="0" x="20202"/>
        <item sd="0" x="20203"/>
        <item sd="0" x="20204"/>
        <item sd="0" x="20205"/>
        <item sd="0" x="20206"/>
        <item sd="0" x="20207"/>
        <item sd="0" x="20208"/>
        <item sd="0" x="20209"/>
        <item sd="0" x="20210"/>
        <item sd="0" x="20211"/>
        <item sd="0" x="20212"/>
        <item sd="0" x="20213"/>
        <item sd="0" x="20214"/>
        <item sd="0" x="20215"/>
        <item sd="0" x="20216"/>
        <item sd="0" x="20217"/>
        <item sd="0" x="20218"/>
        <item sd="0" x="20219"/>
        <item sd="0" x="20220"/>
        <item sd="0" x="20221"/>
        <item sd="0" x="20222"/>
        <item sd="0" x="20223"/>
        <item sd="0" x="20224"/>
        <item sd="0" x="20225"/>
        <item sd="0" x="20226"/>
        <item sd="0" x="20227"/>
        <item sd="0" x="20228"/>
        <item sd="0" x="20229"/>
        <item sd="0" x="20230"/>
        <item sd="0" x="20231"/>
        <item sd="0" x="20232"/>
        <item sd="0" x="20233"/>
        <item sd="0" x="20234"/>
        <item sd="0" x="20235"/>
        <item sd="0" x="20236"/>
        <item sd="0" x="20237"/>
        <item sd="0" x="20238"/>
        <item sd="0" x="20239"/>
        <item sd="0" x="20240"/>
        <item sd="0" x="20241"/>
        <item sd="0" x="20242"/>
        <item sd="0" x="20243"/>
        <item sd="0" x="20244"/>
        <item sd="0" x="20245"/>
        <item sd="0" x="20246"/>
        <item sd="0" x="20247"/>
        <item sd="0" x="20248"/>
        <item sd="0" x="20249"/>
        <item sd="0" x="20250"/>
        <item sd="0" x="20251"/>
        <item sd="0" x="20252"/>
        <item sd="0" x="20253"/>
        <item sd="0" x="20254"/>
        <item sd="0" x="20255"/>
        <item sd="0" x="20256"/>
        <item sd="0" x="20257"/>
        <item sd="0" x="20258"/>
        <item sd="0" x="20259"/>
        <item sd="0" x="20260"/>
        <item sd="0" x="20261"/>
        <item sd="0" x="20262"/>
        <item sd="0" x="20263"/>
        <item sd="0" x="20264"/>
        <item sd="0" x="20265"/>
        <item sd="0" x="20266"/>
        <item sd="0" x="20267"/>
        <item sd="0" x="20268"/>
        <item sd="0" x="20269"/>
        <item sd="0" x="20270"/>
        <item sd="0" x="20271"/>
        <item sd="0" x="20272"/>
        <item sd="0" x="20273"/>
        <item sd="0" x="20274"/>
        <item sd="0" x="20275"/>
        <item sd="0" x="20276"/>
        <item sd="0" x="20277"/>
        <item sd="0" x="20278"/>
        <item sd="0" x="20279"/>
        <item sd="0" x="20280"/>
        <item sd="0" x="20281"/>
        <item sd="0" x="20282"/>
        <item sd="0" x="20283"/>
        <item sd="0" x="20284"/>
        <item sd="0" x="20285"/>
        <item sd="0" x="20286"/>
        <item sd="0" x="20287"/>
        <item sd="0" x="20288"/>
        <item sd="0" x="20289"/>
        <item sd="0" x="20290"/>
        <item sd="0" x="20291"/>
        <item sd="0" x="20292"/>
        <item sd="0" x="20293"/>
        <item sd="0" x="20294"/>
        <item sd="0" x="20295"/>
        <item sd="0" x="20296"/>
        <item sd="0" x="20297"/>
        <item sd="0" x="20298"/>
        <item sd="0" x="20299"/>
        <item sd="0" x="20300"/>
        <item sd="0" x="20301"/>
        <item sd="0" x="20302"/>
        <item sd="0" x="20303"/>
        <item sd="0" x="20304"/>
        <item sd="0" x="20305"/>
        <item sd="0" x="20306"/>
        <item sd="0" x="20307"/>
        <item sd="0" x="20308"/>
        <item sd="0" x="20309"/>
        <item sd="0" x="20310"/>
        <item sd="0" x="20311"/>
        <item sd="0" x="20312"/>
        <item sd="0" x="20313"/>
        <item sd="0" x="20314"/>
        <item sd="0" x="20315"/>
        <item sd="0" x="20316"/>
        <item sd="0" x="20317"/>
        <item sd="0" x="20318"/>
        <item sd="0" x="20319"/>
        <item sd="0" x="20320"/>
        <item sd="0" x="20321"/>
        <item sd="0" x="20322"/>
        <item sd="0" x="20323"/>
        <item sd="0" x="20324"/>
        <item sd="0" x="20325"/>
        <item sd="0" x="20326"/>
        <item sd="0" x="20327"/>
        <item sd="0" x="20328"/>
        <item sd="0" x="20329"/>
        <item sd="0" x="20330"/>
        <item sd="0" x="20331"/>
        <item sd="0" x="20332"/>
        <item sd="0" x="20333"/>
        <item sd="0" x="20334"/>
        <item sd="0" x="20335"/>
        <item sd="0" x="20336"/>
        <item sd="0" x="20337"/>
        <item sd="0" x="20338"/>
        <item sd="0" x="20339"/>
        <item sd="0" x="20340"/>
        <item sd="0" x="20341"/>
        <item sd="0" x="20342"/>
        <item sd="0" x="20343"/>
        <item sd="0" x="20344"/>
        <item sd="0" x="20345"/>
        <item sd="0" x="20346"/>
        <item sd="0" x="20347"/>
        <item sd="0" x="20348"/>
        <item sd="0" x="20349"/>
        <item sd="0" x="20350"/>
        <item sd="0" x="20351"/>
        <item sd="0" x="20352"/>
        <item sd="0" x="20353"/>
        <item sd="0" x="20354"/>
        <item sd="0" x="20355"/>
        <item sd="0" x="20356"/>
        <item sd="0" x="20357"/>
        <item sd="0" x="20358"/>
        <item sd="0" x="20359"/>
        <item sd="0" x="20360"/>
        <item sd="0" x="20361"/>
        <item sd="0" x="20362"/>
        <item sd="0" x="20363"/>
        <item sd="0" x="20364"/>
        <item sd="0" x="20365"/>
        <item sd="0" x="20366"/>
        <item sd="0" x="20367"/>
        <item sd="0" x="20368"/>
        <item sd="0" x="20369"/>
        <item sd="0" x="20370"/>
        <item sd="0" x="20371"/>
        <item sd="0" x="20372"/>
        <item sd="0" x="20373"/>
        <item sd="0" x="20374"/>
        <item sd="0" x="20375"/>
        <item sd="0" x="20376"/>
        <item sd="0" x="20377"/>
        <item sd="0" x="20378"/>
        <item sd="0" x="20379"/>
        <item sd="0" x="20380"/>
        <item sd="0" x="20381"/>
        <item sd="0" x="20382"/>
        <item sd="0" x="20383"/>
        <item sd="0" x="20384"/>
        <item sd="0" x="20385"/>
        <item sd="0" x="20386"/>
        <item sd="0" x="20387"/>
        <item sd="0" x="20388"/>
        <item sd="0" x="20389"/>
        <item sd="0" x="20390"/>
        <item sd="0" x="20391"/>
        <item sd="0" x="20392"/>
        <item sd="0" x="20393"/>
        <item sd="0" x="20394"/>
        <item sd="0" x="20395"/>
        <item sd="0" x="20396"/>
        <item sd="0" x="20397"/>
        <item sd="0" x="20398"/>
        <item sd="0" x="20399"/>
        <item sd="0" x="20400"/>
        <item sd="0" x="20401"/>
        <item sd="0" x="20402"/>
        <item sd="0" x="20403"/>
        <item sd="0" x="20404"/>
        <item sd="0" x="20405"/>
        <item sd="0" x="20406"/>
        <item sd="0" x="20407"/>
        <item sd="0" x="20408"/>
        <item sd="0" x="20409"/>
        <item sd="0" x="20410"/>
        <item sd="0" x="20411"/>
        <item sd="0" x="20412"/>
        <item sd="0" x="20413"/>
        <item sd="0" x="20414"/>
        <item sd="0" x="20415"/>
        <item sd="0" x="20416"/>
        <item sd="0" x="20417"/>
        <item sd="0" x="20418"/>
        <item sd="0" x="20419"/>
        <item sd="0" x="20420"/>
        <item sd="0" x="20421"/>
        <item sd="0" x="20422"/>
        <item sd="0" x="20423"/>
        <item sd="0" x="20424"/>
        <item sd="0" x="20425"/>
        <item sd="0" x="20426"/>
        <item sd="0" x="20427"/>
        <item sd="0" x="20428"/>
        <item sd="0" x="20429"/>
        <item sd="0" x="20430"/>
        <item sd="0" x="20431"/>
        <item sd="0" x="20432"/>
        <item sd="0" x="20433"/>
        <item sd="0" x="20434"/>
        <item sd="0" x="20435"/>
        <item sd="0" x="20436"/>
        <item sd="0" x="20437"/>
        <item sd="0" x="20438"/>
        <item sd="0" x="20439"/>
        <item sd="0" x="20440"/>
        <item sd="0" x="20441"/>
        <item sd="0" x="20442"/>
        <item sd="0" x="20443"/>
        <item sd="0" x="20444"/>
        <item sd="0" x="20445"/>
        <item sd="0" x="20446"/>
        <item sd="0" x="20447"/>
        <item sd="0" x="20448"/>
        <item sd="0" x="20449"/>
        <item sd="0" x="20450"/>
        <item sd="0" x="20451"/>
        <item sd="0" x="20452"/>
        <item sd="0" x="20453"/>
        <item sd="0" x="20454"/>
        <item sd="0" x="20455"/>
        <item sd="0" x="20456"/>
        <item sd="0" x="20457"/>
        <item sd="0" x="20458"/>
        <item sd="0" x="20459"/>
        <item sd="0" x="20460"/>
        <item sd="0" x="20461"/>
        <item sd="0" x="20462"/>
        <item sd="0" x="20463"/>
        <item sd="0" x="20464"/>
        <item sd="0" x="20465"/>
        <item sd="0" x="20466"/>
        <item sd="0" x="20467"/>
        <item sd="0" x="20468"/>
        <item sd="0" x="20469"/>
        <item sd="0" x="20470"/>
        <item sd="0" x="20471"/>
        <item sd="0" x="20472"/>
        <item sd="0" x="20473"/>
        <item sd="0" x="20474"/>
        <item sd="0" x="20475"/>
        <item sd="0" x="20476"/>
        <item sd="0" x="20477"/>
        <item sd="0" x="20478"/>
        <item sd="0" x="20479"/>
        <item sd="0" x="20480"/>
        <item sd="0" x="20481"/>
        <item sd="0" x="20482"/>
        <item sd="0" x="20483"/>
        <item sd="0" x="20484"/>
        <item sd="0" x="20485"/>
        <item sd="0" x="20486"/>
        <item sd="0" x="20487"/>
        <item sd="0" x="20488"/>
        <item sd="0" x="20489"/>
        <item sd="0" x="20490"/>
        <item sd="0" x="20491"/>
        <item sd="0" x="20492"/>
        <item sd="0" x="20493"/>
        <item sd="0" x="20494"/>
        <item sd="0" x="20495"/>
        <item sd="0" x="20496"/>
        <item sd="0" x="20497"/>
        <item sd="0" x="20498"/>
        <item sd="0" x="20499"/>
        <item sd="0" x="20500"/>
        <item sd="0" x="20501"/>
        <item sd="0" x="20502"/>
        <item sd="0" x="20503"/>
        <item sd="0" x="20504"/>
        <item sd="0" x="20505"/>
        <item sd="0" x="20506"/>
        <item sd="0" x="20507"/>
        <item sd="0" x="20508"/>
        <item sd="0" x="20509"/>
        <item sd="0" x="20510"/>
        <item sd="0" x="20511"/>
        <item sd="0" x="20512"/>
        <item sd="0" x="20513"/>
        <item sd="0" x="20514"/>
        <item sd="0" x="20515"/>
        <item sd="0" x="20516"/>
        <item sd="0" x="20517"/>
        <item sd="0" x="20518"/>
        <item sd="0" x="20519"/>
        <item sd="0" x="20520"/>
        <item sd="0" x="20521"/>
        <item sd="0" x="20522"/>
        <item sd="0" x="20523"/>
        <item sd="0" x="20524"/>
        <item sd="0" x="20525"/>
        <item sd="0" x="20526"/>
        <item sd="0" x="20527"/>
        <item sd="0" x="20528"/>
        <item sd="0" x="20529"/>
        <item sd="0" x="20530"/>
        <item sd="0" x="20531"/>
        <item sd="0" x="20532"/>
        <item sd="0" x="20533"/>
        <item sd="0" x="20534"/>
        <item sd="0" x="20535"/>
        <item sd="0" x="20536"/>
        <item sd="0" x="20537"/>
        <item sd="0" x="20538"/>
        <item sd="0" x="20539"/>
        <item sd="0" x="20540"/>
        <item sd="0" x="20541"/>
        <item sd="0" x="20542"/>
        <item sd="0" x="20543"/>
        <item sd="0" x="20544"/>
        <item sd="0" x="20545"/>
        <item sd="0" x="20546"/>
        <item sd="0" x="20547"/>
        <item sd="0" x="20548"/>
        <item sd="0" x="20549"/>
        <item sd="0" x="20550"/>
        <item sd="0" x="20551"/>
        <item sd="0" x="20552"/>
        <item sd="0" x="20553"/>
        <item sd="0" x="20554"/>
        <item sd="0" x="20555"/>
        <item sd="0" x="20556"/>
        <item sd="0" x="20557"/>
        <item sd="0" x="20558"/>
        <item sd="0" x="20559"/>
        <item sd="0" x="20560"/>
        <item sd="0" x="20561"/>
        <item sd="0" x="20562"/>
        <item sd="0" x="20563"/>
        <item sd="0" x="20564"/>
        <item sd="0" x="20565"/>
        <item sd="0" x="20566"/>
        <item sd="0" x="20567"/>
        <item sd="0" x="20568"/>
        <item sd="0" x="20569"/>
        <item sd="0" x="20570"/>
        <item sd="0" x="20571"/>
        <item sd="0" x="20572"/>
        <item sd="0" x="20573"/>
        <item sd="0" x="20574"/>
        <item sd="0" x="20575"/>
        <item sd="0" x="20576"/>
        <item sd="0" x="20577"/>
        <item sd="0" x="20578"/>
        <item sd="0" x="20579"/>
        <item sd="0" x="20580"/>
        <item sd="0" x="20581"/>
        <item sd="0" x="20582"/>
        <item sd="0" x="20583"/>
        <item sd="0" x="20584"/>
        <item sd="0" x="20585"/>
        <item sd="0" x="20586"/>
        <item sd="0" x="20587"/>
        <item sd="0" x="20588"/>
        <item sd="0" x="20589"/>
        <item sd="0" x="20590"/>
        <item sd="0" x="20591"/>
        <item sd="0" x="20592"/>
        <item sd="0" x="20593"/>
        <item sd="0" x="20594"/>
        <item sd="0" x="20595"/>
        <item sd="0" x="20596"/>
        <item sd="0" x="20597"/>
        <item sd="0" x="20598"/>
        <item sd="0" x="20599"/>
        <item sd="0" x="20600"/>
        <item sd="0" x="20601"/>
        <item sd="0" x="20602"/>
        <item sd="0" x="20603"/>
        <item sd="0" x="20604"/>
        <item sd="0" x="20605"/>
        <item sd="0" x="20606"/>
        <item sd="0" x="20607"/>
        <item sd="0" x="20608"/>
        <item sd="0" x="20609"/>
        <item sd="0" x="20610"/>
        <item sd="0" x="20611"/>
        <item sd="0" x="20612"/>
        <item sd="0" x="20613"/>
        <item sd="0" x="20614"/>
        <item sd="0" x="20615"/>
        <item sd="0" x="20616"/>
        <item sd="0" x="20617"/>
        <item sd="0" x="20618"/>
        <item sd="0" x="20619"/>
        <item sd="0" x="20620"/>
        <item sd="0" x="20621"/>
        <item sd="0" x="20622"/>
        <item sd="0" x="20623"/>
        <item sd="0" x="20624"/>
        <item sd="0" x="20625"/>
        <item sd="0" x="20626"/>
        <item sd="0" x="20627"/>
        <item sd="0" x="20628"/>
        <item sd="0" x="20629"/>
        <item sd="0" x="20630"/>
        <item sd="0" x="20631"/>
        <item sd="0" x="20632"/>
        <item sd="0" x="20633"/>
        <item sd="0" x="20634"/>
        <item sd="0" x="20635"/>
        <item sd="0" x="20636"/>
        <item sd="0" x="20637"/>
        <item sd="0" x="20638"/>
        <item sd="0" x="20639"/>
        <item sd="0" x="20640"/>
        <item sd="0" x="20641"/>
        <item sd="0" x="20642"/>
        <item sd="0" x="20643"/>
        <item sd="0" x="20644"/>
        <item sd="0" x="20645"/>
        <item sd="0" x="20646"/>
        <item sd="0" x="20647"/>
        <item sd="0" x="20648"/>
        <item sd="0" x="20649"/>
        <item sd="0" x="20650"/>
        <item sd="0" x="20651"/>
        <item sd="0" x="20652"/>
        <item sd="0" x="20653"/>
        <item sd="0" x="20654"/>
        <item sd="0" x="20655"/>
        <item sd="0" x="20656"/>
        <item sd="0" x="20657"/>
        <item sd="0" x="20658"/>
        <item sd="0" x="20659"/>
        <item sd="0" x="20660"/>
        <item sd="0" x="20661"/>
        <item sd="0" x="20662"/>
        <item sd="0" x="20663"/>
        <item sd="0" x="20664"/>
        <item sd="0" x="20665"/>
        <item sd="0" x="20666"/>
        <item sd="0" x="20667"/>
        <item sd="0" x="20668"/>
        <item sd="0" x="20669"/>
        <item sd="0" x="20670"/>
        <item sd="0" x="20671"/>
        <item sd="0" x="20672"/>
        <item sd="0" x="20673"/>
        <item sd="0" x="20674"/>
        <item sd="0" x="20675"/>
        <item sd="0" x="20676"/>
        <item sd="0" x="20677"/>
        <item sd="0" x="20678"/>
        <item sd="0" x="20679"/>
        <item sd="0" x="20680"/>
        <item sd="0" x="20681"/>
        <item sd="0" x="20682"/>
        <item sd="0" x="20683"/>
        <item sd="0" x="20684"/>
        <item sd="0" x="20685"/>
        <item sd="0" x="20686"/>
        <item sd="0" x="20687"/>
        <item sd="0" x="20688"/>
        <item sd="0" x="20689"/>
        <item sd="0" x="20690"/>
        <item sd="0" x="20691"/>
        <item sd="0" x="20692"/>
        <item sd="0" x="20693"/>
        <item sd="0" x="20694"/>
        <item sd="0" x="20695"/>
        <item sd="0" x="20696"/>
        <item sd="0" x="20697"/>
        <item sd="0" x="20698"/>
        <item sd="0" x="20699"/>
        <item sd="0" x="20700"/>
        <item sd="0" x="20701"/>
        <item sd="0" x="20702"/>
        <item sd="0" x="20703"/>
        <item sd="0" x="20704"/>
        <item sd="0" x="20705"/>
        <item sd="0" x="20706"/>
        <item sd="0" x="20707"/>
        <item sd="0" x="20708"/>
        <item sd="0" x="20709"/>
        <item sd="0" x="20710"/>
        <item sd="0" x="20711"/>
        <item sd="0" x="20712"/>
        <item sd="0" x="20713"/>
        <item sd="0" x="20714"/>
        <item sd="0" x="20715"/>
        <item sd="0" x="20716"/>
        <item sd="0" x="20717"/>
        <item sd="0" x="20718"/>
        <item sd="0" x="20719"/>
        <item sd="0" x="20720"/>
        <item sd="0" x="20721"/>
        <item sd="0" x="20722"/>
        <item sd="0" x="20723"/>
        <item sd="0" x="20724"/>
        <item sd="0" x="20725"/>
        <item sd="0" x="20726"/>
        <item sd="0" x="20727"/>
        <item sd="0" x="20728"/>
        <item sd="0" x="20729"/>
        <item sd="0" x="20730"/>
        <item sd="0" x="20731"/>
        <item sd="0" x="20732"/>
        <item sd="0" x="20733"/>
        <item sd="0" x="20734"/>
        <item sd="0" x="20735"/>
        <item sd="0" x="20736"/>
        <item sd="0" x="20737"/>
        <item sd="0" x="20738"/>
        <item sd="0" x="20739"/>
        <item sd="0" x="20740"/>
        <item sd="0" x="20741"/>
        <item sd="0" x="20742"/>
        <item sd="0" x="20743"/>
        <item sd="0" x="20744"/>
        <item sd="0" x="20745"/>
        <item sd="0" x="20746"/>
        <item sd="0" x="20747"/>
        <item sd="0" x="20748"/>
        <item sd="0" x="20749"/>
        <item sd="0" x="20750"/>
        <item sd="0" x="20751"/>
        <item sd="0" x="20752"/>
        <item sd="0" x="20753"/>
        <item sd="0" x="20754"/>
        <item sd="0" x="20755"/>
        <item sd="0" x="20756"/>
        <item sd="0" x="20757"/>
        <item sd="0" x="20758"/>
        <item sd="0" x="20759"/>
        <item sd="0" x="20760"/>
        <item sd="0" x="20761"/>
        <item sd="0" x="20762"/>
        <item sd="0" x="20763"/>
        <item sd="0" x="20764"/>
        <item sd="0" x="20765"/>
        <item sd="0" x="20766"/>
        <item sd="0" x="20767"/>
        <item sd="0" x="20768"/>
        <item sd="0" x="20769"/>
        <item sd="0" x="20770"/>
        <item sd="0" x="20771"/>
        <item sd="0" x="20772"/>
        <item sd="0" x="20773"/>
        <item sd="0" x="20774"/>
        <item sd="0" x="20775"/>
        <item sd="0" x="20776"/>
        <item sd="0" x="20777"/>
        <item sd="0" x="20778"/>
        <item sd="0" x="20779"/>
        <item sd="0" x="20780"/>
        <item sd="0" x="20781"/>
        <item sd="0" x="20782"/>
        <item sd="0" x="20783"/>
        <item sd="0" x="20784"/>
        <item sd="0" x="20785"/>
        <item sd="0" x="20786"/>
        <item sd="0" x="20787"/>
        <item sd="0" x="20788"/>
        <item sd="0" x="20789"/>
        <item sd="0" x="20790"/>
        <item sd="0" x="20791"/>
        <item sd="0" x="20792"/>
        <item sd="0" x="20793"/>
        <item sd="0" x="20794"/>
        <item sd="0" x="20795"/>
        <item sd="0" x="20796"/>
        <item sd="0" x="20797"/>
        <item sd="0" x="20798"/>
        <item sd="0" x="20799"/>
        <item sd="0" x="20800"/>
        <item sd="0" x="20801"/>
        <item sd="0" x="20802"/>
        <item sd="0" x="20803"/>
        <item sd="0" x="20804"/>
        <item sd="0" x="20805"/>
        <item sd="0" x="20806"/>
        <item sd="0" x="20807"/>
        <item sd="0" x="20808"/>
        <item sd="0" x="20809"/>
        <item sd="0" x="20810"/>
        <item sd="0" x="20811"/>
        <item sd="0" x="20812"/>
        <item sd="0" x="20813"/>
        <item sd="0" x="20814"/>
        <item sd="0" x="20815"/>
        <item sd="0" x="20816"/>
        <item sd="0" x="20817"/>
        <item sd="0" x="20818"/>
        <item sd="0" x="20819"/>
        <item sd="0" x="20820"/>
        <item sd="0" x="20821"/>
        <item sd="0" x="20822"/>
        <item sd="0" x="20823"/>
        <item sd="0" x="20824"/>
        <item sd="0" x="20825"/>
        <item sd="0" x="20826"/>
        <item sd="0" x="20827"/>
        <item sd="0" x="20828"/>
        <item sd="0" x="20829"/>
        <item sd="0" x="20830"/>
        <item sd="0" x="20831"/>
        <item sd="0" x="20832"/>
        <item sd="0" x="20833"/>
        <item sd="0" x="20834"/>
        <item sd="0" x="20835"/>
        <item sd="0" x="20836"/>
        <item sd="0" x="20837"/>
        <item sd="0" x="20838"/>
        <item sd="0" x="20839"/>
        <item sd="0" x="20840"/>
        <item sd="0" x="20841"/>
        <item sd="0" x="20842"/>
        <item sd="0" x="20843"/>
        <item sd="0" x="20844"/>
        <item sd="0" x="20845"/>
        <item sd="0" x="20846"/>
        <item sd="0" x="20847"/>
        <item sd="0" x="20848"/>
        <item sd="0" x="20849"/>
        <item sd="0" x="20850"/>
        <item sd="0" x="20851"/>
        <item sd="0" x="20852"/>
        <item sd="0" x="20853"/>
        <item sd="0" x="20854"/>
        <item sd="0" x="20855"/>
        <item sd="0" x="20856"/>
        <item sd="0" x="20857"/>
        <item sd="0" x="20858"/>
        <item sd="0" x="20859"/>
        <item sd="0" x="20860"/>
        <item sd="0" x="20861"/>
        <item sd="0" x="20862"/>
        <item sd="0" x="20863"/>
        <item sd="0" x="20864"/>
        <item sd="0" x="20865"/>
        <item sd="0" x="20866"/>
        <item sd="0" x="20867"/>
        <item sd="0" x="20868"/>
        <item sd="0" x="20869"/>
        <item sd="0" x="20870"/>
        <item sd="0" x="20871"/>
        <item sd="0" x="20872"/>
        <item sd="0" x="20873"/>
        <item sd="0" x="20874"/>
        <item sd="0" x="20875"/>
        <item sd="0" x="20876"/>
        <item sd="0" x="20877"/>
        <item sd="0" x="20878"/>
        <item sd="0" x="20879"/>
        <item sd="0" x="20880"/>
        <item sd="0" x="20881"/>
        <item sd="0" x="20882"/>
        <item sd="0" x="20883"/>
        <item sd="0" x="20884"/>
        <item sd="0" x="20885"/>
        <item sd="0" x="20886"/>
        <item sd="0" x="20887"/>
        <item sd="0" x="20888"/>
        <item sd="0" x="20889"/>
        <item sd="0" x="20890"/>
        <item sd="0" x="20891"/>
        <item sd="0" x="20892"/>
        <item sd="0" x="20893"/>
        <item sd="0" x="20894"/>
        <item sd="0" x="20895"/>
        <item sd="0" x="20896"/>
        <item sd="0" x="20897"/>
        <item sd="0" x="20898"/>
        <item sd="0" x="20899"/>
        <item sd="0" x="20900"/>
        <item sd="0" x="20901"/>
        <item sd="0" x="20902"/>
        <item sd="0" x="20903"/>
        <item sd="0" x="20904"/>
        <item sd="0" x="20905"/>
        <item sd="0" x="20906"/>
        <item sd="0" x="20907"/>
        <item sd="0" x="20908"/>
        <item sd="0" x="20909"/>
        <item sd="0" x="20910"/>
        <item sd="0" x="20911"/>
        <item sd="0" x="20912"/>
        <item sd="0" x="20913"/>
        <item sd="0" x="20914"/>
        <item sd="0" x="20915"/>
        <item sd="0" x="20916"/>
        <item sd="0" x="20917"/>
        <item sd="0" x="20918"/>
        <item sd="0" x="20919"/>
        <item sd="0" x="20920"/>
        <item sd="0" x="20921"/>
        <item sd="0" x="20922"/>
        <item sd="0" x="20923"/>
        <item sd="0" x="20924"/>
        <item sd="0" x="20925"/>
        <item sd="0" x="20926"/>
        <item sd="0" x="20927"/>
        <item sd="0" x="20928"/>
        <item sd="0" x="20929"/>
        <item sd="0" x="20930"/>
        <item sd="0" x="20931"/>
        <item sd="0" x="20932"/>
        <item sd="0" x="20933"/>
        <item sd="0" x="20934"/>
        <item sd="0" x="20935"/>
        <item sd="0" x="20936"/>
        <item sd="0" x="20937"/>
        <item sd="0" x="20938"/>
        <item sd="0" x="20939"/>
        <item sd="0" x="20940"/>
        <item sd="0" x="20941"/>
        <item sd="0" x="20942"/>
        <item sd="0" x="20943"/>
        <item sd="0" x="20944"/>
        <item sd="0" x="20945"/>
        <item sd="0" x="20946"/>
        <item sd="0" x="20947"/>
        <item sd="0" x="20948"/>
        <item sd="0" x="20949"/>
        <item sd="0" x="20950"/>
        <item sd="0" x="20951"/>
        <item sd="0" x="20952"/>
        <item sd="0" x="20953"/>
        <item sd="0" x="20954"/>
        <item sd="0" x="20955"/>
        <item sd="0" x="20956"/>
        <item sd="0" x="20957"/>
        <item sd="0" x="20958"/>
        <item sd="0" x="20959"/>
        <item sd="0" x="20960"/>
        <item sd="0" x="20961"/>
        <item sd="0" x="20962"/>
        <item sd="0" x="20963"/>
        <item sd="0" x="20964"/>
        <item sd="0" x="20965"/>
        <item sd="0" x="20966"/>
        <item sd="0" x="20967"/>
        <item sd="0" x="20968"/>
        <item sd="0" x="20969"/>
        <item sd="0" x="20970"/>
        <item sd="0" x="20971"/>
        <item sd="0" x="20972"/>
        <item sd="0" x="20973"/>
        <item sd="0" x="20974"/>
        <item sd="0" x="20975"/>
        <item sd="0" x="20976"/>
        <item sd="0" x="20977"/>
        <item sd="0" x="20978"/>
        <item sd="0" x="20979"/>
        <item sd="0" x="20980"/>
        <item sd="0" x="20981"/>
        <item sd="0" x="20982"/>
        <item sd="0" x="20983"/>
        <item sd="0" x="20984"/>
        <item sd="0" x="20985"/>
        <item sd="0" x="20986"/>
        <item sd="0" x="20987"/>
        <item sd="0" x="20988"/>
        <item sd="0" x="20989"/>
        <item sd="0" x="20990"/>
        <item sd="0" x="20991"/>
        <item sd="0" x="20992"/>
        <item sd="0" x="20993"/>
        <item sd="0" x="20994"/>
        <item sd="0" x="20995"/>
        <item sd="0" x="20996"/>
        <item sd="0" x="20997"/>
        <item sd="0" x="20998"/>
        <item sd="0" x="20999"/>
        <item sd="0" x="21000"/>
        <item sd="0" x="21001"/>
        <item sd="0" x="21002"/>
        <item sd="0" x="21003"/>
        <item sd="0" x="21004"/>
        <item sd="0" x="21005"/>
        <item sd="0" x="21006"/>
        <item sd="0" x="21007"/>
        <item sd="0" x="21008"/>
        <item sd="0" x="21009"/>
        <item sd="0" x="21010"/>
        <item sd="0" x="21011"/>
        <item sd="0" x="21012"/>
        <item sd="0" x="21013"/>
        <item sd="0" x="21014"/>
        <item sd="0" x="21015"/>
        <item sd="0" x="21016"/>
        <item sd="0" x="21017"/>
        <item sd="0" x="21018"/>
        <item sd="0" x="21019"/>
        <item sd="0" x="21020"/>
        <item sd="0" x="21021"/>
        <item sd="0" x="21022"/>
        <item sd="0" x="21023"/>
        <item sd="0" x="21024"/>
        <item sd="0" x="21025"/>
        <item sd="0" x="21026"/>
        <item sd="0" x="21027"/>
        <item sd="0" x="21028"/>
        <item sd="0" x="21029"/>
        <item sd="0" x="21030"/>
        <item sd="0" x="21031"/>
        <item sd="0" x="21032"/>
        <item sd="0" x="21033"/>
        <item sd="0" x="21034"/>
        <item sd="0" x="21035"/>
        <item sd="0" x="21036"/>
        <item sd="0" x="21037"/>
        <item sd="0" x="21038"/>
        <item sd="0" x="21039"/>
        <item sd="0" x="21040"/>
        <item sd="0" x="21041"/>
        <item sd="0" x="21042"/>
        <item sd="0" x="21043"/>
        <item sd="0" x="21044"/>
        <item sd="0" x="21045"/>
        <item sd="0" x="21046"/>
        <item sd="0" x="21047"/>
        <item sd="0" x="21048"/>
        <item sd="0" x="21049"/>
        <item sd="0" x="21050"/>
        <item sd="0" x="21051"/>
        <item sd="0" x="21052"/>
        <item sd="0" x="21053"/>
        <item sd="0" x="21054"/>
        <item sd="0" x="21055"/>
        <item sd="0" x="21056"/>
        <item sd="0" x="21057"/>
        <item sd="0" x="21058"/>
        <item sd="0" x="21059"/>
        <item sd="0" x="21060"/>
        <item sd="0" x="21061"/>
        <item sd="0" x="21062"/>
        <item sd="0" x="21063"/>
        <item sd="0" x="21064"/>
        <item sd="0" x="21065"/>
        <item sd="0" x="21066"/>
        <item sd="0" x="21067"/>
        <item sd="0" x="21068"/>
        <item sd="0" x="21069"/>
        <item sd="0" x="21070"/>
        <item sd="0" x="21071"/>
        <item sd="0" x="21072"/>
        <item sd="0" x="21073"/>
        <item sd="0" x="21074"/>
        <item sd="0" x="21075"/>
        <item sd="0" x="21076"/>
        <item sd="0" x="21077"/>
        <item sd="0" x="21078"/>
        <item sd="0" x="21079"/>
        <item sd="0" x="21080"/>
        <item sd="0" x="21081"/>
        <item sd="0" x="21082"/>
        <item sd="0" x="21083"/>
        <item sd="0" x="21084"/>
        <item sd="0" x="21085"/>
        <item sd="0" x="21086"/>
        <item sd="0" x="21087"/>
        <item sd="0" x="21088"/>
        <item sd="0" x="21089"/>
        <item sd="0" x="21090"/>
        <item sd="0" x="21091"/>
        <item sd="0" x="21092"/>
        <item sd="0" x="21093"/>
        <item sd="0" x="21094"/>
        <item sd="0" x="21095"/>
        <item sd="0" x="21096"/>
        <item sd="0" x="21097"/>
        <item sd="0" x="21098"/>
        <item sd="0" x="21099"/>
        <item sd="0" x="21100"/>
        <item sd="0" x="21101"/>
        <item sd="0" x="21102"/>
        <item sd="0" x="21103"/>
        <item sd="0" x="21104"/>
        <item sd="0" x="21105"/>
        <item sd="0" x="21106"/>
        <item sd="0" x="21107"/>
        <item sd="0" x="21108"/>
        <item sd="0" x="21109"/>
        <item sd="0" x="21110"/>
        <item sd="0" x="21111"/>
        <item sd="0" x="21112"/>
        <item sd="0" x="21113"/>
        <item sd="0" x="21114"/>
        <item sd="0" x="21115"/>
        <item sd="0" x="21116"/>
        <item sd="0" x="21117"/>
        <item sd="0" x="21118"/>
        <item sd="0" x="21119"/>
        <item sd="0" x="21120"/>
        <item sd="0" x="21121"/>
        <item sd="0" x="21122"/>
        <item sd="0" x="21123"/>
        <item sd="0" x="21124"/>
        <item sd="0" x="21125"/>
        <item sd="0" x="21126"/>
        <item sd="0" x="21127"/>
        <item sd="0" x="21128"/>
        <item sd="0" x="21129"/>
        <item sd="0" x="21130"/>
        <item sd="0" x="21131"/>
        <item sd="0" x="21132"/>
        <item sd="0" x="21133"/>
        <item sd="0" x="21134"/>
        <item sd="0" x="21135"/>
        <item sd="0" x="21136"/>
        <item sd="0" x="21137"/>
        <item sd="0" x="21138"/>
        <item sd="0" x="21139"/>
        <item sd="0" x="21140"/>
        <item sd="0" x="21141"/>
        <item sd="0" x="21142"/>
        <item sd="0" x="21143"/>
        <item sd="0" x="21144"/>
        <item sd="0" x="21145"/>
        <item sd="0" x="21146"/>
        <item sd="0" x="21147"/>
        <item sd="0" x="21148"/>
        <item sd="0" x="21149"/>
        <item sd="0" x="21150"/>
        <item sd="0" x="21151"/>
        <item sd="0" x="21152"/>
        <item sd="0" x="21153"/>
        <item sd="0" x="21154"/>
        <item sd="0" x="21155"/>
        <item sd="0" x="21156"/>
        <item sd="0" x="21157"/>
        <item sd="0" x="21158"/>
        <item sd="0" x="21159"/>
        <item sd="0" x="21160"/>
        <item sd="0" x="21161"/>
        <item sd="0" x="21162"/>
        <item sd="0" x="21163"/>
        <item sd="0" x="21164"/>
        <item sd="0" x="21165"/>
        <item sd="0" x="21166"/>
        <item sd="0" x="21167"/>
        <item sd="0" x="21168"/>
        <item sd="0" x="21169"/>
        <item sd="0" x="21170"/>
        <item sd="0" x="21171"/>
        <item sd="0" x="21172"/>
        <item sd="0" x="21173"/>
        <item sd="0" x="21174"/>
        <item sd="0" x="21175"/>
        <item sd="0" x="21176"/>
        <item sd="0" x="21177"/>
        <item sd="0" x="21178"/>
        <item sd="0" x="21179"/>
        <item sd="0" x="21180"/>
        <item sd="0" x="21181"/>
        <item sd="0" x="21182"/>
        <item sd="0" x="21183"/>
        <item sd="0" x="21184"/>
        <item sd="0" x="21185"/>
        <item sd="0" x="21186"/>
        <item sd="0" x="21187"/>
        <item sd="0" x="21188"/>
        <item sd="0" x="21189"/>
        <item sd="0" x="21190"/>
        <item sd="0" x="21191"/>
        <item sd="0" x="21192"/>
        <item sd="0" x="21193"/>
        <item sd="0" x="21194"/>
        <item sd="0" x="21195"/>
        <item sd="0" x="21196"/>
        <item sd="0" x="21197"/>
        <item sd="0" x="21198"/>
        <item sd="0" x="21199"/>
        <item sd="0" x="21200"/>
        <item sd="0" x="21201"/>
        <item sd="0" x="21202"/>
        <item sd="0" x="21203"/>
        <item sd="0" x="21204"/>
        <item sd="0" x="21205"/>
        <item sd="0" x="21206"/>
        <item sd="0" x="21207"/>
        <item sd="0" x="21208"/>
        <item sd="0" x="21209"/>
        <item sd="0" x="21210"/>
        <item sd="0" x="21211"/>
        <item sd="0" x="21212"/>
        <item sd="0" x="21213"/>
        <item sd="0" x="21214"/>
        <item sd="0" x="21215"/>
        <item sd="0" x="21216"/>
        <item sd="0" x="21217"/>
        <item sd="0" x="21218"/>
        <item sd="0" x="21219"/>
        <item sd="0" x="21220"/>
        <item sd="0" x="21221"/>
        <item sd="0" x="21222"/>
        <item sd="0" x="21223"/>
        <item sd="0" x="21224"/>
        <item sd="0" x="21225"/>
        <item sd="0" x="21226"/>
        <item sd="0" x="21227"/>
        <item sd="0" x="21228"/>
        <item sd="0" x="21229"/>
        <item sd="0" x="21230"/>
        <item sd="0" x="21231"/>
        <item sd="0" x="21232"/>
        <item sd="0" x="21233"/>
        <item sd="0" x="21234"/>
        <item sd="0" x="21235"/>
        <item sd="0" x="21236"/>
        <item sd="0" x="21237"/>
        <item sd="0" x="21238"/>
        <item sd="0" x="21239"/>
        <item sd="0" x="21240"/>
        <item sd="0" x="21241"/>
        <item sd="0" x="21242"/>
        <item sd="0" x="21243"/>
        <item sd="0" x="21244"/>
        <item sd="0" x="21245"/>
        <item sd="0" x="21246"/>
        <item sd="0" x="21247"/>
        <item sd="0" x="21248"/>
        <item sd="0" x="21249"/>
        <item sd="0" x="21250"/>
        <item sd="0" x="21251"/>
        <item sd="0" x="21252"/>
        <item sd="0" x="21253"/>
        <item sd="0" x="21254"/>
        <item sd="0" x="21255"/>
        <item sd="0" x="21256"/>
        <item sd="0" x="21257"/>
        <item sd="0" x="21258"/>
        <item sd="0" x="21259"/>
        <item sd="0" x="21260"/>
        <item sd="0" x="21261"/>
        <item sd="0" x="21262"/>
        <item sd="0" x="21263"/>
        <item sd="0" x="21264"/>
        <item sd="0" x="21265"/>
        <item sd="0" x="21266"/>
        <item sd="0" x="21267"/>
        <item sd="0" x="21268"/>
        <item sd="0" x="21269"/>
        <item sd="0" x="21270"/>
        <item sd="0" x="21271"/>
        <item sd="0" x="21272"/>
        <item sd="0" x="21273"/>
        <item sd="0" x="21274"/>
        <item sd="0" x="21275"/>
        <item sd="0" x="21276"/>
        <item sd="0" x="21277"/>
        <item sd="0" x="21278"/>
        <item sd="0" x="21279"/>
        <item sd="0" x="21280"/>
        <item sd="0" x="21281"/>
        <item sd="0" x="21282"/>
        <item sd="0" x="21283"/>
        <item sd="0" x="21284"/>
        <item sd="0" x="21285"/>
        <item sd="0" x="21286"/>
        <item sd="0" x="21287"/>
        <item sd="0" x="21288"/>
        <item sd="0" x="21289"/>
        <item sd="0" x="21290"/>
        <item sd="0" x="21291"/>
        <item sd="0" x="21292"/>
        <item sd="0" x="21293"/>
        <item sd="0" x="21294"/>
        <item sd="0" x="21295"/>
        <item sd="0" x="21296"/>
        <item sd="0" x="21297"/>
        <item sd="0" x="21298"/>
        <item sd="0" x="21299"/>
        <item sd="0" x="21300"/>
        <item sd="0" x="21301"/>
        <item sd="0" x="21302"/>
        <item sd="0" x="21303"/>
        <item sd="0" x="21304"/>
        <item sd="0" x="21305"/>
        <item sd="0" x="21306"/>
        <item sd="0" x="21307"/>
        <item sd="0" x="21308"/>
        <item sd="0" x="21309"/>
        <item sd="0" x="21310"/>
        <item sd="0" x="21311"/>
        <item sd="0" x="21312"/>
        <item sd="0" x="21313"/>
        <item sd="0" x="21314"/>
        <item sd="0" x="21315"/>
        <item sd="0" x="21316"/>
        <item sd="0" x="21317"/>
        <item sd="0" x="21318"/>
        <item sd="0" x="21319"/>
        <item sd="0" x="21320"/>
        <item sd="0" x="21321"/>
        <item sd="0" x="21322"/>
        <item sd="0" x="21323"/>
        <item sd="0" x="21324"/>
        <item sd="0" x="21325"/>
        <item sd="0" x="21326"/>
        <item sd="0" x="21327"/>
        <item sd="0" x="21328"/>
        <item sd="0" x="21329"/>
        <item sd="0" x="21330"/>
        <item sd="0" x="21331"/>
        <item sd="0" x="21332"/>
        <item sd="0" x="21333"/>
        <item sd="0" x="21334"/>
        <item sd="0" x="21335"/>
        <item sd="0" x="21336"/>
        <item sd="0" x="21337"/>
        <item sd="0" x="21338"/>
        <item sd="0" x="21339"/>
        <item sd="0" x="21340"/>
        <item sd="0" x="21341"/>
        <item sd="0" x="21342"/>
        <item sd="0" x="21343"/>
        <item sd="0" x="21344"/>
        <item sd="0" x="21345"/>
        <item sd="0" x="21346"/>
        <item sd="0" x="21347"/>
        <item sd="0" x="21348"/>
        <item sd="0" x="21349"/>
        <item sd="0" x="21350"/>
        <item sd="0" x="21351"/>
        <item sd="0" x="21352"/>
        <item sd="0" x="21353"/>
        <item sd="0" x="21354"/>
        <item sd="0" x="21355"/>
        <item sd="0" x="21356"/>
        <item sd="0" x="21357"/>
        <item sd="0" x="21358"/>
        <item sd="0" x="21359"/>
        <item sd="0" x="21360"/>
        <item sd="0" x="21361"/>
        <item sd="0" x="21362"/>
        <item sd="0" x="21363"/>
        <item sd="0" x="21364"/>
        <item sd="0" x="21365"/>
        <item sd="0" x="21366"/>
        <item sd="0" x="21367"/>
        <item sd="0" x="21368"/>
        <item sd="0" x="21369"/>
        <item sd="0" x="21370"/>
        <item sd="0" x="21371"/>
        <item sd="0" x="21372"/>
        <item sd="0" x="21373"/>
        <item sd="0" x="21374"/>
        <item sd="0" x="21375"/>
        <item sd="0" x="21376"/>
        <item sd="0" x="21377"/>
        <item sd="0" x="21378"/>
        <item sd="0" x="21379"/>
        <item sd="0" x="21380"/>
        <item sd="0" x="21381"/>
        <item sd="0" x="21382"/>
        <item sd="0" x="21383"/>
        <item sd="0" x="21384"/>
        <item sd="0" x="21385"/>
        <item sd="0" x="21386"/>
        <item sd="0" x="21387"/>
        <item sd="0" x="21388"/>
        <item sd="0" x="21389"/>
        <item sd="0" x="21390"/>
        <item sd="0" x="21391"/>
        <item sd="0" x="21392"/>
        <item sd="0" x="21393"/>
        <item sd="0" x="21394"/>
        <item sd="0" x="21395"/>
        <item sd="0" x="21396"/>
        <item sd="0" x="21397"/>
        <item sd="0" x="21398"/>
        <item sd="0" x="21399"/>
        <item sd="0" x="21400"/>
        <item sd="0" x="21401"/>
        <item sd="0" x="21402"/>
        <item sd="0" x="21403"/>
        <item sd="0" x="21404"/>
        <item sd="0" x="21405"/>
        <item sd="0" x="21406"/>
        <item sd="0" x="21407"/>
        <item sd="0" x="21408"/>
        <item sd="0" x="21409"/>
        <item sd="0" x="21410"/>
        <item sd="0" x="21411"/>
        <item sd="0" x="21412"/>
        <item sd="0" x="21413"/>
        <item sd="0" x="21414"/>
        <item sd="0" x="21415"/>
        <item sd="0" x="21416"/>
        <item sd="0" x="21417"/>
        <item sd="0" x="21418"/>
        <item sd="0" x="21419"/>
        <item sd="0" x="21420"/>
        <item sd="0" x="21421"/>
        <item sd="0" x="21422"/>
        <item sd="0" x="21423"/>
        <item sd="0" x="21424"/>
        <item sd="0" x="21425"/>
        <item sd="0" x="21426"/>
        <item sd="0" x="21427"/>
        <item sd="0" x="21428"/>
        <item sd="0" x="21429"/>
        <item sd="0" x="21430"/>
        <item sd="0" x="21431"/>
        <item sd="0" x="21432"/>
        <item sd="0" x="21433"/>
        <item sd="0" x="21434"/>
        <item sd="0" x="21435"/>
        <item sd="0" x="21436"/>
        <item sd="0" x="21437"/>
        <item sd="0" x="21438"/>
        <item sd="0" x="21439"/>
        <item sd="0" x="21440"/>
        <item sd="0" x="21441"/>
        <item sd="0" x="21442"/>
        <item sd="0" x="21443"/>
        <item sd="0" x="21444"/>
        <item sd="0" x="21445"/>
        <item sd="0" x="21446"/>
        <item sd="0" x="21447"/>
        <item sd="0" x="21448"/>
        <item sd="0" x="21449"/>
        <item sd="0" x="21450"/>
        <item sd="0" x="21451"/>
        <item sd="0" x="21452"/>
        <item sd="0" x="21453"/>
        <item sd="0" x="21454"/>
        <item sd="0" x="21455"/>
        <item sd="0" x="21456"/>
        <item sd="0" x="21457"/>
        <item sd="0" x="21458"/>
        <item sd="0" x="21459"/>
        <item sd="0" x="21460"/>
        <item sd="0" x="21461"/>
        <item sd="0" x="21462"/>
        <item sd="0" x="21463"/>
        <item sd="0" x="21464"/>
        <item sd="0" x="21465"/>
        <item sd="0" x="21466"/>
        <item sd="0" x="21467"/>
        <item sd="0" x="21468"/>
        <item sd="0" x="21469"/>
        <item sd="0" x="21470"/>
        <item sd="0" x="21471"/>
        <item sd="0" x="21472"/>
        <item sd="0" x="21473"/>
        <item sd="0" x="21474"/>
        <item sd="0" x="21475"/>
        <item sd="0" x="21476"/>
        <item sd="0" x="21477"/>
        <item sd="0" x="21478"/>
        <item sd="0" x="21479"/>
        <item sd="0" x="21480"/>
        <item sd="0" x="21481"/>
        <item sd="0" x="21482"/>
        <item sd="0" x="21483"/>
        <item sd="0" x="21484"/>
        <item sd="0" x="21485"/>
        <item sd="0" x="21486"/>
        <item sd="0" x="21487"/>
        <item sd="0" x="21488"/>
        <item sd="0" x="21489"/>
        <item sd="0" x="21490"/>
        <item sd="0" x="21491"/>
        <item sd="0" x="21492"/>
        <item sd="0" x="21493"/>
        <item sd="0" x="21494"/>
        <item sd="0" x="21495"/>
        <item sd="0" x="21496"/>
        <item sd="0" x="21497"/>
        <item sd="0" x="21498"/>
        <item sd="0" x="21499"/>
        <item sd="0" x="21500"/>
        <item sd="0" x="21501"/>
        <item sd="0" x="21502"/>
        <item sd="0" x="21503"/>
        <item sd="0" x="21504"/>
        <item sd="0" x="21505"/>
        <item sd="0" x="21506"/>
        <item sd="0" x="21507"/>
        <item sd="0" x="21508"/>
        <item sd="0" x="21509"/>
        <item sd="0" x="21510"/>
        <item sd="0" x="21511"/>
        <item sd="0" x="21512"/>
        <item sd="0" x="21513"/>
        <item sd="0" x="21514"/>
        <item sd="0" x="21515"/>
        <item sd="0" x="21516"/>
        <item sd="0" x="21517"/>
        <item sd="0" x="21518"/>
        <item sd="0" x="21519"/>
        <item sd="0" x="21520"/>
        <item sd="0" x="21521"/>
        <item sd="0" x="21522"/>
        <item sd="0" x="21523"/>
        <item sd="0" x="21524"/>
        <item sd="0" x="21525"/>
        <item sd="0" x="21526"/>
        <item sd="0" x="21527"/>
        <item sd="0" x="21528"/>
        <item sd="0" x="21529"/>
        <item sd="0" x="21530"/>
        <item sd="0" x="21531"/>
        <item sd="0" x="21532"/>
        <item sd="0" x="21533"/>
        <item sd="0" x="21534"/>
        <item sd="0" x="21535"/>
        <item sd="0" x="21536"/>
        <item sd="0" x="21537"/>
        <item sd="0" x="21538"/>
        <item sd="0" x="21539"/>
        <item sd="0" x="21540"/>
        <item sd="0" x="21541"/>
        <item sd="0" x="21542"/>
        <item sd="0" x="21543"/>
        <item sd="0" x="21544"/>
        <item sd="0" x="21545"/>
        <item sd="0" x="21546"/>
        <item sd="0" x="21547"/>
        <item sd="0" x="21548"/>
        <item sd="0" x="21549"/>
        <item sd="0" x="21550"/>
        <item sd="0" x="21551"/>
        <item sd="0" x="21552"/>
        <item sd="0" x="21553"/>
        <item sd="0" x="21554"/>
        <item sd="0" x="21555"/>
        <item sd="0" x="21556"/>
        <item sd="0" x="21557"/>
        <item sd="0" x="21558"/>
        <item sd="0" x="21559"/>
        <item sd="0" x="21560"/>
        <item sd="0" x="21561"/>
        <item sd="0" x="21562"/>
        <item sd="0" x="21563"/>
        <item sd="0" x="21564"/>
        <item sd="0" x="21565"/>
        <item sd="0" x="21566"/>
        <item sd="0" x="21567"/>
        <item sd="0" x="21568"/>
        <item sd="0" x="21569"/>
        <item sd="0" x="21570"/>
        <item sd="0" x="21571"/>
        <item sd="0" x="21572"/>
        <item sd="0" x="21573"/>
        <item sd="0" x="21574"/>
        <item sd="0" x="21575"/>
        <item sd="0" x="21576"/>
        <item sd="0" x="21577"/>
        <item sd="0" x="21578"/>
        <item sd="0" x="21579"/>
        <item sd="0" x="21580"/>
        <item sd="0" x="21581"/>
        <item sd="0" x="21582"/>
        <item sd="0" x="21583"/>
        <item sd="0" x="21584"/>
        <item sd="0" x="21585"/>
        <item sd="0" x="21586"/>
        <item sd="0" x="21587"/>
        <item sd="0" x="21588"/>
        <item sd="0" x="21589"/>
        <item sd="0" x="21590"/>
        <item sd="0" x="21591"/>
        <item sd="0" x="21592"/>
        <item sd="0" x="21593"/>
        <item sd="0" x="21594"/>
        <item sd="0" x="21595"/>
        <item sd="0" x="21596"/>
        <item sd="0" x="21597"/>
        <item sd="0" x="21598"/>
        <item sd="0" x="21599"/>
        <item sd="0" x="21600"/>
        <item sd="0" x="21601"/>
        <item sd="0" x="21602"/>
        <item sd="0" x="21603"/>
        <item sd="0" x="21604"/>
        <item sd="0" x="21605"/>
        <item sd="0" x="21606"/>
        <item sd="0" x="21607"/>
        <item sd="0" x="21608"/>
        <item sd="0" x="21609"/>
        <item sd="0" x="21610"/>
        <item sd="0" x="21611"/>
        <item sd="0" x="21612"/>
        <item sd="0" x="21613"/>
        <item sd="0" x="21614"/>
        <item sd="0" x="21615"/>
        <item sd="0" x="21616"/>
        <item sd="0" x="21617"/>
        <item sd="0" x="21618"/>
        <item sd="0" x="21619"/>
        <item sd="0" x="21620"/>
        <item sd="0" x="21621"/>
        <item sd="0" x="21622"/>
        <item sd="0" x="21623"/>
        <item sd="0" x="21624"/>
        <item sd="0" x="21625"/>
        <item sd="0" x="21626"/>
        <item sd="0" x="21627"/>
        <item sd="0" x="21628"/>
        <item sd="0" x="21629"/>
        <item sd="0" x="21630"/>
        <item sd="0" x="21631"/>
        <item sd="0" x="21632"/>
        <item sd="0" x="21633"/>
        <item sd="0" x="21634"/>
        <item sd="0" x="21635"/>
        <item sd="0" x="21636"/>
        <item sd="0" x="21637"/>
        <item sd="0" x="21638"/>
        <item sd="0" x="21639"/>
        <item sd="0" x="21640"/>
        <item sd="0" x="21641"/>
        <item sd="0" x="21642"/>
        <item sd="0" x="21643"/>
        <item sd="0" x="21644"/>
        <item sd="0" x="21645"/>
        <item sd="0" x="21646"/>
        <item sd="0" x="21647"/>
        <item sd="0" x="21648"/>
        <item sd="0" x="21649"/>
        <item sd="0" x="21650"/>
        <item sd="0" x="21651"/>
        <item sd="0" x="21652"/>
        <item sd="0" x="21653"/>
        <item sd="0" x="21654"/>
        <item sd="0" x="21655"/>
        <item sd="0" x="21656"/>
        <item sd="0" x="21657"/>
        <item sd="0" x="21658"/>
        <item sd="0" x="21659"/>
        <item sd="0" x="21660"/>
        <item sd="0" x="21661"/>
        <item sd="0" x="21662"/>
        <item sd="0" x="21663"/>
        <item sd="0" x="21664"/>
        <item sd="0" x="21665"/>
        <item sd="0" x="21666"/>
        <item sd="0" x="21667"/>
        <item sd="0" x="21668"/>
        <item sd="0" x="21669"/>
        <item sd="0" x="21670"/>
        <item sd="0" x="21671"/>
        <item sd="0" x="21672"/>
        <item sd="0" x="21673"/>
        <item sd="0" x="21674"/>
        <item sd="0" x="21675"/>
        <item sd="0" x="21676"/>
        <item sd="0" x="21677"/>
        <item sd="0" x="21678"/>
        <item sd="0" x="21679"/>
        <item sd="0" x="21680"/>
        <item sd="0" x="21681"/>
        <item sd="0" x="21682"/>
        <item sd="0" x="21683"/>
        <item sd="0" x="21684"/>
        <item sd="0" x="21685"/>
        <item sd="0" x="21686"/>
        <item sd="0" x="21687"/>
        <item sd="0" x="21688"/>
        <item sd="0" x="21689"/>
        <item sd="0" x="21690"/>
        <item sd="0" x="21691"/>
        <item sd="0" x="21692"/>
        <item sd="0" x="21693"/>
        <item sd="0" x="21694"/>
        <item sd="0" x="21695"/>
        <item sd="0" x="21696"/>
        <item sd="0" x="21697"/>
        <item sd="0" x="21698"/>
        <item sd="0" x="21699"/>
        <item sd="0" x="21700"/>
        <item sd="0" x="21701"/>
        <item sd="0" x="21702"/>
        <item sd="0" x="21703"/>
        <item sd="0" x="21704"/>
        <item sd="0" x="21705"/>
        <item sd="0" x="21706"/>
        <item sd="0" x="21707"/>
        <item sd="0" x="21708"/>
        <item sd="0" x="21709"/>
        <item sd="0" x="21710"/>
        <item sd="0" x="21711"/>
        <item sd="0" x="21712"/>
        <item sd="0" x="21713"/>
        <item sd="0" x="21714"/>
        <item sd="0" x="21715"/>
        <item sd="0" x="21716"/>
        <item sd="0" x="21717"/>
        <item sd="0" x="21718"/>
        <item sd="0" x="21719"/>
        <item sd="0" x="21720"/>
        <item sd="0" x="21721"/>
        <item sd="0" x="21722"/>
        <item sd="0" x="21723"/>
        <item sd="0" x="21724"/>
        <item sd="0" x="21725"/>
        <item sd="0" x="21726"/>
        <item sd="0" x="21727"/>
        <item sd="0" x="21728"/>
        <item sd="0" x="21729"/>
        <item sd="0" x="21730"/>
        <item sd="0" x="21731"/>
        <item sd="0" x="21732"/>
        <item sd="0" x="21733"/>
        <item sd="0" x="21734"/>
        <item sd="0" x="21735"/>
        <item sd="0" x="21736"/>
        <item sd="0" x="21737"/>
        <item sd="0" x="21738"/>
        <item sd="0" x="21739"/>
        <item sd="0" x="21740"/>
        <item sd="0" x="21741"/>
        <item sd="0" x="21742"/>
        <item sd="0" x="21743"/>
        <item sd="0" x="21744"/>
        <item sd="0" x="21745"/>
        <item sd="0" x="21746"/>
        <item sd="0" x="21747"/>
        <item sd="0" x="21748"/>
        <item sd="0" x="21749"/>
        <item sd="0" x="21750"/>
        <item sd="0" x="21751"/>
        <item sd="0" x="21752"/>
        <item sd="0" x="21753"/>
        <item sd="0" x="21754"/>
        <item sd="0" x="21755"/>
        <item sd="0" x="21756"/>
        <item sd="0" x="21757"/>
        <item sd="0" x="21758"/>
        <item sd="0" x="21759"/>
        <item sd="0" x="21760"/>
        <item sd="0" x="21761"/>
        <item sd="0" x="21762"/>
        <item sd="0" x="21763"/>
        <item sd="0" x="21764"/>
        <item sd="0" x="21765"/>
        <item sd="0" x="21766"/>
        <item sd="0" x="21767"/>
        <item sd="0" x="21768"/>
        <item sd="0" x="21769"/>
        <item sd="0" x="21770"/>
        <item sd="0" x="21771"/>
        <item sd="0" x="21772"/>
        <item sd="0" x="21773"/>
        <item sd="0" x="21774"/>
        <item sd="0" x="21775"/>
        <item sd="0" x="21776"/>
        <item sd="0" x="21777"/>
        <item sd="0" x="21778"/>
        <item sd="0" x="21779"/>
        <item sd="0" x="21780"/>
        <item sd="0" x="21781"/>
        <item sd="0" x="21782"/>
        <item sd="0" x="21783"/>
        <item sd="0" x="21784"/>
        <item sd="0" x="21785"/>
        <item sd="0" x="21786"/>
        <item sd="0" x="21787"/>
        <item sd="0" x="21788"/>
        <item sd="0" x="21789"/>
        <item sd="0" x="21790"/>
        <item sd="0" x="21791"/>
        <item sd="0" x="21792"/>
        <item sd="0" x="21793"/>
        <item sd="0" x="21794"/>
        <item sd="0" x="21795"/>
        <item sd="0" x="21796"/>
        <item sd="0" x="21797"/>
        <item sd="0" x="21798"/>
        <item sd="0" x="21799"/>
        <item sd="0" x="21800"/>
        <item sd="0" x="21801"/>
        <item sd="0" x="21802"/>
        <item sd="0" x="21803"/>
        <item sd="0" x="21804"/>
        <item sd="0" x="21805"/>
        <item sd="0" x="21806"/>
        <item sd="0" x="21807"/>
        <item sd="0" x="21808"/>
        <item sd="0" x="21809"/>
        <item sd="0" x="21810"/>
        <item sd="0" x="21811"/>
        <item sd="0" x="21812"/>
        <item sd="0" x="21813"/>
        <item sd="0" x="21814"/>
        <item sd="0" x="21815"/>
        <item sd="0" x="21816"/>
        <item sd="0" x="21817"/>
        <item sd="0" x="21818"/>
        <item sd="0" x="21819"/>
        <item sd="0" x="21820"/>
        <item sd="0" x="21821"/>
        <item sd="0" x="21822"/>
        <item sd="0" x="21823"/>
        <item sd="0" x="21824"/>
        <item sd="0" x="21825"/>
        <item sd="0" x="21826"/>
        <item sd="0" x="21827"/>
        <item sd="0" x="21828"/>
        <item sd="0" x="21829"/>
        <item sd="0" x="21830"/>
        <item sd="0" x="21831"/>
        <item sd="0" x="21832"/>
        <item sd="0" x="21833"/>
        <item sd="0" x="21834"/>
        <item sd="0" x="21835"/>
        <item sd="0" x="21836"/>
        <item sd="0" x="21837"/>
        <item sd="0" x="21838"/>
        <item sd="0" x="21839"/>
        <item sd="0" x="21840"/>
        <item sd="0" x="21841"/>
        <item sd="0" x="21842"/>
        <item sd="0" x="21843"/>
        <item sd="0" x="21844"/>
        <item sd="0" x="21845"/>
        <item sd="0" x="21846"/>
        <item sd="0" x="21847"/>
        <item sd="0" x="21848"/>
        <item sd="0" x="21849"/>
        <item sd="0" x="21850"/>
        <item sd="0" x="21851"/>
        <item sd="0" x="21852"/>
        <item sd="0" x="21853"/>
        <item sd="0" x="21854"/>
        <item sd="0" x="21855"/>
        <item sd="0" x="21856"/>
        <item sd="0" x="21857"/>
        <item sd="0" x="21858"/>
        <item sd="0" x="21859"/>
        <item sd="0" x="21860"/>
        <item sd="0" x="21861"/>
        <item sd="0" x="21862"/>
        <item sd="0" x="21863"/>
        <item sd="0" x="21864"/>
        <item sd="0" x="21865"/>
        <item sd="0" x="21866"/>
        <item sd="0" x="21867"/>
        <item sd="0" x="21868"/>
        <item sd="0" x="21869"/>
        <item sd="0" x="21870"/>
        <item sd="0" x="21871"/>
        <item sd="0" x="21872"/>
        <item sd="0" x="21873"/>
        <item sd="0" x="21874"/>
        <item sd="0" x="21875"/>
        <item sd="0" x="21876"/>
        <item sd="0" x="21877"/>
        <item sd="0" x="21878"/>
        <item sd="0" x="21879"/>
        <item sd="0" x="21880"/>
        <item sd="0" x="21881"/>
        <item sd="0" x="21882"/>
        <item sd="0" x="21883"/>
        <item sd="0" x="21884"/>
        <item sd="0" x="21885"/>
        <item sd="0" x="21886"/>
        <item sd="0" x="21887"/>
        <item sd="0" x="21888"/>
        <item sd="0" x="21889"/>
        <item sd="0" x="21890"/>
        <item sd="0" x="21891"/>
        <item sd="0" x="21892"/>
        <item sd="0" x="21893"/>
        <item sd="0" x="21894"/>
        <item sd="0" x="21895"/>
        <item sd="0" x="21896"/>
        <item sd="0" x="21897"/>
        <item sd="0" x="21898"/>
        <item sd="0" x="21899"/>
        <item sd="0" x="21900"/>
        <item sd="0" x="21901"/>
        <item sd="0" x="21902"/>
        <item sd="0" x="21903"/>
        <item sd="0" x="21904"/>
        <item sd="0" x="21905"/>
        <item sd="0" x="21906"/>
        <item sd="0" x="21907"/>
        <item sd="0" x="21908"/>
        <item sd="0" x="21909"/>
        <item sd="0" x="21910"/>
        <item sd="0" x="21911"/>
        <item sd="0" x="21912"/>
        <item sd="0" x="21913"/>
        <item sd="0" x="21914"/>
        <item sd="0" x="21915"/>
        <item sd="0" x="21916"/>
        <item sd="0" x="21917"/>
        <item sd="0" x="21918"/>
        <item sd="0" x="21919"/>
        <item sd="0" x="21920"/>
        <item sd="0" x="21921"/>
        <item sd="0" x="21922"/>
        <item sd="0" x="21923"/>
        <item sd="0" x="21924"/>
        <item sd="0" x="21925"/>
        <item sd="0" x="21926"/>
        <item sd="0" x="21927"/>
        <item sd="0" x="21928"/>
        <item sd="0" x="21929"/>
        <item sd="0" x="21930"/>
        <item sd="0" x="21931"/>
        <item sd="0" x="21932"/>
        <item sd="0" x="21933"/>
        <item sd="0" x="21934"/>
        <item sd="0" x="21935"/>
        <item sd="0" x="21936"/>
        <item sd="0" x="21937"/>
        <item sd="0" x="21938"/>
        <item sd="0" x="21939"/>
        <item sd="0" x="21940"/>
        <item sd="0" x="21941"/>
        <item sd="0" x="21942"/>
        <item sd="0" x="21943"/>
        <item sd="0" x="21944"/>
        <item sd="0" x="21945"/>
        <item sd="0" x="21946"/>
        <item sd="0" x="21947"/>
        <item sd="0" x="21948"/>
        <item sd="0" x="21949"/>
        <item sd="0" x="21950"/>
        <item sd="0" x="21951"/>
        <item sd="0" x="21952"/>
        <item sd="0" x="21953"/>
        <item sd="0" x="21954"/>
        <item sd="0" x="21955"/>
        <item sd="0" x="21956"/>
        <item sd="0" x="21957"/>
        <item sd="0" x="21958"/>
        <item sd="0" x="21959"/>
        <item sd="0" x="21960"/>
        <item sd="0" x="21961"/>
        <item sd="0" x="21962"/>
        <item sd="0" x="21963"/>
        <item sd="0" x="21964"/>
        <item sd="0" x="21965"/>
        <item sd="0" x="21966"/>
        <item sd="0" x="21967"/>
        <item sd="0" x="21968"/>
        <item sd="0" x="21969"/>
        <item sd="0" x="21970"/>
        <item sd="0" x="21971"/>
        <item sd="0" x="21972"/>
        <item sd="0" x="21973"/>
        <item sd="0" x="21974"/>
        <item sd="0" x="21975"/>
        <item sd="0" x="21976"/>
        <item sd="0" x="21977"/>
        <item sd="0" x="21978"/>
        <item sd="0" x="21979"/>
        <item sd="0" x="21980"/>
        <item sd="0" x="21981"/>
        <item sd="0" x="21982"/>
        <item sd="0" x="21983"/>
        <item sd="0" x="21984"/>
        <item sd="0" x="21985"/>
        <item sd="0" x="21986"/>
        <item sd="0" x="21987"/>
        <item sd="0" x="21988"/>
        <item sd="0" x="21989"/>
        <item sd="0" x="21990"/>
        <item sd="0" x="21991"/>
        <item sd="0" x="21992"/>
        <item sd="0" x="21993"/>
        <item sd="0" x="21994"/>
        <item sd="0" x="21995"/>
        <item sd="0" x="21996"/>
        <item sd="0" x="21997"/>
        <item sd="0" x="21998"/>
        <item sd="0" x="21999"/>
        <item sd="0" x="22000"/>
        <item sd="0" x="22001"/>
        <item sd="0" x="22002"/>
        <item sd="0" x="22003"/>
        <item sd="0" x="22004"/>
        <item sd="0" x="22005"/>
        <item sd="0" x="22006"/>
        <item sd="0" x="22007"/>
        <item sd="0" x="22008"/>
        <item sd="0" x="22009"/>
        <item sd="0" x="22010"/>
        <item sd="0" x="22011"/>
        <item sd="0" x="22012"/>
        <item sd="0" x="22013"/>
        <item sd="0" x="22014"/>
        <item sd="0" x="22015"/>
        <item sd="0" x="22016"/>
        <item sd="0" x="22017"/>
        <item sd="0" x="22018"/>
        <item sd="0" x="22019"/>
        <item sd="0" x="22020"/>
        <item sd="0" x="22021"/>
        <item sd="0" x="22022"/>
        <item sd="0" x="22023"/>
        <item sd="0" x="22024"/>
        <item sd="0" x="22025"/>
        <item sd="0" x="22026"/>
        <item sd="0" x="22027"/>
        <item sd="0" x="22028"/>
        <item sd="0" x="22029"/>
        <item sd="0" x="22030"/>
        <item sd="0" x="22031"/>
        <item sd="0" x="22032"/>
        <item sd="0" x="22033"/>
        <item sd="0" x="22034"/>
        <item sd="0" x="22035"/>
        <item sd="0" x="22036"/>
        <item sd="0" x="22037"/>
        <item sd="0" x="22038"/>
        <item sd="0" x="22039"/>
        <item sd="0" x="22040"/>
        <item sd="0" x="22041"/>
        <item sd="0" x="22042"/>
        <item sd="0" x="22043"/>
        <item sd="0" x="22044"/>
        <item sd="0" x="22045"/>
        <item sd="0" x="22046"/>
        <item sd="0" x="22047"/>
        <item sd="0" x="22048"/>
        <item sd="0" x="22049"/>
        <item sd="0" x="22050"/>
        <item sd="0" x="22051"/>
        <item sd="0" x="22052"/>
        <item sd="0" x="22053"/>
        <item sd="0" x="22054"/>
        <item sd="0" x="22055"/>
        <item sd="0" x="22056"/>
        <item sd="0" x="22057"/>
        <item sd="0" x="22058"/>
        <item sd="0" x="22059"/>
        <item sd="0" x="22060"/>
        <item sd="0" x="22061"/>
        <item sd="0" x="22062"/>
        <item sd="0" x="22063"/>
        <item sd="0" x="22064"/>
        <item sd="0" x="22065"/>
        <item sd="0" x="22066"/>
        <item sd="0" x="22067"/>
        <item sd="0" x="22068"/>
        <item sd="0" x="22069"/>
        <item sd="0" x="22070"/>
        <item sd="0" x="22071"/>
        <item sd="0" x="22072"/>
        <item sd="0" x="22073"/>
        <item sd="0" x="22074"/>
        <item sd="0" x="22075"/>
        <item sd="0" x="22076"/>
        <item sd="0" x="22077"/>
        <item sd="0" x="22078"/>
        <item sd="0" x="22079"/>
        <item sd="0" x="22080"/>
        <item sd="0" x="22081"/>
        <item sd="0" x="22082"/>
        <item sd="0" x="22083"/>
        <item sd="0" x="22084"/>
        <item sd="0" x="22085"/>
        <item sd="0" x="22086"/>
        <item sd="0" x="22087"/>
        <item sd="0" x="22088"/>
        <item sd="0" x="22089"/>
        <item sd="0" x="22090"/>
        <item sd="0" x="22091"/>
        <item sd="0" x="22092"/>
        <item sd="0" x="22093"/>
        <item sd="0" x="22094"/>
        <item sd="0" x="22095"/>
        <item sd="0" x="22096"/>
        <item sd="0" x="22097"/>
        <item sd="0" x="22098"/>
        <item sd="0" x="22099"/>
        <item sd="0" x="22100"/>
        <item sd="0" x="22101"/>
        <item sd="0" x="22102"/>
        <item sd="0" x="22103"/>
        <item sd="0" x="22104"/>
        <item sd="0" x="22105"/>
        <item sd="0" x="22106"/>
        <item sd="0" x="22107"/>
        <item sd="0" x="22108"/>
        <item sd="0" x="22109"/>
        <item sd="0" x="22110"/>
        <item sd="0" x="22111"/>
        <item sd="0" x="22112"/>
        <item sd="0" x="22113"/>
        <item sd="0" x="22114"/>
        <item sd="0" x="22115"/>
        <item sd="0" x="22116"/>
        <item sd="0" x="22117"/>
        <item sd="0" x="22118"/>
        <item sd="0" x="22119"/>
        <item sd="0" x="22120"/>
        <item sd="0" x="22121"/>
        <item sd="0" x="22122"/>
        <item sd="0" x="22123"/>
        <item sd="0" x="22124"/>
        <item sd="0" x="22125"/>
        <item sd="0" x="22126"/>
        <item sd="0" x="22127"/>
        <item sd="0" x="22128"/>
        <item sd="0" x="22129"/>
        <item sd="0" x="22130"/>
        <item sd="0" x="22131"/>
        <item sd="0" x="22132"/>
        <item sd="0" x="22133"/>
        <item sd="0" x="22134"/>
        <item sd="0" x="22135"/>
        <item sd="0" x="22136"/>
        <item sd="0" x="22137"/>
        <item sd="0" x="22138"/>
        <item sd="0" x="22139"/>
        <item sd="0" x="22140"/>
        <item sd="0" x="22141"/>
        <item sd="0" x="22142"/>
        <item sd="0" x="22143"/>
        <item sd="0" x="22144"/>
        <item sd="0" x="22145"/>
        <item sd="0" x="22146"/>
        <item sd="0" x="22147"/>
        <item sd="0" x="22148"/>
        <item sd="0" x="22149"/>
        <item sd="0" x="22150"/>
        <item sd="0" x="22151"/>
        <item sd="0" x="22152"/>
        <item sd="0" x="22153"/>
        <item sd="0" x="22154"/>
        <item sd="0" x="22155"/>
        <item sd="0" x="22156"/>
        <item sd="0" x="22157"/>
        <item sd="0" x="22158"/>
        <item sd="0" x="22159"/>
        <item sd="0" x="22160"/>
        <item sd="0" x="22161"/>
        <item sd="0" x="22162"/>
        <item sd="0" x="22163"/>
        <item sd="0" x="22164"/>
        <item sd="0" x="22165"/>
        <item sd="0" x="22166"/>
        <item sd="0" x="22167"/>
        <item sd="0" x="22168"/>
        <item sd="0" x="22169"/>
        <item sd="0" x="22170"/>
        <item sd="0" x="22171"/>
        <item sd="0" x="22172"/>
        <item sd="0" x="22173"/>
        <item sd="0" x="22174"/>
        <item sd="0" x="22175"/>
        <item sd="0" x="22176"/>
        <item sd="0" x="22177"/>
        <item sd="0" x="22178"/>
        <item sd="0" x="22179"/>
        <item sd="0" x="22180"/>
        <item sd="0" x="22181"/>
        <item sd="0" x="22182"/>
        <item sd="0" x="22183"/>
        <item sd="0" x="22184"/>
        <item sd="0" x="22185"/>
        <item sd="0" x="22186"/>
        <item sd="0" x="22187"/>
        <item sd="0" x="22188"/>
        <item sd="0" x="22189"/>
        <item sd="0" x="22190"/>
        <item sd="0" x="22191"/>
        <item sd="0" x="22192"/>
        <item sd="0" x="22193"/>
        <item sd="0" x="22194"/>
        <item sd="0" x="22195"/>
        <item sd="0" x="22196"/>
        <item sd="0" x="22197"/>
        <item sd="0" x="22198"/>
        <item sd="0" x="22199"/>
        <item sd="0" x="22200"/>
        <item sd="0" x="22201"/>
        <item sd="0" x="22202"/>
        <item sd="0" x="22203"/>
        <item sd="0" x="22204"/>
        <item sd="0" x="22205"/>
        <item sd="0" x="22206"/>
        <item sd="0" x="22207"/>
        <item sd="0" x="22208"/>
        <item sd="0" x="22209"/>
        <item sd="0" x="22210"/>
        <item sd="0" x="22211"/>
        <item sd="0" x="22212"/>
        <item sd="0" x="22213"/>
        <item sd="0" x="22214"/>
        <item sd="0" x="22215"/>
        <item sd="0" x="22216"/>
        <item sd="0" x="22217"/>
        <item sd="0" x="22218"/>
        <item sd="0" x="22219"/>
        <item sd="0" x="22220"/>
        <item sd="0" x="22221"/>
        <item sd="0" x="22222"/>
        <item sd="0" x="22223"/>
        <item sd="0" x="22224"/>
        <item sd="0" x="22225"/>
        <item sd="0" x="22226"/>
        <item sd="0" x="22227"/>
        <item sd="0" x="22228"/>
        <item sd="0" x="22229"/>
        <item sd="0" x="22230"/>
        <item sd="0" x="22231"/>
        <item sd="0" x="22232"/>
        <item sd="0" x="22233"/>
        <item sd="0" x="22234"/>
        <item sd="0" x="22235"/>
        <item sd="0" x="22236"/>
        <item sd="0" x="22237"/>
        <item sd="0" x="22238"/>
        <item sd="0" x="22239"/>
        <item sd="0" x="22240"/>
        <item sd="0" x="22241"/>
        <item sd="0" x="22242"/>
        <item sd="0" x="22243"/>
        <item sd="0" x="22244"/>
        <item sd="0" x="22245"/>
        <item sd="0" x="22246"/>
        <item sd="0" x="22247"/>
        <item sd="0" x="22248"/>
        <item sd="0" x="22249"/>
        <item sd="0" x="22250"/>
        <item sd="0" x="22251"/>
        <item sd="0" x="22252"/>
        <item sd="0" x="22253"/>
        <item sd="0" x="22254"/>
        <item sd="0" x="22255"/>
        <item sd="0" x="22256"/>
        <item sd="0" x="22257"/>
        <item sd="0" x="22258"/>
        <item sd="0" x="22259"/>
        <item sd="0" x="22260"/>
        <item sd="0" x="22261"/>
        <item sd="0" x="22262"/>
        <item sd="0" x="22263"/>
        <item sd="0" x="22264"/>
        <item sd="0" x="22265"/>
        <item sd="0" x="22266"/>
        <item sd="0" x="22267"/>
        <item sd="0" x="22268"/>
        <item sd="0" x="22269"/>
        <item sd="0" x="22270"/>
        <item sd="0" x="22271"/>
        <item sd="0" x="22272"/>
        <item sd="0" x="22273"/>
        <item sd="0" x="22274"/>
        <item sd="0" x="22275"/>
        <item sd="0" x="22276"/>
        <item sd="0" x="22277"/>
        <item sd="0" x="22278"/>
        <item sd="0" x="22279"/>
        <item sd="0" x="22280"/>
        <item sd="0" x="22281"/>
        <item sd="0" x="22282"/>
        <item sd="0" x="22283"/>
        <item sd="0" x="22284"/>
        <item sd="0" x="22285"/>
        <item sd="0" x="22286"/>
        <item sd="0" x="22287"/>
        <item sd="0" x="22288"/>
        <item sd="0" x="22289"/>
        <item sd="0" x="22290"/>
        <item sd="0" x="22291"/>
        <item sd="0" x="22292"/>
        <item sd="0" x="22293"/>
        <item sd="0" x="22294"/>
        <item sd="0" x="22295"/>
        <item sd="0" x="22296"/>
        <item sd="0" x="22297"/>
        <item sd="0" x="22298"/>
        <item sd="0" x="22299"/>
        <item sd="0" x="22300"/>
        <item sd="0" x="22301"/>
        <item sd="0" x="22302"/>
        <item sd="0" x="22303"/>
        <item sd="0" x="22304"/>
        <item sd="0" x="22305"/>
        <item sd="0" x="22306"/>
        <item sd="0" x="22307"/>
        <item sd="0" x="22308"/>
        <item sd="0" x="22309"/>
        <item sd="0" x="22310"/>
        <item sd="0" x="22311"/>
        <item sd="0" x="22312"/>
        <item sd="0" x="22313"/>
        <item sd="0" x="22314"/>
        <item sd="0" x="22315"/>
        <item sd="0" x="22316"/>
        <item sd="0" x="22317"/>
        <item sd="0" x="22318"/>
        <item sd="0" x="22319"/>
        <item sd="0" x="22320"/>
        <item sd="0" x="22321"/>
        <item sd="0" x="22322"/>
        <item sd="0" x="22323"/>
        <item sd="0" x="22324"/>
        <item sd="0" x="22325"/>
        <item sd="0" x="22326"/>
        <item sd="0" x="22327"/>
        <item sd="0" x="22328"/>
        <item sd="0" x="22329"/>
        <item sd="0" x="22330"/>
        <item sd="0" x="22331"/>
        <item sd="0" x="22332"/>
        <item sd="0" x="22333"/>
        <item sd="0" x="22334"/>
        <item sd="0" x="22335"/>
        <item sd="0" x="22336"/>
        <item sd="0" x="22337"/>
        <item sd="0" x="22338"/>
        <item sd="0" x="22339"/>
        <item sd="0" x="22340"/>
        <item sd="0" x="22341"/>
        <item sd="0" x="22342"/>
        <item sd="0" x="22343"/>
        <item sd="0" x="22344"/>
        <item sd="0" x="22345"/>
        <item sd="0" x="22346"/>
        <item sd="0" x="22347"/>
        <item sd="0" x="22348"/>
        <item sd="0" x="22349"/>
        <item sd="0" x="22350"/>
        <item sd="0" x="22351"/>
        <item sd="0" x="22352"/>
        <item sd="0" x="22353"/>
        <item sd="0" x="22354"/>
        <item sd="0" x="22355"/>
        <item sd="0" x="22356"/>
        <item sd="0" x="22357"/>
        <item sd="0" x="22358"/>
        <item sd="0" x="22359"/>
        <item sd="0" x="22360"/>
        <item sd="0" x="22361"/>
        <item sd="0" x="22362"/>
        <item sd="0" x="22363"/>
        <item sd="0" x="22364"/>
        <item sd="0" x="22365"/>
        <item sd="0" x="22366"/>
        <item sd="0" x="22367"/>
        <item sd="0" x="22368"/>
        <item sd="0" x="22369"/>
        <item sd="0" x="22370"/>
        <item sd="0" x="22371"/>
        <item sd="0" x="22372"/>
        <item sd="0" x="22373"/>
        <item sd="0" x="22374"/>
        <item sd="0" x="22375"/>
        <item sd="0" x="22376"/>
        <item sd="0" x="22377"/>
        <item sd="0" x="22378"/>
        <item sd="0" x="22379"/>
        <item sd="0" x="22380"/>
        <item sd="0" x="22381"/>
        <item sd="0" x="22382"/>
        <item sd="0" x="22383"/>
        <item sd="0" x="22384"/>
        <item sd="0" x="22385"/>
        <item sd="0" x="22386"/>
        <item sd="0" x="22387"/>
        <item sd="0" x="22388"/>
        <item sd="0" x="22389"/>
        <item sd="0" x="22390"/>
        <item sd="0" x="22391"/>
        <item sd="0" x="22392"/>
        <item sd="0" x="22393"/>
        <item sd="0" x="22394"/>
        <item sd="0" x="22395"/>
        <item sd="0" x="22396"/>
        <item sd="0" x="22397"/>
        <item sd="0" x="22398"/>
        <item sd="0" x="22399"/>
        <item sd="0" x="22400"/>
        <item sd="0" x="22401"/>
        <item sd="0" x="22402"/>
        <item sd="0" x="22403"/>
        <item sd="0" x="22404"/>
        <item sd="0" x="22405"/>
        <item sd="0" x="22406"/>
        <item sd="0" x="22407"/>
        <item sd="0" x="22408"/>
        <item sd="0" x="22409"/>
        <item sd="0" x="22410"/>
        <item sd="0" x="22411"/>
        <item sd="0" x="22412"/>
        <item sd="0" x="22413"/>
        <item sd="0" x="22414"/>
        <item sd="0" x="22415"/>
        <item sd="0" x="22416"/>
        <item sd="0" x="22417"/>
        <item sd="0" x="22418"/>
        <item sd="0" x="22419"/>
        <item sd="0" x="22420"/>
        <item sd="0" x="22421"/>
        <item sd="0" x="22422"/>
        <item sd="0" x="22423"/>
        <item sd="0" x="22424"/>
        <item sd="0" x="22425"/>
        <item sd="0" x="22426"/>
        <item sd="0" x="22427"/>
        <item sd="0" x="22428"/>
        <item sd="0" x="22429"/>
        <item sd="0" x="22430"/>
        <item sd="0" x="22431"/>
        <item sd="0" x="22432"/>
        <item sd="0" x="22433"/>
        <item sd="0" x="22434"/>
        <item sd="0" x="22435"/>
        <item sd="0" x="22436"/>
        <item sd="0" x="22437"/>
        <item sd="0" x="22438"/>
        <item sd="0" x="22439"/>
        <item sd="0" x="22440"/>
        <item sd="0" x="22441"/>
        <item sd="0" x="22442"/>
        <item sd="0" x="22443"/>
        <item sd="0" x="22444"/>
        <item sd="0" x="22445"/>
        <item sd="0" x="22446"/>
        <item sd="0" x="22447"/>
        <item sd="0" x="22448"/>
        <item sd="0" x="22449"/>
        <item sd="0" x="22450"/>
        <item sd="0" x="22451"/>
        <item sd="0" x="22452"/>
        <item sd="0" x="22453"/>
        <item sd="0" x="22454"/>
        <item sd="0" x="22455"/>
        <item sd="0" x="22456"/>
        <item sd="0" x="22457"/>
        <item sd="0" x="22458"/>
        <item sd="0" x="22459"/>
        <item sd="0" x="22460"/>
        <item sd="0" x="22461"/>
        <item sd="0" x="22462"/>
        <item sd="0" x="22463"/>
        <item sd="0" x="22464"/>
        <item sd="0" x="22465"/>
        <item sd="0" x="22466"/>
        <item sd="0" x="22467"/>
        <item sd="0" x="22468"/>
        <item sd="0" x="22469"/>
        <item sd="0" x="22470"/>
        <item sd="0" x="22471"/>
        <item sd="0" x="22472"/>
        <item sd="0" x="22473"/>
        <item sd="0" x="22474"/>
        <item sd="0" x="22475"/>
        <item sd="0" x="22476"/>
        <item sd="0" x="22477"/>
        <item sd="0" x="22478"/>
        <item sd="0" x="22479"/>
        <item sd="0" x="22480"/>
        <item sd="0" x="22481"/>
        <item sd="0" x="22482"/>
        <item sd="0" x="22483"/>
        <item sd="0" x="22484"/>
        <item sd="0" x="22485"/>
        <item sd="0" x="22486"/>
        <item sd="0" x="22487"/>
        <item sd="0" x="22488"/>
        <item sd="0" x="22489"/>
        <item sd="0" x="22490"/>
        <item sd="0" x="22491"/>
        <item sd="0" x="22492"/>
        <item sd="0" x="22493"/>
        <item sd="0" x="22494"/>
        <item sd="0" x="22495"/>
        <item sd="0" x="22496"/>
        <item sd="0" x="22497"/>
        <item sd="0" x="22498"/>
        <item sd="0" x="22499"/>
        <item sd="0" x="22500"/>
        <item sd="0" x="22501"/>
        <item sd="0" x="22502"/>
        <item sd="0" x="22503"/>
        <item sd="0" x="22504"/>
        <item sd="0" x="22505"/>
        <item sd="0" x="22506"/>
        <item sd="0" x="22507"/>
        <item sd="0" x="22508"/>
        <item sd="0" x="22509"/>
        <item sd="0" x="22510"/>
        <item sd="0" x="22511"/>
        <item sd="0" x="22512"/>
        <item sd="0" x="22513"/>
        <item sd="0" x="22514"/>
        <item sd="0" x="22515"/>
        <item sd="0" x="22516"/>
        <item sd="0" x="22517"/>
        <item sd="0" x="22518"/>
        <item sd="0" x="22519"/>
        <item sd="0" x="22520"/>
        <item sd="0" x="22521"/>
        <item sd="0" x="22522"/>
        <item sd="0" x="22523"/>
        <item sd="0" x="22524"/>
        <item sd="0" x="22525"/>
        <item sd="0" x="22526"/>
        <item sd="0" x="22527"/>
        <item sd="0" x="22528"/>
        <item sd="0" x="22529"/>
        <item sd="0" x="22530"/>
        <item sd="0" x="22531"/>
        <item sd="0" x="22532"/>
        <item sd="0" x="22533"/>
        <item sd="0" x="22534"/>
        <item sd="0" x="22535"/>
        <item sd="0" x="22536"/>
        <item sd="0" x="22537"/>
        <item sd="0" x="22538"/>
        <item sd="0" x="22539"/>
        <item sd="0" x="22540"/>
        <item sd="0" x="22541"/>
        <item sd="0" x="22542"/>
        <item sd="0" x="22543"/>
        <item sd="0" x="22544"/>
        <item sd="0" x="22545"/>
        <item sd="0" x="22546"/>
        <item sd="0" x="22547"/>
        <item sd="0" x="22548"/>
        <item sd="0" x="22549"/>
        <item sd="0" x="22550"/>
        <item sd="0" x="22551"/>
        <item sd="0" x="22552"/>
        <item sd="0" x="22553"/>
        <item sd="0" x="22554"/>
        <item sd="0" x="22555"/>
        <item sd="0" x="22556"/>
        <item sd="0" x="22557"/>
        <item sd="0" x="22558"/>
        <item sd="0" x="22559"/>
        <item sd="0" x="22560"/>
        <item sd="0" x="22561"/>
        <item sd="0" x="22562"/>
        <item sd="0" x="22563"/>
        <item sd="0" x="22564"/>
        <item sd="0" x="22565"/>
        <item sd="0" x="22566"/>
        <item sd="0" x="22567"/>
        <item sd="0" x="22568"/>
        <item sd="0" x="22569"/>
        <item sd="0" x="22570"/>
        <item sd="0" x="22571"/>
        <item sd="0" x="22572"/>
        <item sd="0" x="22573"/>
        <item sd="0" x="22574"/>
        <item sd="0" x="22575"/>
        <item sd="0" x="22576"/>
        <item sd="0" x="22577"/>
        <item sd="0" x="22578"/>
        <item sd="0" x="22579"/>
        <item sd="0" x="22580"/>
        <item sd="0" x="22581"/>
        <item sd="0" x="22582"/>
        <item sd="0" x="22583"/>
        <item sd="0" x="22584"/>
        <item sd="0" x="22585"/>
        <item sd="0" x="22586"/>
        <item sd="0" x="22587"/>
        <item sd="0" x="22588"/>
        <item sd="0" x="22589"/>
        <item sd="0" x="22590"/>
        <item sd="0" x="22591"/>
        <item sd="0" x="22592"/>
        <item sd="0" x="22593"/>
        <item sd="0" x="22594"/>
        <item sd="0" x="22595"/>
        <item sd="0" x="22596"/>
        <item sd="0" x="22597"/>
        <item sd="0" x="22598"/>
        <item sd="0" x="22599"/>
        <item sd="0" x="22600"/>
        <item sd="0" x="22601"/>
        <item sd="0" x="22602"/>
        <item sd="0" x="22603"/>
        <item sd="0" x="22604"/>
        <item sd="0" x="22605"/>
        <item sd="0" x="22606"/>
        <item sd="0" x="22607"/>
        <item sd="0" x="22608"/>
        <item sd="0" x="22609"/>
        <item sd="0" x="22610"/>
        <item sd="0" x="22611"/>
        <item sd="0" x="22612"/>
        <item sd="0" x="22613"/>
        <item sd="0" x="22614"/>
        <item sd="0" x="22615"/>
        <item sd="0" x="22616"/>
        <item sd="0" x="22617"/>
        <item sd="0" x="22618"/>
        <item sd="0" x="22619"/>
        <item sd="0" x="22620"/>
        <item sd="0" x="22621"/>
        <item sd="0" x="22622"/>
        <item sd="0" x="22623"/>
        <item sd="0" x="22624"/>
        <item sd="0" x="22625"/>
        <item sd="0" x="22626"/>
        <item sd="0" x="22627"/>
        <item sd="0" x="22628"/>
        <item sd="0" x="22629"/>
        <item sd="0" x="22630"/>
        <item sd="0" x="22631"/>
        <item sd="0" x="22632"/>
        <item sd="0" x="22633"/>
        <item sd="0" x="22634"/>
        <item sd="0" x="22635"/>
        <item sd="0" x="22636"/>
        <item sd="0" x="22637"/>
        <item sd="0" x="22638"/>
        <item sd="0" x="22639"/>
        <item sd="0" x="22640"/>
        <item sd="0" x="22641"/>
        <item sd="0" x="22642"/>
        <item sd="0" x="22643"/>
        <item sd="0" x="22644"/>
        <item sd="0" x="22645"/>
        <item sd="0" x="22646"/>
        <item sd="0" x="22647"/>
        <item sd="0" x="22648"/>
        <item sd="0" x="22649"/>
        <item sd="0" x="22650"/>
        <item sd="0" x="22651"/>
        <item sd="0" x="22652"/>
        <item sd="0" x="22653"/>
        <item sd="0" x="22654"/>
        <item sd="0" x="22655"/>
        <item sd="0" x="22656"/>
        <item sd="0" x="22657"/>
        <item sd="0" x="22658"/>
        <item sd="0" x="22659"/>
        <item sd="0" x="22660"/>
        <item sd="0" x="22661"/>
        <item sd="0" x="22662"/>
        <item sd="0" x="22663"/>
        <item sd="0" x="22664"/>
        <item sd="0" x="22665"/>
        <item sd="0" x="22666"/>
        <item sd="0" x="22667"/>
        <item sd="0" x="22668"/>
        <item sd="0" x="22669"/>
        <item sd="0" x="22670"/>
        <item sd="0" x="22671"/>
        <item sd="0" x="22672"/>
        <item sd="0" x="22673"/>
        <item sd="0" x="22674"/>
        <item sd="0" x="22675"/>
        <item sd="0" x="22676"/>
        <item sd="0" x="22677"/>
        <item sd="0" x="22678"/>
        <item sd="0" x="22679"/>
        <item sd="0" x="22680"/>
        <item sd="0" x="22681"/>
        <item sd="0" x="22682"/>
        <item sd="0" x="22683"/>
        <item sd="0" x="22684"/>
        <item sd="0" x="22685"/>
        <item sd="0" x="22686"/>
        <item sd="0" x="22687"/>
        <item sd="0" x="22688"/>
        <item sd="0" x="22689"/>
        <item sd="0" x="22690"/>
        <item sd="0" x="22691"/>
        <item sd="0" x="22692"/>
        <item sd="0" x="22693"/>
        <item sd="0" x="22694"/>
        <item sd="0" x="22695"/>
        <item sd="0" x="22696"/>
        <item sd="0" x="22697"/>
        <item sd="0" x="22698"/>
        <item sd="0" x="22699"/>
        <item sd="0" x="22700"/>
        <item sd="0" x="22701"/>
        <item sd="0" x="22702"/>
        <item sd="0" x="22703"/>
        <item sd="0" x="22704"/>
        <item sd="0" x="22705"/>
        <item sd="0" x="22706"/>
        <item sd="0" x="22707"/>
        <item sd="0" x="22708"/>
        <item sd="0" x="22709"/>
        <item sd="0" x="22710"/>
        <item sd="0" x="22711"/>
        <item sd="0" x="22712"/>
        <item sd="0" x="22713"/>
        <item sd="0" x="22714"/>
        <item sd="0" x="22715"/>
        <item sd="0" x="22716"/>
        <item sd="0" x="22717"/>
        <item sd="0" x="22718"/>
        <item sd="0" x="22719"/>
        <item sd="0" x="22720"/>
        <item sd="0" x="22721"/>
        <item sd="0" x="22722"/>
        <item sd="0" x="22723"/>
        <item sd="0" x="22724"/>
        <item sd="0" x="22725"/>
        <item sd="0" x="22726"/>
        <item sd="0" x="22727"/>
        <item sd="0" x="22728"/>
        <item sd="0" x="22729"/>
        <item sd="0" x="22730"/>
        <item sd="0" x="22731"/>
        <item sd="0" x="22732"/>
        <item sd="0" x="22733"/>
        <item sd="0" x="22734"/>
        <item sd="0" x="22735"/>
        <item sd="0" x="22736"/>
        <item sd="0" x="22737"/>
        <item sd="0" x="22738"/>
        <item sd="0" x="22739"/>
        <item sd="0" x="22740"/>
        <item sd="0" x="22741"/>
        <item sd="0" x="22742"/>
        <item sd="0" x="22743"/>
        <item sd="0" x="22744"/>
        <item sd="0" x="22745"/>
        <item sd="0" x="22746"/>
        <item sd="0" x="22747"/>
        <item sd="0" x="22748"/>
        <item sd="0" x="22749"/>
        <item sd="0" x="22750"/>
        <item sd="0" x="22751"/>
        <item sd="0" x="22752"/>
        <item sd="0" x="22753"/>
        <item sd="0" x="22754"/>
        <item sd="0" x="22755"/>
        <item sd="0" x="22756"/>
        <item sd="0" x="22757"/>
        <item sd="0" x="22758"/>
        <item sd="0" x="22759"/>
        <item sd="0" x="22760"/>
        <item sd="0" x="22761"/>
        <item sd="0" x="22762"/>
        <item sd="0" x="22763"/>
        <item sd="0" x="22764"/>
        <item sd="0" x="22765"/>
        <item sd="0" x="22766"/>
        <item sd="0" x="22767"/>
        <item sd="0" x="22768"/>
        <item sd="0" x="22769"/>
        <item sd="0" x="22770"/>
        <item sd="0" x="22771"/>
        <item sd="0" x="22772"/>
        <item sd="0" x="22773"/>
        <item sd="0" x="22774"/>
        <item sd="0" x="22775"/>
        <item sd="0" x="22776"/>
        <item sd="0" x="22777"/>
        <item sd="0" x="22778"/>
        <item sd="0" x="22779"/>
        <item sd="0" x="22780"/>
        <item sd="0" x="22781"/>
        <item sd="0" x="22782"/>
        <item sd="0" x="22783"/>
        <item sd="0" x="22784"/>
        <item sd="0" x="22785"/>
        <item sd="0" x="22786"/>
        <item sd="0" x="22787"/>
        <item sd="0" x="22788"/>
        <item sd="0" x="22789"/>
        <item sd="0" x="22790"/>
        <item sd="0" x="22791"/>
        <item sd="0" x="22792"/>
        <item sd="0" x="22793"/>
        <item sd="0" x="22794"/>
        <item sd="0" x="22795"/>
        <item sd="0" x="22796"/>
        <item sd="0" x="22797"/>
        <item sd="0" x="22798"/>
        <item sd="0" x="22799"/>
        <item sd="0" x="22800"/>
        <item sd="0" x="22801"/>
        <item sd="0" x="22802"/>
        <item sd="0" x="22803"/>
        <item sd="0" x="22804"/>
        <item sd="0" x="22805"/>
        <item sd="0" x="22806"/>
        <item sd="0" x="22807"/>
        <item sd="0" x="22808"/>
        <item sd="0" x="22809"/>
        <item sd="0" x="22810"/>
        <item sd="0" x="22811"/>
        <item sd="0" x="22812"/>
        <item sd="0" x="22813"/>
        <item sd="0" x="22814"/>
        <item sd="0" x="22815"/>
        <item sd="0" x="22816"/>
        <item sd="0" x="22817"/>
        <item sd="0" x="22818"/>
        <item sd="0" x="22819"/>
        <item sd="0" x="22820"/>
        <item sd="0" x="22821"/>
        <item sd="0" x="22822"/>
        <item sd="0" x="22823"/>
        <item sd="0" x="22824"/>
        <item sd="0" x="22825"/>
        <item sd="0" x="22826"/>
        <item sd="0" x="22827"/>
        <item sd="0" x="22828"/>
        <item sd="0" x="22829"/>
        <item sd="0" x="22830"/>
        <item sd="0" x="22831"/>
        <item sd="0" x="22832"/>
        <item sd="0" x="22833"/>
        <item sd="0" x="22834"/>
        <item sd="0" x="22835"/>
        <item sd="0" x="22836"/>
        <item sd="0" x="22837"/>
        <item sd="0" x="22838"/>
        <item sd="0" x="22839"/>
        <item sd="0" x="22840"/>
        <item sd="0" x="22841"/>
        <item sd="0" x="22842"/>
        <item sd="0" x="22843"/>
        <item sd="0" x="22844"/>
        <item sd="0" x="22845"/>
        <item sd="0" x="22846"/>
        <item sd="0" x="22847"/>
        <item sd="0" x="22848"/>
        <item sd="0" x="22849"/>
        <item sd="0" x="22850"/>
        <item sd="0" x="22851"/>
        <item sd="0" x="22852"/>
        <item sd="0" x="22853"/>
        <item sd="0" x="22854"/>
        <item sd="0" x="22855"/>
        <item sd="0" x="22856"/>
        <item sd="0" x="22857"/>
        <item sd="0" x="22858"/>
        <item sd="0" x="22859"/>
        <item sd="0" x="22860"/>
        <item sd="0" x="22861"/>
        <item sd="0" x="22862"/>
        <item sd="0" x="22863"/>
        <item sd="0" x="22864"/>
        <item sd="0" x="22865"/>
        <item sd="0" x="22866"/>
        <item sd="0" x="22867"/>
        <item sd="0" x="22868"/>
        <item sd="0" x="22869"/>
        <item sd="0" x="22870"/>
        <item sd="0" x="22871"/>
        <item sd="0" x="22872"/>
        <item sd="0" x="22873"/>
        <item sd="0" x="22874"/>
        <item sd="0" x="22875"/>
        <item sd="0" x="22876"/>
        <item sd="0" x="22877"/>
        <item sd="0" x="22878"/>
        <item sd="0" x="22879"/>
        <item sd="0" x="22880"/>
        <item sd="0" x="22881"/>
        <item sd="0" x="22882"/>
        <item sd="0" x="22883"/>
        <item sd="0" x="22884"/>
        <item sd="0" x="22885"/>
        <item sd="0" x="22886"/>
        <item sd="0" x="22887"/>
        <item sd="0" x="22888"/>
        <item sd="0" x="22889"/>
        <item sd="0" x="22890"/>
        <item sd="0" x="22891"/>
        <item sd="0" x="22892"/>
        <item sd="0" x="22893"/>
        <item sd="0" x="22894"/>
        <item sd="0" x="22895"/>
        <item sd="0" x="22896"/>
        <item sd="0" x="22897"/>
        <item sd="0" x="22898"/>
        <item sd="0" x="22899"/>
        <item sd="0" x="22900"/>
        <item sd="0" x="22901"/>
        <item sd="0" x="22902"/>
        <item sd="0" x="22903"/>
        <item sd="0" x="22904"/>
        <item sd="0" x="22905"/>
        <item sd="0" x="22906"/>
        <item sd="0" x="22907"/>
        <item sd="0" x="22908"/>
        <item sd="0" x="22909"/>
        <item sd="0" x="22910"/>
        <item sd="0" x="22911"/>
        <item sd="0" x="22912"/>
        <item sd="0" x="22913"/>
        <item sd="0" x="22914"/>
        <item sd="0" x="22915"/>
        <item sd="0" x="22916"/>
        <item sd="0" x="22917"/>
        <item sd="0" x="22918"/>
        <item sd="0" x="22919"/>
        <item sd="0" x="22920"/>
        <item sd="0" x="22921"/>
        <item sd="0" x="22922"/>
        <item sd="0" x="22923"/>
        <item sd="0" x="22924"/>
        <item sd="0" x="22925"/>
        <item sd="0" x="22926"/>
        <item sd="0" x="22927"/>
        <item sd="0" x="22928"/>
        <item sd="0" x="22929"/>
        <item sd="0" x="22930"/>
        <item sd="0" x="22931"/>
        <item sd="0" x="22932"/>
        <item sd="0" x="22933"/>
        <item sd="0" x="22934"/>
        <item sd="0" x="22935"/>
        <item sd="0" x="22936"/>
        <item sd="0" x="22937"/>
        <item sd="0" x="22938"/>
        <item sd="0" x="22939"/>
        <item sd="0" x="22940"/>
        <item sd="0" x="22941"/>
        <item sd="0" x="22942"/>
        <item sd="0" x="22943"/>
        <item sd="0" x="22944"/>
        <item sd="0" x="22945"/>
        <item sd="0" x="22946"/>
        <item sd="0" x="22947"/>
        <item sd="0" x="22948"/>
        <item sd="0" x="22949"/>
        <item sd="0" x="22950"/>
        <item sd="0" x="22951"/>
        <item sd="0" x="22952"/>
        <item sd="0" x="22953"/>
        <item sd="0" x="22954"/>
        <item sd="0" x="22955"/>
        <item sd="0" x="22956"/>
        <item sd="0" x="22957"/>
        <item sd="0" x="22958"/>
        <item sd="0" x="22959"/>
        <item sd="0" x="22960"/>
        <item sd="0" x="22961"/>
        <item sd="0" x="22962"/>
        <item sd="0" x="22963"/>
        <item sd="0" x="22964"/>
        <item sd="0" x="22965"/>
        <item sd="0" x="22966"/>
        <item sd="0" x="22967"/>
        <item sd="0" x="22968"/>
        <item sd="0" x="22969"/>
        <item sd="0" x="22970"/>
        <item sd="0" x="22971"/>
        <item sd="0" x="22972"/>
        <item sd="0" x="22973"/>
        <item sd="0" x="22974"/>
        <item sd="0" x="22975"/>
        <item sd="0" x="22976"/>
        <item sd="0" x="22977"/>
        <item sd="0" x="22978"/>
        <item sd="0" x="22979"/>
        <item sd="0" x="22980"/>
        <item sd="0" x="22981"/>
        <item sd="0" x="22982"/>
        <item sd="0" x="22983"/>
        <item sd="0" x="22984"/>
        <item sd="0" x="22985"/>
        <item sd="0" x="22986"/>
        <item sd="0" x="22987"/>
        <item sd="0" x="22988"/>
        <item sd="0" x="22989"/>
        <item sd="0" x="22990"/>
        <item sd="0" x="22991"/>
        <item sd="0" x="22992"/>
        <item sd="0" x="22993"/>
        <item sd="0" x="22994"/>
        <item sd="0" x="22995"/>
        <item sd="0" x="22996"/>
        <item sd="0" x="22997"/>
        <item sd="0" x="22998"/>
        <item sd="0" x="22999"/>
        <item sd="0" x="23000"/>
        <item sd="0" x="23001"/>
        <item sd="0" x="23002"/>
        <item sd="0" x="23003"/>
        <item sd="0" x="23004"/>
        <item sd="0" x="23005"/>
        <item sd="0" x="23006"/>
        <item sd="0" x="23007"/>
        <item sd="0" x="23008"/>
        <item sd="0" x="23009"/>
        <item sd="0" x="23010"/>
        <item sd="0" x="23011"/>
        <item sd="0" x="23012"/>
        <item sd="0" x="23013"/>
        <item sd="0" x="23014"/>
        <item sd="0" x="23015"/>
        <item sd="0" x="23016"/>
        <item sd="0" x="23017"/>
        <item sd="0" x="23018"/>
        <item sd="0" x="23019"/>
        <item sd="0" x="23020"/>
        <item sd="0" x="23021"/>
        <item sd="0" x="23022"/>
        <item sd="0" x="23023"/>
        <item sd="0" x="23024"/>
        <item sd="0" x="23025"/>
        <item sd="0" x="23026"/>
        <item sd="0" x="23027"/>
        <item sd="0" x="23028"/>
        <item sd="0" x="23029"/>
        <item sd="0" x="23030"/>
        <item sd="0" x="23031"/>
        <item sd="0" x="23032"/>
        <item sd="0" x="23033"/>
        <item sd="0" x="23034"/>
        <item sd="0" x="23035"/>
        <item sd="0" x="23036"/>
        <item sd="0" x="23037"/>
        <item sd="0" x="23038"/>
        <item sd="0" x="23039"/>
        <item sd="0" x="23040"/>
        <item sd="0" x="23041"/>
        <item sd="0" x="23042"/>
        <item sd="0" x="23043"/>
        <item sd="0" x="23044"/>
        <item sd="0" x="23045"/>
        <item sd="0" x="23046"/>
        <item sd="0" x="23047"/>
        <item sd="0" x="23048"/>
        <item sd="0" x="23049"/>
        <item sd="0" x="23050"/>
        <item sd="0" x="23051"/>
        <item sd="0" x="23052"/>
        <item sd="0" x="23053"/>
        <item sd="0" x="23054"/>
        <item sd="0" x="23055"/>
        <item sd="0" x="23056"/>
        <item sd="0" x="23057"/>
        <item sd="0" x="23058"/>
        <item sd="0" x="23059"/>
        <item sd="0" x="23060"/>
        <item sd="0" x="23061"/>
        <item sd="0" x="23062"/>
        <item sd="0" x="23063"/>
        <item sd="0" x="23064"/>
        <item sd="0" x="23065"/>
        <item sd="0" x="23066"/>
        <item sd="0" x="23067"/>
        <item sd="0" x="23068"/>
        <item sd="0" x="23069"/>
        <item sd="0" x="23070"/>
        <item sd="0" x="23071"/>
        <item sd="0" x="23072"/>
        <item sd="0" x="23073"/>
        <item sd="0" x="23074"/>
        <item sd="0" x="23075"/>
        <item sd="0" x="23076"/>
        <item sd="0" x="23077"/>
        <item sd="0" x="23078"/>
        <item sd="0" x="23079"/>
        <item sd="0" x="23080"/>
        <item sd="0" x="23081"/>
        <item sd="0" x="23082"/>
        <item sd="0" x="23083"/>
        <item sd="0" x="23084"/>
        <item sd="0" x="23085"/>
        <item sd="0" x="23086"/>
        <item sd="0" x="23087"/>
        <item sd="0" x="23088"/>
        <item sd="0" x="23089"/>
        <item sd="0" x="23090"/>
        <item sd="0" x="23091"/>
        <item sd="0" x="23092"/>
        <item sd="0" x="23093"/>
        <item sd="0" x="23094"/>
        <item sd="0" x="23095"/>
        <item sd="0" x="23096"/>
        <item sd="0" x="23097"/>
        <item sd="0" x="23098"/>
        <item sd="0" x="23099"/>
        <item sd="0" x="23100"/>
        <item sd="0" x="23101"/>
        <item sd="0" x="23102"/>
        <item sd="0" x="23103"/>
        <item sd="0" x="23104"/>
        <item sd="0" x="23105"/>
        <item sd="0" x="23106"/>
        <item sd="0" x="23107"/>
        <item sd="0" x="23108"/>
        <item sd="0" x="23109"/>
        <item sd="0" x="23110"/>
        <item sd="0" x="23111"/>
        <item sd="0" x="23112"/>
        <item sd="0" x="23113"/>
        <item sd="0" x="23114"/>
        <item sd="0" x="23115"/>
        <item sd="0" x="23116"/>
        <item sd="0" x="23117"/>
        <item sd="0" x="23118"/>
        <item sd="0" x="23119"/>
        <item sd="0" x="23120"/>
        <item sd="0" x="23121"/>
        <item sd="0" x="23122"/>
        <item sd="0" x="23123"/>
        <item sd="0" x="23124"/>
        <item sd="0" x="23125"/>
        <item sd="0" x="23126"/>
        <item sd="0" x="23127"/>
        <item sd="0" x="23128"/>
        <item sd="0" x="23129"/>
        <item sd="0" x="23130"/>
        <item sd="0" x="23131"/>
        <item sd="0" x="23132"/>
        <item sd="0" x="23133"/>
        <item sd="0" x="23134"/>
        <item sd="0" x="23135"/>
        <item sd="0" x="23136"/>
        <item sd="0" x="23137"/>
        <item sd="0" x="23138"/>
        <item sd="0" x="23139"/>
        <item sd="0" x="23140"/>
        <item sd="0" x="23141"/>
        <item sd="0" x="23142"/>
        <item sd="0" x="23143"/>
        <item sd="0" x="23144"/>
        <item sd="0" x="23145"/>
        <item sd="0" x="23146"/>
        <item sd="0" x="23147"/>
        <item sd="0" x="23148"/>
        <item sd="0" x="23149"/>
        <item sd="0" x="23150"/>
        <item sd="0" x="23151"/>
        <item sd="0" x="23152"/>
        <item sd="0" x="23153"/>
        <item sd="0" x="23154"/>
        <item sd="0" x="23155"/>
        <item sd="0" x="23156"/>
        <item sd="0" x="23157"/>
        <item sd="0" x="23158"/>
        <item sd="0" x="23159"/>
        <item sd="0" x="23160"/>
        <item sd="0" x="23161"/>
        <item sd="0" x="23162"/>
        <item sd="0" x="23163"/>
        <item sd="0" x="23164"/>
        <item sd="0" x="23165"/>
        <item sd="0" x="23166"/>
        <item sd="0" x="23167"/>
        <item sd="0" x="23168"/>
        <item sd="0" x="23169"/>
        <item sd="0" x="23170"/>
        <item sd="0" x="23171"/>
        <item sd="0" x="23172"/>
        <item sd="0" x="23173"/>
        <item sd="0" x="23174"/>
        <item sd="0" x="23175"/>
        <item sd="0" x="23176"/>
        <item sd="0" x="23177"/>
        <item sd="0" x="23178"/>
        <item sd="0" x="23179"/>
        <item sd="0" x="23180"/>
        <item sd="0" x="23181"/>
        <item sd="0" x="23182"/>
        <item sd="0" x="23183"/>
        <item sd="0" x="23184"/>
        <item sd="0" x="23185"/>
        <item sd="0" x="23186"/>
        <item sd="0" x="23187"/>
        <item sd="0" x="23188"/>
        <item sd="0" x="23189"/>
        <item sd="0" x="23190"/>
        <item sd="0" x="23191"/>
        <item sd="0" x="23192"/>
        <item sd="0" x="23193"/>
        <item sd="0" x="23194"/>
        <item sd="0" x="23195"/>
        <item sd="0" x="23196"/>
        <item sd="0" x="23197"/>
        <item sd="0" x="23198"/>
        <item sd="0" x="23199"/>
        <item sd="0" x="23200"/>
        <item sd="0" x="23201"/>
        <item sd="0" x="23202"/>
        <item sd="0" x="23203"/>
        <item sd="0" x="23204"/>
        <item sd="0" x="23205"/>
        <item sd="0" x="23206"/>
        <item sd="0" x="23207"/>
        <item sd="0" x="23208"/>
        <item sd="0" x="23209"/>
        <item sd="0" x="23210"/>
        <item sd="0" x="23211"/>
        <item sd="0" x="23212"/>
        <item sd="0" x="23213"/>
        <item sd="0" x="23214"/>
        <item sd="0" x="23215"/>
        <item sd="0" x="23216"/>
        <item sd="0" x="23217"/>
        <item sd="0" x="23218"/>
        <item sd="0" x="23219"/>
        <item sd="0" x="23220"/>
        <item sd="0" x="23221"/>
        <item sd="0" x="23222"/>
        <item sd="0" x="23223"/>
        <item sd="0" x="23224"/>
        <item sd="0" x="23225"/>
        <item sd="0" x="23226"/>
        <item sd="0" x="23227"/>
        <item sd="0" x="23228"/>
        <item sd="0" x="23229"/>
        <item sd="0" x="23230"/>
        <item sd="0" x="23231"/>
        <item sd="0" x="23232"/>
        <item sd="0" x="23233"/>
        <item sd="0" x="23234"/>
        <item sd="0" x="23235"/>
        <item sd="0" x="23236"/>
        <item sd="0" x="23237"/>
        <item sd="0" x="23238"/>
        <item sd="0" x="23239"/>
        <item sd="0" x="23240"/>
        <item sd="0" x="23241"/>
        <item sd="0" x="23242"/>
        <item sd="0" x="23243"/>
        <item sd="0" x="23244"/>
        <item sd="0" x="23245"/>
        <item sd="0" x="23246"/>
        <item sd="0" x="23247"/>
        <item sd="0" x="23248"/>
        <item sd="0" x="23249"/>
        <item sd="0" x="23250"/>
        <item sd="0" x="23251"/>
        <item sd="0" x="23252"/>
        <item sd="0" x="23253"/>
        <item sd="0" x="23254"/>
        <item sd="0" x="23255"/>
        <item sd="0" x="23256"/>
        <item sd="0" x="23257"/>
        <item sd="0" x="23258"/>
        <item sd="0" x="23259"/>
        <item sd="0" x="23260"/>
        <item sd="0" x="23261"/>
        <item sd="0" x="23262"/>
        <item sd="0" x="23263"/>
        <item sd="0" x="23264"/>
        <item sd="0" x="23265"/>
        <item sd="0" x="23266"/>
        <item sd="0" x="23267"/>
        <item sd="0" x="23268"/>
        <item sd="0" x="23269"/>
        <item sd="0" x="23270"/>
        <item sd="0" x="23271"/>
        <item sd="0" x="23272"/>
        <item sd="0" x="23273"/>
        <item sd="0" x="23274"/>
        <item sd="0" x="23275"/>
        <item sd="0" x="23276"/>
        <item sd="0" x="23277"/>
        <item sd="0" x="23278"/>
        <item sd="0" x="23279"/>
        <item sd="0" x="23280"/>
        <item sd="0" x="23281"/>
        <item sd="0" x="23282"/>
        <item sd="0" x="23283"/>
        <item sd="0" x="23284"/>
        <item sd="0" x="23285"/>
        <item sd="0" x="23286"/>
        <item sd="0" x="23287"/>
        <item sd="0" x="23288"/>
        <item sd="0" x="23289"/>
        <item sd="0" x="23290"/>
        <item sd="0" x="23291"/>
        <item sd="0" x="23292"/>
        <item sd="0" x="23293"/>
        <item sd="0" x="23294"/>
        <item sd="0" x="23295"/>
        <item sd="0" x="23296"/>
        <item sd="0" x="23297"/>
        <item sd="0" x="23298"/>
        <item sd="0" x="23299"/>
        <item sd="0" x="23300"/>
        <item sd="0" x="23301"/>
        <item sd="0" x="23302"/>
        <item sd="0" x="23303"/>
        <item sd="0" x="23304"/>
        <item sd="0" x="23305"/>
        <item sd="0" x="23306"/>
        <item sd="0" x="23307"/>
        <item sd="0" x="23308"/>
        <item sd="0" x="23309"/>
        <item sd="0" x="23310"/>
        <item sd="0" x="23311"/>
        <item sd="0" x="23312"/>
        <item sd="0" x="23313"/>
        <item sd="0" x="23314"/>
        <item sd="0" x="23315"/>
        <item sd="0" x="23316"/>
        <item sd="0" x="23317"/>
        <item sd="0" x="23318"/>
        <item sd="0" x="23319"/>
        <item sd="0" x="23320"/>
        <item sd="0" x="23321"/>
        <item sd="0" x="23322"/>
        <item sd="0" x="23323"/>
        <item sd="0" x="23324"/>
        <item sd="0" x="23325"/>
        <item sd="0" x="23326"/>
        <item sd="0" x="23327"/>
        <item sd="0" x="23328"/>
        <item sd="0" x="23329"/>
        <item sd="0" x="23330"/>
        <item sd="0" x="23331"/>
        <item sd="0" x="23332"/>
        <item sd="0" x="23333"/>
        <item sd="0" x="23334"/>
        <item sd="0" x="23335"/>
        <item sd="0" x="23336"/>
        <item sd="0" x="23337"/>
        <item sd="0" x="23338"/>
        <item sd="0" x="23339"/>
        <item sd="0" x="23340"/>
        <item sd="0" x="23341"/>
        <item sd="0" x="23342"/>
        <item sd="0" x="23343"/>
        <item sd="0" x="23344"/>
        <item sd="0" x="23345"/>
        <item sd="0" x="23346"/>
        <item sd="0" x="23347"/>
        <item sd="0" x="23348"/>
        <item sd="0" x="23349"/>
        <item sd="0" x="23350"/>
        <item sd="0" x="23351"/>
        <item sd="0" x="23352"/>
        <item sd="0" x="23353"/>
        <item sd="0" x="23354"/>
        <item sd="0" x="23355"/>
        <item sd="0" x="23356"/>
        <item sd="0" x="23357"/>
        <item sd="0" x="23358"/>
        <item sd="0" x="23359"/>
        <item sd="0" x="23360"/>
        <item sd="0" x="23361"/>
        <item sd="0" x="23362"/>
        <item sd="0" x="23363"/>
        <item sd="0" x="23364"/>
        <item sd="0" x="23365"/>
        <item sd="0" x="23366"/>
        <item sd="0" x="23367"/>
        <item sd="0" x="23368"/>
        <item sd="0" x="23369"/>
        <item sd="0" x="23370"/>
        <item sd="0" x="23371"/>
        <item sd="0" x="23372"/>
        <item sd="0" x="23373"/>
        <item sd="0" x="23374"/>
        <item sd="0" x="23375"/>
        <item sd="0" x="23376"/>
        <item sd="0" x="23377"/>
        <item sd="0" x="23378"/>
        <item sd="0" x="23379"/>
        <item sd="0" x="23380"/>
        <item sd="0" x="23381"/>
        <item sd="0" x="23382"/>
        <item sd="0" x="23383"/>
        <item sd="0" x="23384"/>
        <item sd="0" x="23385"/>
        <item sd="0" x="23386"/>
        <item sd="0" x="23387"/>
        <item sd="0" x="23388"/>
        <item sd="0" x="23389"/>
        <item sd="0" x="23390"/>
        <item sd="0" x="23391"/>
        <item sd="0" x="23392"/>
        <item sd="0" x="23393"/>
        <item sd="0" x="23394"/>
        <item sd="0" x="23395"/>
        <item sd="0" x="23396"/>
        <item sd="0" x="23397"/>
        <item sd="0" x="23398"/>
        <item sd="0" x="23399"/>
        <item sd="0" x="23400"/>
        <item sd="0" x="23401"/>
        <item sd="0" x="23402"/>
        <item sd="0" x="23403"/>
        <item sd="0" x="23404"/>
        <item sd="0" x="23405"/>
        <item sd="0" x="23406"/>
        <item sd="0" x="23407"/>
        <item sd="0" x="23408"/>
        <item sd="0" x="23409"/>
        <item sd="0" x="23410"/>
        <item sd="0" x="23411"/>
        <item sd="0" x="23412"/>
        <item sd="0" x="23413"/>
        <item sd="0" x="23414"/>
        <item sd="0" x="23415"/>
        <item sd="0" x="23416"/>
        <item sd="0" x="23417"/>
        <item sd="0" x="23418"/>
        <item sd="0" x="23419"/>
        <item sd="0" x="23420"/>
        <item sd="0" x="23421"/>
        <item sd="0" x="23422"/>
        <item sd="0" x="23423"/>
        <item sd="0" x="23424"/>
        <item sd="0" x="23425"/>
        <item sd="0" x="23426"/>
        <item sd="0" x="23427"/>
        <item sd="0" x="23428"/>
        <item sd="0" x="23429"/>
        <item sd="0" x="23430"/>
        <item sd="0" x="23431"/>
        <item sd="0" x="23432"/>
        <item sd="0" x="23433"/>
        <item sd="0" x="23434"/>
        <item sd="0" x="23435"/>
        <item sd="0" x="23436"/>
        <item sd="0" x="23437"/>
        <item sd="0" x="23438"/>
        <item sd="0" x="23439"/>
        <item sd="0" x="23440"/>
        <item sd="0" x="23441"/>
        <item sd="0" x="23442"/>
        <item sd="0" x="23443"/>
        <item sd="0" x="23444"/>
        <item sd="0" x="23445"/>
        <item sd="0" x="23446"/>
        <item sd="0" x="23447"/>
        <item sd="0" x="23448"/>
        <item sd="0" x="23449"/>
        <item sd="0" x="23450"/>
        <item sd="0" x="23451"/>
        <item sd="0" x="23452"/>
        <item sd="0" x="23453"/>
        <item sd="0" x="23454"/>
        <item sd="0" x="23455"/>
        <item sd="0" x="23456"/>
        <item sd="0" x="23457"/>
        <item sd="0" x="23458"/>
        <item sd="0" x="23459"/>
        <item sd="0" x="23460"/>
        <item sd="0" x="23461"/>
        <item sd="0" x="23462"/>
        <item sd="0" x="23463"/>
        <item sd="0" x="23464"/>
        <item sd="0" x="23465"/>
        <item sd="0" x="23466"/>
        <item sd="0" x="23467"/>
        <item sd="0" x="23468"/>
        <item sd="0" x="23469"/>
        <item sd="0" x="23470"/>
        <item sd="0" x="23471"/>
        <item sd="0" x="23472"/>
        <item sd="0" x="23473"/>
        <item sd="0" x="23474"/>
        <item sd="0" x="23475"/>
        <item sd="0" x="23476"/>
        <item sd="0" x="23477"/>
        <item sd="0" x="23478"/>
        <item sd="0" x="23479"/>
        <item sd="0" x="23480"/>
        <item sd="0" x="23481"/>
        <item sd="0" x="23482"/>
        <item sd="0" x="23483"/>
        <item sd="0" x="23484"/>
        <item sd="0" x="23485"/>
        <item sd="0" x="23486"/>
        <item sd="0" x="23487"/>
        <item sd="0" x="23488"/>
        <item sd="0" x="23489"/>
        <item sd="0" x="23490"/>
        <item sd="0" x="23491"/>
        <item sd="0" x="23492"/>
        <item sd="0" x="23493"/>
        <item sd="0" x="23494"/>
        <item sd="0" x="23495"/>
        <item sd="0" x="23496"/>
        <item sd="0" x="23497"/>
        <item sd="0" x="23498"/>
        <item sd="0" x="23499"/>
        <item sd="0" x="23500"/>
        <item sd="0" x="23501"/>
        <item sd="0" x="23502"/>
        <item sd="0" x="23503"/>
        <item sd="0" x="23504"/>
        <item sd="0" x="23505"/>
        <item sd="0" x="23506"/>
        <item sd="0" x="23507"/>
        <item sd="0" x="23508"/>
        <item sd="0" x="23509"/>
        <item sd="0" x="23510"/>
        <item sd="0" x="23511"/>
        <item sd="0" x="23512"/>
        <item sd="0" x="23513"/>
        <item sd="0" x="23514"/>
        <item sd="0" x="23515"/>
        <item sd="0" x="23516"/>
        <item sd="0" x="23517"/>
        <item sd="0" x="23518"/>
        <item sd="0" x="23519"/>
        <item sd="0" x="23520"/>
        <item sd="0" x="23521"/>
        <item sd="0" x="23522"/>
        <item sd="0" x="23523"/>
        <item sd="0" x="23524"/>
        <item sd="0" x="23525"/>
        <item sd="0" x="23526"/>
        <item sd="0" x="23527"/>
        <item sd="0" x="23528"/>
        <item sd="0" x="23529"/>
        <item sd="0" x="23530"/>
        <item sd="0" x="23531"/>
        <item sd="0" x="23532"/>
        <item sd="0" x="23533"/>
        <item sd="0" x="23534"/>
        <item sd="0" x="23535"/>
        <item sd="0" x="23536"/>
        <item sd="0" x="23537"/>
        <item sd="0" x="23538"/>
        <item sd="0" x="23539"/>
        <item sd="0" x="23540"/>
        <item sd="0" x="23541"/>
        <item sd="0" x="23542"/>
        <item sd="0" x="23543"/>
        <item sd="0" x="23544"/>
        <item sd="0" x="23545"/>
        <item sd="0" x="23546"/>
        <item sd="0" x="23547"/>
        <item sd="0" x="23548"/>
        <item sd="0" x="23549"/>
        <item sd="0" x="23550"/>
        <item sd="0" x="23551"/>
        <item sd="0" x="23552"/>
        <item sd="0" x="23553"/>
        <item sd="0" x="23554"/>
        <item sd="0" x="23555"/>
        <item sd="0" x="23556"/>
        <item sd="0" x="23557"/>
        <item sd="0" x="23558"/>
        <item sd="0" x="23559"/>
        <item sd="0" x="23560"/>
        <item sd="0" x="23561"/>
        <item sd="0" x="23562"/>
        <item sd="0" x="23563"/>
        <item sd="0" x="23564"/>
        <item sd="0" x="23565"/>
        <item sd="0" x="23566"/>
        <item sd="0" x="23567"/>
        <item sd="0" x="23568"/>
        <item sd="0" x="23569"/>
        <item sd="0" x="23570"/>
        <item sd="0" x="23571"/>
        <item sd="0" x="23572"/>
        <item sd="0" x="23573"/>
        <item sd="0" x="23574"/>
        <item sd="0" x="23575"/>
        <item sd="0" x="23576"/>
        <item sd="0" x="23577"/>
        <item sd="0" x="23578"/>
        <item sd="0" x="23579"/>
        <item sd="0" x="23580"/>
        <item sd="0" x="23581"/>
        <item sd="0" x="23582"/>
        <item sd="0" x="23583"/>
        <item sd="0" x="23584"/>
        <item sd="0" x="23585"/>
        <item sd="0" x="23586"/>
        <item sd="0" x="23587"/>
        <item sd="0" x="23588"/>
        <item sd="0" x="23589"/>
        <item sd="0" x="23590"/>
        <item sd="0" x="23591"/>
        <item sd="0" x="23592"/>
        <item sd="0" x="23593"/>
        <item sd="0" x="23594"/>
        <item sd="0" x="23595"/>
        <item sd="0" x="23596"/>
        <item sd="0" x="23597"/>
        <item sd="0" x="23598"/>
        <item sd="0" x="23599"/>
        <item sd="0" x="23600"/>
        <item sd="0" x="23601"/>
        <item sd="0" x="23602"/>
        <item sd="0" x="23603"/>
        <item sd="0" x="23604"/>
        <item sd="0" x="23605"/>
        <item sd="0" x="23606"/>
        <item sd="0" x="23607"/>
        <item sd="0" x="23608"/>
        <item sd="0" x="23609"/>
        <item sd="0" x="23610"/>
        <item sd="0" x="23611"/>
        <item sd="0" x="23612"/>
        <item sd="0" x="23613"/>
        <item sd="0" x="23614"/>
        <item sd="0" x="23615"/>
        <item sd="0" x="23616"/>
        <item sd="0" x="23617"/>
        <item sd="0" x="23618"/>
        <item sd="0" x="23619"/>
        <item sd="0" x="23620"/>
        <item sd="0" x="23621"/>
        <item sd="0" x="23622"/>
        <item sd="0" x="23623"/>
        <item sd="0" x="23624"/>
        <item sd="0" x="23625"/>
        <item sd="0" x="23626"/>
        <item sd="0" x="23627"/>
        <item sd="0" x="23628"/>
        <item sd="0" x="23629"/>
        <item sd="0" x="23630"/>
        <item sd="0" x="23631"/>
        <item sd="0" x="23632"/>
        <item sd="0" x="23633"/>
        <item sd="0" x="23634"/>
        <item sd="0" x="23635"/>
        <item sd="0" x="23636"/>
        <item sd="0" x="23637"/>
        <item sd="0" x="23638"/>
        <item sd="0" x="23639"/>
        <item sd="0" x="23640"/>
        <item sd="0" x="23641"/>
        <item sd="0" x="23642"/>
        <item sd="0" x="23643"/>
        <item sd="0" x="23644"/>
        <item sd="0" x="23645"/>
        <item sd="0" x="23646"/>
        <item sd="0" x="23647"/>
        <item sd="0" x="23648"/>
        <item sd="0" x="23649"/>
        <item sd="0" x="23650"/>
        <item sd="0" x="23651"/>
        <item sd="0" x="23652"/>
        <item sd="0" x="23653"/>
        <item sd="0" x="23654"/>
        <item sd="0" x="23655"/>
        <item sd="0" x="23656"/>
        <item sd="0" x="23657"/>
        <item sd="0" x="23658"/>
        <item sd="0" x="23659"/>
        <item sd="0" x="23660"/>
        <item sd="0" x="23661"/>
        <item sd="0" x="23662"/>
        <item sd="0" x="23663"/>
        <item sd="0" x="23664"/>
        <item sd="0" x="23665"/>
        <item sd="0" x="23666"/>
        <item sd="0" x="23667"/>
        <item sd="0" x="23668"/>
        <item sd="0" x="23669"/>
        <item sd="0" x="23670"/>
        <item sd="0" x="23671"/>
        <item sd="0" x="23672"/>
        <item sd="0" x="23673"/>
        <item sd="0" x="23674"/>
        <item sd="0" x="23675"/>
        <item sd="0" x="23676"/>
        <item sd="0" x="23677"/>
        <item sd="0" x="23678"/>
        <item sd="0" x="23679"/>
        <item sd="0" x="23680"/>
        <item sd="0" x="23681"/>
        <item sd="0" x="23682"/>
        <item sd="0" x="23683"/>
        <item sd="0" x="23684"/>
        <item sd="0" x="23685"/>
        <item sd="0" x="23686"/>
        <item sd="0" x="23687"/>
        <item sd="0" x="23688"/>
        <item sd="0" x="23689"/>
        <item sd="0" x="23690"/>
        <item sd="0" x="23691"/>
        <item sd="0" x="23692"/>
        <item sd="0" x="23693"/>
        <item sd="0" x="23694"/>
        <item sd="0" x="23695"/>
        <item sd="0" x="23696"/>
        <item sd="0" x="23697"/>
        <item sd="0" x="23698"/>
        <item sd="0" x="23699"/>
        <item sd="0" x="23700"/>
        <item sd="0" x="23701"/>
        <item sd="0" x="23702"/>
        <item sd="0" x="23703"/>
        <item sd="0" x="23704"/>
        <item sd="0" x="23705"/>
        <item sd="0" x="23706"/>
        <item sd="0" x="23707"/>
        <item sd="0" x="23708"/>
        <item sd="0" x="23709"/>
        <item sd="0" x="23710"/>
        <item sd="0" x="23711"/>
        <item sd="0" x="23712"/>
        <item sd="0" x="23713"/>
        <item sd="0" x="23714"/>
        <item sd="0" x="23715"/>
        <item sd="0" x="23716"/>
        <item sd="0" x="23717"/>
        <item sd="0" x="23718"/>
        <item sd="0" x="23719"/>
        <item sd="0" x="23720"/>
        <item sd="0" x="23721"/>
        <item sd="0" x="23722"/>
        <item sd="0" x="23723"/>
        <item sd="0" x="23724"/>
        <item sd="0" x="23725"/>
        <item sd="0" x="23726"/>
        <item sd="0" x="23727"/>
        <item sd="0" x="23728"/>
        <item sd="0" x="23729"/>
        <item sd="0" x="23730"/>
        <item sd="0" x="23731"/>
        <item sd="0" x="23732"/>
        <item sd="0" x="23733"/>
        <item sd="0" x="23734"/>
        <item sd="0" x="23735"/>
        <item sd="0" x="23736"/>
        <item sd="0" x="23737"/>
        <item sd="0" x="23738"/>
        <item sd="0" x="23739"/>
        <item sd="0" x="23740"/>
        <item sd="0" x="23741"/>
        <item sd="0" x="23742"/>
        <item sd="0" x="23743"/>
        <item sd="0" x="23744"/>
        <item sd="0" x="23745"/>
        <item sd="0" x="23746"/>
        <item sd="0" x="23747"/>
        <item sd="0" x="23748"/>
        <item sd="0" x="23749"/>
        <item sd="0" x="23750"/>
        <item sd="0" x="23751"/>
        <item sd="0" x="23752"/>
        <item sd="0" x="23753"/>
        <item sd="0" x="23754"/>
        <item sd="0" x="23755"/>
        <item sd="0" x="23756"/>
        <item sd="0" x="23757"/>
        <item sd="0" x="23758"/>
        <item sd="0" x="23759"/>
        <item sd="0" x="23760"/>
        <item sd="0" x="23761"/>
        <item sd="0" x="23762"/>
        <item sd="0" x="23763"/>
        <item sd="0" x="23764"/>
        <item sd="0" x="23765"/>
        <item sd="0" x="23766"/>
        <item sd="0" x="23767"/>
        <item sd="0" x="23768"/>
        <item sd="0" x="23769"/>
        <item sd="0" x="23770"/>
        <item sd="0" x="23771"/>
        <item sd="0" x="23772"/>
        <item sd="0" x="23773"/>
        <item sd="0" x="23774"/>
        <item sd="0" x="23775"/>
        <item sd="0" x="23776"/>
        <item sd="0" x="23777"/>
        <item sd="0" x="23778"/>
        <item sd="0" x="23779"/>
        <item sd="0" x="23780"/>
        <item sd="0" x="23781"/>
        <item sd="0" x="23782"/>
        <item sd="0" x="23783"/>
        <item sd="0" x="23784"/>
        <item sd="0" x="23785"/>
        <item sd="0" x="23786"/>
        <item sd="0" x="23787"/>
        <item sd="0" x="23788"/>
        <item sd="0" x="23789"/>
        <item sd="0" x="23790"/>
        <item sd="0" x="23791"/>
        <item sd="0" x="23792"/>
        <item sd="0" x="23793"/>
        <item sd="0" x="23794"/>
        <item sd="0" x="23795"/>
        <item sd="0" x="23796"/>
        <item sd="0" x="23797"/>
        <item sd="0" x="23798"/>
        <item sd="0" x="23799"/>
        <item sd="0" x="23800"/>
        <item sd="0" x="23801"/>
        <item sd="0" x="23802"/>
        <item sd="0" x="23803"/>
        <item sd="0" x="23804"/>
        <item sd="0" x="23805"/>
        <item sd="0" x="23806"/>
        <item sd="0" x="23807"/>
        <item sd="0" x="23808"/>
        <item sd="0" x="23809"/>
        <item sd="0" x="23810"/>
        <item sd="0" x="23811"/>
        <item sd="0" x="23812"/>
        <item sd="0" x="23813"/>
        <item sd="0" x="23814"/>
        <item sd="0" x="23815"/>
        <item sd="0" x="23816"/>
        <item sd="0" x="23817"/>
        <item sd="0" x="23818"/>
        <item sd="0" x="23819"/>
        <item sd="0" x="23820"/>
        <item sd="0" x="23821"/>
        <item sd="0" x="23822"/>
        <item sd="0" x="23823"/>
        <item sd="0" x="23824"/>
        <item sd="0" x="23825"/>
        <item sd="0" x="23826"/>
        <item sd="0" x="23827"/>
        <item sd="0" x="23828"/>
        <item sd="0" x="23829"/>
        <item sd="0" x="23830"/>
        <item sd="0" x="23831"/>
        <item sd="0" x="23832"/>
        <item sd="0" x="23833"/>
        <item sd="0" x="23834"/>
        <item sd="0" x="23835"/>
        <item sd="0" x="23836"/>
        <item sd="0" x="23837"/>
        <item sd="0" x="23838"/>
        <item sd="0" x="23839"/>
        <item sd="0" x="23840"/>
        <item sd="0" x="23841"/>
        <item sd="0" x="23842"/>
        <item sd="0" x="23843"/>
        <item sd="0" x="23844"/>
        <item sd="0" x="23845"/>
        <item sd="0" x="23846"/>
        <item sd="0" x="23847"/>
        <item sd="0" x="23848"/>
        <item sd="0" x="23849"/>
        <item sd="0" x="23850"/>
        <item sd="0" x="23851"/>
        <item sd="0" x="23852"/>
        <item sd="0" x="23853"/>
        <item sd="0" x="23854"/>
        <item sd="0" x="23855"/>
        <item sd="0" x="23856"/>
        <item sd="0" x="23857"/>
        <item sd="0" x="23858"/>
        <item sd="0" x="23859"/>
        <item sd="0" x="23860"/>
        <item sd="0" x="23861"/>
        <item sd="0" x="23862"/>
        <item sd="0" x="23863"/>
        <item sd="0" x="23864"/>
        <item sd="0" x="23865"/>
        <item sd="0" x="23866"/>
        <item sd="0" x="23867"/>
        <item sd="0" x="23868"/>
        <item sd="0" x="23869"/>
        <item sd="0" x="23870"/>
        <item sd="0" x="23871"/>
        <item sd="0" x="23872"/>
        <item sd="0" x="23873"/>
        <item sd="0" x="23874"/>
        <item sd="0" x="23875"/>
        <item sd="0" x="23876"/>
        <item sd="0" x="23877"/>
        <item sd="0" x="23878"/>
        <item sd="0" x="23879"/>
        <item sd="0" x="23880"/>
        <item sd="0" x="23881"/>
        <item sd="0" x="23882"/>
        <item sd="0" x="23883"/>
        <item sd="0" x="23884"/>
        <item sd="0" x="23885"/>
        <item sd="0" x="23886"/>
        <item sd="0" x="23887"/>
        <item sd="0" x="23888"/>
        <item sd="0" x="23889"/>
        <item sd="0" x="23890"/>
        <item sd="0" x="23891"/>
        <item sd="0" x="23892"/>
        <item sd="0" x="23893"/>
        <item sd="0" x="23894"/>
        <item sd="0" x="23895"/>
        <item sd="0" x="23896"/>
        <item sd="0" x="23897"/>
        <item sd="0" x="23898"/>
        <item sd="0" x="23899"/>
        <item sd="0" x="23900"/>
        <item sd="0" x="23901"/>
        <item sd="0" x="23902"/>
        <item sd="0" x="23903"/>
        <item sd="0" x="23904"/>
        <item sd="0" x="23905"/>
        <item sd="0" x="23906"/>
        <item sd="0" x="23907"/>
        <item sd="0" x="23908"/>
        <item sd="0" x="23909"/>
        <item sd="0" x="23910"/>
        <item sd="0" x="23911"/>
        <item sd="0" x="23912"/>
        <item sd="0" x="23913"/>
        <item sd="0" x="23914"/>
        <item sd="0" x="23915"/>
        <item sd="0" x="23916"/>
        <item sd="0" x="23917"/>
        <item sd="0" x="23918"/>
        <item sd="0" x="23919"/>
        <item sd="0" x="23920"/>
        <item sd="0" x="23921"/>
        <item sd="0" x="23922"/>
        <item sd="0" x="23923"/>
        <item sd="0" x="23924"/>
        <item sd="0" x="23925"/>
        <item sd="0" x="23926"/>
        <item sd="0" x="23927"/>
        <item sd="0" x="23928"/>
        <item sd="0" x="23929"/>
        <item sd="0" x="23930"/>
        <item sd="0" x="23931"/>
        <item sd="0" x="23932"/>
        <item sd="0" x="23933"/>
        <item sd="0" x="23934"/>
        <item sd="0" x="23935"/>
        <item sd="0" x="23936"/>
        <item sd="0" x="23937"/>
        <item sd="0" x="23938"/>
        <item sd="0" x="23939"/>
        <item sd="0" x="23940"/>
        <item sd="0" x="23941"/>
        <item sd="0" x="23942"/>
        <item sd="0" x="23943"/>
        <item sd="0" x="23944"/>
        <item sd="0" x="23945"/>
        <item sd="0" x="23946"/>
        <item sd="0" x="23947"/>
        <item sd="0" x="23948"/>
        <item sd="0" x="23949"/>
        <item sd="0" x="23950"/>
        <item sd="0" x="23951"/>
        <item sd="0" x="23952"/>
        <item sd="0" x="23953"/>
        <item sd="0" x="23954"/>
        <item sd="0" x="23955"/>
        <item sd="0" x="23956"/>
        <item sd="0" x="23957"/>
        <item sd="0" x="23958"/>
        <item sd="0" x="23959"/>
        <item sd="0" x="23960"/>
        <item sd="0" x="23961"/>
        <item sd="0" x="23962"/>
        <item sd="0" x="23963"/>
        <item sd="0" x="23964"/>
        <item sd="0" x="23965"/>
        <item sd="0" x="23966"/>
        <item sd="0" x="23967"/>
        <item sd="0" x="23968"/>
        <item sd="0" x="23969"/>
        <item sd="0" x="23970"/>
        <item sd="0" x="23971"/>
        <item sd="0" x="23972"/>
        <item sd="0" x="23973"/>
        <item sd="0" x="23974"/>
        <item sd="0" x="23975"/>
        <item sd="0" x="23976"/>
        <item sd="0" x="23977"/>
        <item sd="0" x="23978"/>
        <item sd="0" x="23979"/>
        <item sd="0" x="23980"/>
        <item sd="0" x="23981"/>
        <item sd="0" x="23982"/>
        <item sd="0" x="23983"/>
        <item sd="0" x="23984"/>
        <item sd="0" x="23985"/>
        <item sd="0" x="23986"/>
        <item sd="0" x="23987"/>
        <item sd="0" x="23988"/>
        <item sd="0" x="23989"/>
        <item sd="0" x="23990"/>
        <item sd="0" x="23991"/>
        <item sd="0" x="23992"/>
        <item sd="0" x="23993"/>
        <item sd="0" x="23994"/>
        <item sd="0" x="23995"/>
        <item sd="0" x="23996"/>
        <item sd="0" x="23997"/>
        <item sd="0" x="23998"/>
        <item sd="0" x="23999"/>
        <item sd="0" x="24000"/>
        <item sd="0" x="24001"/>
        <item sd="0" x="24002"/>
        <item sd="0" x="24003"/>
        <item sd="0" x="24004"/>
        <item sd="0" x="24005"/>
        <item sd="0" x="24006"/>
        <item sd="0" x="24007"/>
        <item sd="0" x="24008"/>
        <item sd="0" x="24009"/>
        <item sd="0" x="24010"/>
        <item sd="0" x="24011"/>
        <item sd="0" x="24012"/>
        <item sd="0" x="24013"/>
        <item sd="0" x="24014"/>
        <item sd="0" x="24015"/>
        <item sd="0" x="24016"/>
        <item sd="0" x="24017"/>
        <item sd="0" x="24018"/>
        <item sd="0" x="24019"/>
        <item sd="0" x="24020"/>
        <item sd="0" x="24021"/>
        <item sd="0" x="24022"/>
        <item sd="0" x="24023"/>
        <item sd="0" x="24024"/>
        <item sd="0" x="24025"/>
        <item sd="0" x="24026"/>
        <item sd="0" x="24027"/>
        <item sd="0" x="24028"/>
        <item sd="0" x="24029"/>
        <item sd="0" x="24030"/>
        <item sd="0" x="24031"/>
        <item sd="0" x="24032"/>
        <item sd="0" x="24033"/>
        <item sd="0" x="24034"/>
        <item sd="0" x="24035"/>
        <item sd="0" x="24036"/>
        <item sd="0" x="24037"/>
        <item sd="0" x="24038"/>
        <item sd="0" x="24039"/>
        <item sd="0" x="24040"/>
        <item sd="0" x="24041"/>
        <item sd="0" x="24042"/>
        <item sd="0" x="24043"/>
        <item sd="0" x="24044"/>
        <item sd="0" x="24045"/>
        <item sd="0" x="24046"/>
        <item sd="0" x="24047"/>
        <item sd="0" x="24048"/>
        <item sd="0" x="24049"/>
        <item sd="0" x="24050"/>
        <item sd="0" x="24051"/>
        <item sd="0" x="24052"/>
        <item sd="0" x="24053"/>
        <item sd="0" x="24054"/>
        <item sd="0" x="24055"/>
        <item sd="0" x="24056"/>
        <item sd="0" x="24057"/>
        <item sd="0" x="24058"/>
        <item sd="0" x="24059"/>
        <item sd="0" x="24060"/>
        <item sd="0" x="24061"/>
        <item sd="0" x="24062"/>
        <item sd="0" x="24063"/>
        <item sd="0" x="24064"/>
        <item sd="0" x="24065"/>
        <item sd="0" x="24066"/>
        <item sd="0" x="24067"/>
        <item sd="0" x="24068"/>
        <item sd="0" x="24069"/>
        <item sd="0" x="24070"/>
        <item sd="0" x="24071"/>
        <item sd="0" x="24072"/>
        <item sd="0" x="24073"/>
        <item sd="0" x="24074"/>
        <item sd="0" x="24075"/>
        <item sd="0" x="24076"/>
        <item sd="0" x="24077"/>
        <item sd="0" x="24078"/>
        <item sd="0" x="24079"/>
        <item sd="0" x="24080"/>
        <item sd="0" x="24081"/>
        <item sd="0" x="24082"/>
        <item sd="0" x="24083"/>
        <item sd="0" x="24084"/>
        <item sd="0" x="24085"/>
        <item sd="0" x="24086"/>
        <item sd="0" x="24087"/>
        <item sd="0" x="24088"/>
        <item sd="0" x="24089"/>
        <item sd="0" x="24090"/>
        <item sd="0" x="24091"/>
        <item sd="0" x="24092"/>
        <item sd="0" x="24093"/>
        <item sd="0" x="24094"/>
        <item sd="0" x="24095"/>
        <item sd="0" x="24096"/>
        <item sd="0" x="24097"/>
        <item sd="0" x="24098"/>
        <item sd="0" x="24099"/>
        <item sd="0" x="24100"/>
        <item sd="0" x="24101"/>
        <item sd="0" x="24102"/>
        <item sd="0" x="24103"/>
        <item sd="0" x="24104"/>
        <item sd="0" x="24105"/>
        <item sd="0" x="24106"/>
        <item sd="0" x="24107"/>
        <item sd="0" x="24108"/>
        <item sd="0" x="24109"/>
        <item sd="0" x="24110"/>
        <item sd="0" x="24111"/>
        <item sd="0" x="24112"/>
        <item sd="0" x="24113"/>
        <item sd="0" x="24114"/>
        <item sd="0" x="24115"/>
        <item sd="0" x="24116"/>
        <item sd="0" x="24117"/>
        <item sd="0" x="24118"/>
        <item sd="0" x="24119"/>
        <item sd="0" x="24120"/>
        <item sd="0" x="24121"/>
        <item sd="0" x="24122"/>
        <item sd="0" x="24123"/>
        <item sd="0" x="24124"/>
        <item sd="0" x="24125"/>
        <item sd="0" x="24126"/>
        <item sd="0" x="24127"/>
        <item sd="0" x="24128"/>
        <item sd="0" x="24129"/>
        <item sd="0" x="24130"/>
        <item sd="0" x="24131"/>
        <item sd="0" x="24132"/>
        <item sd="0" x="24133"/>
        <item sd="0" x="24134"/>
        <item sd="0" x="24135"/>
        <item sd="0" x="24136"/>
        <item sd="0" x="24137"/>
        <item sd="0" x="24138"/>
        <item sd="0" x="24139"/>
        <item sd="0" x="24140"/>
        <item sd="0" x="24141"/>
        <item sd="0" x="24142"/>
        <item sd="0" x="24143"/>
        <item sd="0" x="24144"/>
        <item sd="0" x="24145"/>
        <item sd="0" x="24146"/>
        <item sd="0" x="24147"/>
        <item sd="0" x="24148"/>
        <item sd="0" x="24149"/>
        <item sd="0" x="24150"/>
        <item sd="0" x="24151"/>
        <item sd="0" x="24152"/>
        <item sd="0" x="24153"/>
        <item sd="0" x="24154"/>
        <item sd="0" x="24155"/>
        <item sd="0" x="24156"/>
        <item sd="0" x="24157"/>
        <item sd="0" x="24158"/>
        <item sd="0" x="24159"/>
        <item sd="0" x="24160"/>
        <item sd="0" x="24161"/>
        <item sd="0" x="24162"/>
        <item sd="0" x="24163"/>
        <item sd="0" x="24164"/>
        <item sd="0" x="24165"/>
        <item sd="0" x="24166"/>
        <item sd="0" x="24167"/>
        <item sd="0" x="24168"/>
        <item sd="0" x="24169"/>
        <item sd="0" x="24170"/>
        <item sd="0" x="24171"/>
        <item sd="0" x="24172"/>
        <item sd="0" x="24173"/>
        <item sd="0" x="24174"/>
        <item sd="0" x="24175"/>
        <item sd="0" x="24176"/>
        <item sd="0" x="24177"/>
        <item sd="0" x="24178"/>
        <item sd="0" x="24179"/>
        <item sd="0" x="24180"/>
        <item sd="0" x="24181"/>
        <item sd="0" x="24182"/>
        <item sd="0" x="24183"/>
        <item sd="0" x="24184"/>
        <item sd="0" x="24185"/>
        <item sd="0" x="24186"/>
        <item sd="0" x="24187"/>
        <item sd="0" x="24188"/>
        <item sd="0" x="24189"/>
        <item sd="0" x="24190"/>
        <item sd="0" x="24191"/>
        <item sd="0" x="24192"/>
        <item sd="0" x="24193"/>
        <item sd="0" x="24194"/>
        <item sd="0" x="24195"/>
        <item sd="0" x="24196"/>
        <item sd="0" x="24197"/>
        <item sd="0" x="24198"/>
        <item sd="0" x="24199"/>
        <item sd="0" x="24200"/>
        <item sd="0" x="24201"/>
        <item sd="0" x="24202"/>
        <item sd="0" x="24203"/>
        <item sd="0" x="24204"/>
        <item sd="0" x="24205"/>
        <item sd="0" x="24206"/>
        <item sd="0" x="24207"/>
        <item sd="0" x="24208"/>
        <item sd="0" x="24209"/>
        <item sd="0" x="24210"/>
        <item sd="0" x="24211"/>
        <item sd="0" x="24212"/>
        <item sd="0" x="24213"/>
        <item sd="0" x="24214"/>
        <item sd="0" x="24215"/>
        <item sd="0" x="24216"/>
        <item sd="0" x="24217"/>
        <item sd="0" x="24218"/>
        <item sd="0" x="24219"/>
        <item sd="0" x="24220"/>
        <item sd="0" x="24221"/>
        <item sd="0" x="24222"/>
        <item sd="0" x="24223"/>
        <item sd="0" x="24224"/>
        <item sd="0" x="24225"/>
        <item sd="0" x="24226"/>
        <item sd="0" x="24227"/>
        <item sd="0" x="24228"/>
        <item sd="0" x="24229"/>
        <item sd="0" x="24230"/>
        <item sd="0" x="24231"/>
        <item sd="0" x="24232"/>
        <item sd="0" x="24233"/>
        <item sd="0" x="24234"/>
        <item sd="0" x="24235"/>
        <item sd="0" x="24236"/>
        <item sd="0" x="24237"/>
        <item sd="0" x="24238"/>
        <item sd="0" x="24239"/>
        <item sd="0" x="24240"/>
        <item sd="0" x="24241"/>
        <item sd="0" x="24242"/>
        <item sd="0" x="24243"/>
        <item sd="0" x="24244"/>
        <item sd="0" x="24245"/>
        <item sd="0" x="24246"/>
        <item sd="0" x="24247"/>
        <item sd="0" x="24248"/>
        <item sd="0" x="24249"/>
        <item sd="0" x="24250"/>
        <item sd="0" x="24251"/>
        <item sd="0" x="24252"/>
        <item sd="0" x="24253"/>
        <item sd="0" x="24254"/>
        <item sd="0" x="24255"/>
        <item sd="0" x="24256"/>
        <item sd="0" x="24257"/>
        <item sd="0" x="24258"/>
        <item sd="0" x="24259"/>
        <item sd="0" x="24260"/>
        <item sd="0" x="24261"/>
        <item sd="0" x="24262"/>
        <item sd="0" x="24263"/>
        <item sd="0" x="24264"/>
        <item sd="0" x="24265"/>
        <item sd="0" x="24266"/>
        <item sd="0" x="24267"/>
        <item sd="0" x="24268"/>
        <item sd="0" x="24269"/>
        <item sd="0" x="24270"/>
        <item sd="0" x="24271"/>
        <item sd="0" x="24272"/>
        <item sd="0" x="24273"/>
        <item sd="0" x="24274"/>
        <item sd="0" x="24275"/>
        <item sd="0" x="24276"/>
        <item sd="0" x="24277"/>
        <item sd="0" x="24278"/>
        <item sd="0" x="24279"/>
        <item sd="0" x="24280"/>
        <item sd="0" x="24281"/>
        <item sd="0" x="24282"/>
        <item sd="0" x="24283"/>
        <item sd="0" x="24284"/>
        <item sd="0" x="24285"/>
        <item sd="0" x="24286"/>
        <item sd="0" x="24287"/>
        <item sd="0" x="24288"/>
        <item sd="0" x="24289"/>
        <item sd="0" x="24290"/>
        <item sd="0" x="24291"/>
        <item sd="0" x="24292"/>
        <item sd="0" x="24293"/>
        <item sd="0" x="24294"/>
        <item sd="0" x="24295"/>
        <item sd="0" x="24296"/>
        <item sd="0" x="24297"/>
        <item sd="0" x="24298"/>
        <item sd="0" x="24299"/>
        <item sd="0" x="24300"/>
        <item sd="0" x="24301"/>
        <item sd="0" x="24302"/>
        <item sd="0" x="24303"/>
        <item sd="0" x="24304"/>
        <item sd="0" x="24305"/>
        <item sd="0" x="24306"/>
        <item sd="0" x="24307"/>
        <item sd="0" x="24308"/>
        <item sd="0" x="24309"/>
        <item sd="0" x="24310"/>
        <item sd="0" x="24311"/>
        <item sd="0" x="24312"/>
        <item sd="0" x="24313"/>
        <item sd="0" x="24314"/>
        <item sd="0" x="24315"/>
        <item sd="0" x="24316"/>
        <item sd="0" x="24317"/>
        <item sd="0" x="24318"/>
        <item sd="0" x="24319"/>
        <item sd="0" x="24320"/>
        <item sd="0" x="24321"/>
        <item sd="0" x="24322"/>
        <item sd="0" x="24323"/>
        <item sd="0" x="24324"/>
        <item sd="0" x="24325"/>
        <item sd="0" x="24326"/>
        <item sd="0" x="24327"/>
        <item sd="0" x="24328"/>
        <item sd="0" x="24329"/>
        <item sd="0" x="24330"/>
        <item sd="0" x="24331"/>
        <item sd="0" x="24332"/>
        <item sd="0" x="24333"/>
        <item sd="0" x="24334"/>
        <item sd="0" x="24335"/>
        <item sd="0" x="24336"/>
        <item sd="0" x="24337"/>
        <item sd="0" x="24338"/>
        <item sd="0" x="24339"/>
        <item sd="0" x="24340"/>
        <item sd="0" x="24341"/>
        <item sd="0" x="24342"/>
        <item sd="0" x="24343"/>
        <item sd="0" x="24344"/>
        <item sd="0" x="24345"/>
        <item sd="0" x="24346"/>
        <item sd="0" x="24347"/>
        <item sd="0" x="24348"/>
        <item sd="0" x="24349"/>
        <item sd="0" x="24350"/>
        <item sd="0" x="24351"/>
        <item sd="0" x="24352"/>
        <item sd="0" x="24353"/>
        <item sd="0" x="24354"/>
        <item sd="0" x="24355"/>
        <item sd="0" x="24356"/>
        <item sd="0" x="24357"/>
        <item sd="0" x="24358"/>
        <item sd="0" x="24359"/>
        <item sd="0" x="24360"/>
        <item sd="0" x="24361"/>
        <item sd="0" x="24362"/>
        <item sd="0" x="24363"/>
        <item sd="0" x="24364"/>
        <item sd="0" x="24365"/>
        <item sd="0" x="24366"/>
        <item sd="0" x="24367"/>
        <item sd="0" x="24368"/>
        <item sd="0" x="24369"/>
        <item sd="0" x="24370"/>
        <item sd="0" x="24371"/>
        <item sd="0" x="24372"/>
        <item sd="0" x="24373"/>
        <item sd="0" x="24374"/>
        <item sd="0" x="24375"/>
        <item sd="0" x="24376"/>
        <item sd="0" x="24377"/>
        <item sd="0" x="24378"/>
        <item sd="0" x="24379"/>
        <item sd="0" x="24380"/>
        <item sd="0" x="24381"/>
        <item sd="0" x="24382"/>
        <item sd="0" x="24383"/>
        <item sd="0" x="24384"/>
        <item sd="0" x="24385"/>
        <item sd="0" x="24386"/>
        <item sd="0" x="24387"/>
        <item sd="0" x="24388"/>
        <item sd="0" x="24389"/>
        <item sd="0" x="24390"/>
        <item sd="0" x="24391"/>
        <item sd="0" x="24392"/>
        <item sd="0" x="24393"/>
        <item sd="0" x="24394"/>
        <item sd="0" x="24395"/>
        <item sd="0" x="24396"/>
        <item sd="0" x="24397"/>
        <item sd="0" x="24398"/>
        <item sd="0" x="24399"/>
        <item sd="0" x="24400"/>
        <item sd="0" x="24401"/>
        <item sd="0" x="24402"/>
        <item sd="0" x="24403"/>
        <item sd="0" x="24404"/>
        <item sd="0" x="24405"/>
        <item sd="0" x="24406"/>
        <item sd="0" x="24407"/>
        <item sd="0" x="24408"/>
        <item sd="0" x="24409"/>
        <item sd="0" x="24410"/>
        <item sd="0" x="24411"/>
        <item sd="0" x="24412"/>
        <item sd="0" x="24413"/>
        <item sd="0" x="24414"/>
        <item sd="0" x="24415"/>
        <item sd="0" x="24416"/>
        <item sd="0" x="24417"/>
        <item sd="0" x="24418"/>
        <item sd="0" x="24419"/>
        <item sd="0" x="24420"/>
        <item sd="0" x="24421"/>
        <item sd="0" x="24422"/>
        <item sd="0" x="24423"/>
        <item sd="0" x="24424"/>
        <item sd="0" x="24425"/>
        <item sd="0" x="24426"/>
        <item sd="0" x="24427"/>
        <item sd="0" x="24428"/>
        <item sd="0" x="24429"/>
        <item sd="0" x="24430"/>
        <item sd="0" x="24431"/>
        <item sd="0" x="24432"/>
        <item sd="0" x="24433"/>
        <item sd="0" x="24434"/>
        <item sd="0" x="24435"/>
        <item sd="0" x="24436"/>
        <item sd="0" x="24437"/>
        <item sd="0" x="24438"/>
        <item sd="0" x="24439"/>
        <item sd="0" x="24440"/>
        <item sd="0" x="24441"/>
        <item sd="0" x="24442"/>
        <item sd="0" x="24443"/>
        <item sd="0" x="24444"/>
        <item sd="0" x="24445"/>
        <item sd="0" x="24446"/>
        <item sd="0" x="24447"/>
        <item sd="0" x="24448"/>
        <item sd="0" x="24449"/>
        <item sd="0" x="24450"/>
        <item sd="0" x="24451"/>
        <item sd="0" x="24452"/>
        <item sd="0" x="24453"/>
        <item sd="0" x="24454"/>
        <item sd="0" x="24455"/>
        <item sd="0" x="24456"/>
        <item sd="0" x="24457"/>
        <item sd="0" x="24458"/>
        <item sd="0" x="24459"/>
        <item sd="0" x="24460"/>
        <item sd="0" x="24461"/>
        <item sd="0" x="24462"/>
        <item sd="0" x="24463"/>
        <item sd="0" x="24464"/>
        <item sd="0" x="24465"/>
        <item sd="0" x="24466"/>
        <item sd="0" x="24467"/>
        <item sd="0" x="24468"/>
        <item sd="0" x="24469"/>
        <item sd="0" x="24470"/>
        <item sd="0" x="24471"/>
        <item sd="0" x="24472"/>
        <item sd="0" x="24473"/>
        <item sd="0" x="24474"/>
        <item sd="0" x="24475"/>
        <item sd="0" x="24476"/>
        <item sd="0" x="24477"/>
        <item sd="0" x="24478"/>
        <item sd="0" x="24479"/>
        <item sd="0" x="24480"/>
        <item sd="0" x="24481"/>
        <item sd="0" x="24482"/>
        <item sd="0" x="24483"/>
        <item sd="0" x="24484"/>
        <item sd="0" x="24485"/>
        <item sd="0" x="24486"/>
        <item sd="0" x="24487"/>
        <item sd="0" x="24488"/>
        <item sd="0" x="24489"/>
        <item sd="0" x="24490"/>
        <item sd="0" x="24491"/>
        <item sd="0" x="24492"/>
        <item sd="0" x="24493"/>
        <item sd="0" x="24494"/>
        <item sd="0" x="24495"/>
        <item sd="0" x="24496"/>
        <item sd="0" x="24497"/>
        <item sd="0" x="24498"/>
        <item sd="0" x="24499"/>
        <item sd="0" x="24500"/>
        <item sd="0" x="24501"/>
        <item sd="0" x="24502"/>
        <item sd="0" x="24503"/>
        <item sd="0" x="24504"/>
        <item sd="0" x="24505"/>
        <item sd="0" x="24506"/>
        <item sd="0" x="24507"/>
        <item sd="0" x="24508"/>
        <item sd="0" x="24509"/>
        <item sd="0" x="24510"/>
        <item sd="0" x="24511"/>
        <item sd="0" x="24512"/>
        <item sd="0" x="24513"/>
        <item sd="0" x="24514"/>
        <item sd="0" x="24515"/>
        <item sd="0" x="24516"/>
        <item sd="0" x="24517"/>
        <item sd="0" x="24518"/>
        <item sd="0" x="24519"/>
        <item sd="0" x="24520"/>
        <item sd="0" x="24521"/>
        <item sd="0" x="24522"/>
        <item sd="0" x="24523"/>
        <item sd="0" x="24524"/>
        <item sd="0" x="24525"/>
        <item sd="0" x="24526"/>
        <item sd="0" x="24527"/>
        <item sd="0" x="24528"/>
        <item sd="0" x="24529"/>
        <item sd="0" x="24530"/>
        <item sd="0" x="24531"/>
        <item sd="0" x="24532"/>
        <item sd="0" x="24533"/>
        <item sd="0" x="24534"/>
        <item sd="0" x="24535"/>
        <item sd="0" x="24536"/>
        <item sd="0" x="24537"/>
        <item sd="0" x="24538"/>
        <item sd="0" x="24539"/>
        <item sd="0" x="24540"/>
        <item sd="0" x="24541"/>
        <item sd="0" x="24542"/>
        <item sd="0" x="24543"/>
        <item sd="0" x="24544"/>
        <item sd="0" x="24545"/>
        <item sd="0" x="24546"/>
        <item sd="0" x="24547"/>
        <item sd="0" x="24548"/>
        <item sd="0" x="24549"/>
        <item sd="0" x="24550"/>
        <item sd="0" x="24551"/>
        <item sd="0" x="24552"/>
        <item sd="0" x="24553"/>
        <item sd="0" x="24554"/>
        <item sd="0" x="24555"/>
        <item sd="0" x="24556"/>
        <item sd="0" x="24557"/>
        <item sd="0" x="24558"/>
        <item sd="0" x="24559"/>
        <item sd="0" x="24560"/>
        <item sd="0" x="24561"/>
        <item sd="0" x="24562"/>
        <item sd="0" x="24563"/>
        <item sd="0" x="24564"/>
        <item sd="0" x="24565"/>
        <item sd="0" x="24566"/>
        <item sd="0" x="24567"/>
        <item sd="0" x="24568"/>
        <item sd="0" x="24569"/>
        <item sd="0" x="24570"/>
        <item sd="0" x="24571"/>
        <item sd="0" x="24572"/>
        <item sd="0" x="24573"/>
        <item sd="0" x="24574"/>
        <item sd="0" x="24575"/>
        <item sd="0" x="24576"/>
        <item sd="0" x="24577"/>
        <item sd="0" x="24578"/>
        <item sd="0" x="24579"/>
        <item sd="0" x="24580"/>
        <item sd="0" x="24581"/>
        <item sd="0" x="24582"/>
        <item sd="0" x="24583"/>
        <item sd="0" x="24584"/>
        <item sd="0" x="24585"/>
        <item sd="0" x="24586"/>
        <item sd="0" x="24587"/>
        <item sd="0" x="24588"/>
        <item sd="0" x="24589"/>
        <item sd="0" x="24590"/>
        <item sd="0" x="24591"/>
        <item sd="0" x="24592"/>
        <item sd="0" x="24593"/>
        <item sd="0" x="24594"/>
        <item sd="0" x="24595"/>
        <item sd="0" x="24596"/>
        <item sd="0" x="24597"/>
        <item sd="0" x="24598"/>
        <item sd="0" x="24599"/>
        <item sd="0" x="24600"/>
        <item sd="0" x="24601"/>
        <item sd="0" x="24602"/>
        <item sd="0" x="24603"/>
        <item sd="0" x="24604"/>
        <item sd="0" x="24605"/>
        <item sd="0" x="24606"/>
        <item sd="0" x="24607"/>
        <item sd="0" x="24608"/>
        <item sd="0" x="24609"/>
        <item sd="0" x="24610"/>
        <item sd="0" x="24611"/>
        <item sd="0" x="24612"/>
        <item sd="0" x="24613"/>
        <item sd="0" x="24614"/>
        <item sd="0" x="24615"/>
        <item sd="0" x="24616"/>
        <item sd="0" x="24617"/>
        <item sd="0" x="24618"/>
        <item sd="0" x="24619"/>
        <item sd="0" x="24620"/>
        <item sd="0" x="24621"/>
        <item sd="0" x="24622"/>
        <item sd="0" x="24623"/>
        <item sd="0" x="24624"/>
        <item sd="0" x="24625"/>
        <item sd="0" x="24626"/>
        <item sd="0" x="24627"/>
        <item sd="0" x="24628"/>
        <item sd="0" x="24629"/>
        <item sd="0" x="24630"/>
        <item sd="0" x="24631"/>
        <item sd="0" x="24632"/>
        <item sd="0" x="24633"/>
        <item sd="0" x="24634"/>
        <item sd="0" x="24635"/>
        <item sd="0" x="24636"/>
        <item sd="0" x="24637"/>
        <item sd="0" x="24638"/>
        <item sd="0" x="24639"/>
        <item sd="0" x="24640"/>
        <item sd="0" x="24641"/>
        <item sd="0" x="24642"/>
        <item sd="0" x="24643"/>
        <item sd="0" x="24644"/>
        <item sd="0" x="24645"/>
        <item sd="0" x="24646"/>
        <item sd="0" x="24647"/>
        <item sd="0" x="24648"/>
        <item sd="0" x="24649"/>
        <item sd="0" x="24650"/>
        <item sd="0" x="24651"/>
        <item sd="0" x="24652"/>
        <item sd="0" x="24653"/>
        <item sd="0" x="24654"/>
        <item sd="0" x="24655"/>
        <item sd="0" x="24656"/>
        <item sd="0" x="24657"/>
        <item sd="0" x="24658"/>
        <item sd="0" x="24659"/>
        <item sd="0" x="24660"/>
        <item sd="0" x="24661"/>
        <item sd="0" x="24662"/>
        <item sd="0" x="24663"/>
        <item sd="0" x="24664"/>
        <item sd="0" x="24665"/>
        <item sd="0" x="24666"/>
        <item sd="0" x="24667"/>
        <item sd="0" x="24668"/>
        <item sd="0" x="24669"/>
        <item sd="0" x="24670"/>
        <item sd="0" x="24671"/>
        <item sd="0" x="24672"/>
        <item sd="0" x="24673"/>
        <item sd="0" x="24674"/>
        <item sd="0" x="24675"/>
        <item sd="0" x="24676"/>
        <item sd="0" x="24677"/>
        <item sd="0" x="24678"/>
        <item sd="0" x="24679"/>
        <item sd="0" x="24680"/>
        <item sd="0" x="24681"/>
        <item sd="0" x="24682"/>
        <item sd="0" x="24683"/>
        <item sd="0" x="24684"/>
        <item sd="0" x="24685"/>
        <item sd="0" x="24686"/>
        <item sd="0" x="24687"/>
        <item sd="0" x="24688"/>
        <item sd="0" x="24689"/>
        <item sd="0" x="24690"/>
        <item sd="0" x="24691"/>
        <item sd="0" x="24692"/>
        <item sd="0" x="24693"/>
        <item sd="0" x="24694"/>
        <item sd="0" x="24695"/>
        <item sd="0" x="24696"/>
        <item sd="0" x="24697"/>
        <item sd="0" x="24698"/>
        <item sd="0" x="24699"/>
        <item sd="0" x="24700"/>
        <item sd="0" x="24701"/>
        <item sd="0" x="24702"/>
        <item sd="0" x="24703"/>
        <item sd="0" x="24704"/>
        <item sd="0" x="24705"/>
        <item sd="0" x="24706"/>
        <item sd="0" x="24707"/>
        <item sd="0" x="24708"/>
        <item sd="0" x="24709"/>
        <item sd="0" x="24710"/>
        <item sd="0" x="24711"/>
        <item sd="0" x="24712"/>
        <item sd="0" x="24713"/>
        <item sd="0" x="24714"/>
        <item sd="0" x="24715"/>
        <item sd="0" x="24716"/>
        <item sd="0" x="24717"/>
        <item sd="0" x="24718"/>
        <item sd="0" x="24719"/>
        <item sd="0" x="24720"/>
        <item sd="0" x="24721"/>
        <item sd="0" x="24722"/>
        <item sd="0" x="24723"/>
        <item sd="0" x="24724"/>
        <item sd="0" x="24725"/>
        <item sd="0" x="24726"/>
        <item sd="0" x="24727"/>
        <item sd="0" x="24728"/>
        <item sd="0" x="24729"/>
        <item sd="0" x="24730"/>
        <item sd="0" x="24731"/>
        <item sd="0" x="24732"/>
        <item sd="0" x="24733"/>
        <item t="default" sd="0"/>
      </items>
    </pivotField>
  </pivotFields>
  <rowFields count="2">
    <field x="8"/>
    <field x="4"/>
  </rowFields>
  <rowItems count="10">
    <i>
      <x v="9"/>
    </i>
    <i>
      <x v="10"/>
    </i>
    <i>
      <x v="11"/>
    </i>
    <i>
      <x v="12"/>
    </i>
    <i>
      <x v="13"/>
    </i>
    <i>
      <x v="14"/>
    </i>
    <i>
      <x v="15"/>
    </i>
    <i>
      <x v="16"/>
    </i>
    <i>
      <x v="17"/>
    </i>
    <i t="grand">
      <x/>
    </i>
  </rowItems>
  <colItems count="1">
    <i/>
  </colItems>
  <dataFields count="1">
    <dataField name="Count of Name" fld="2"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5FF868-445B-45AC-8B5D-FB2C9F1EC1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Status">
  <location ref="A3:D21" firstHeaderRow="1" firstDataRow="2" firstDataCol="1" rowPageCount="1" colPageCount="1"/>
  <pivotFields count="9">
    <pivotField axis="axisRow" showAll="0">
      <items count="53">
        <item x="0"/>
        <item x="1"/>
        <item x="7"/>
        <item x="2"/>
        <item x="5"/>
        <item x="3"/>
        <item x="4"/>
        <item x="6"/>
        <item x="8"/>
        <item x="9"/>
        <item x="10"/>
        <item x="11"/>
        <item x="14"/>
        <item x="13"/>
        <item x="12"/>
        <item x="15"/>
        <item x="16"/>
        <item m="1" x="51"/>
        <item x="17"/>
        <item x="18"/>
        <item x="19"/>
        <item x="20"/>
        <item x="21"/>
        <item x="22"/>
        <item x="23"/>
        <item x="24"/>
        <item x="25"/>
        <item x="26"/>
        <item x="27"/>
        <item x="28"/>
        <item x="29"/>
        <item x="30"/>
        <item x="31"/>
        <item x="32"/>
        <item x="33"/>
        <item x="34"/>
        <item x="35"/>
        <item x="36"/>
        <item x="37"/>
        <item x="38"/>
        <item x="39"/>
        <item x="40"/>
        <item x="41"/>
        <item x="43"/>
        <item x="44"/>
        <item x="45"/>
        <item x="46"/>
        <item x="47"/>
        <item x="48"/>
        <item x="49"/>
        <item x="50"/>
        <item x="42"/>
        <item t="default"/>
      </items>
    </pivotField>
    <pivotField showAll="0"/>
    <pivotField dataField="1" showAll="0"/>
    <pivotField showAll="0"/>
    <pivotField axis="axisPage" numFmtId="14" showAll="0">
      <items count="39">
        <item x="0"/>
        <item m="1" x="3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axis="axisCol" showAll="0">
      <items count="3">
        <item sd="0" x="0"/>
        <item x="1"/>
        <item t="default"/>
      </items>
    </pivotField>
    <pivotField axis="axisRow" showAll="0">
      <items count="12">
        <item x="3"/>
        <item h="1" m="1" x="10"/>
        <item x="0"/>
        <item h="1" x="6"/>
        <item x="1"/>
        <item h="1" x="4"/>
        <item h="1" x="5"/>
        <item x="2"/>
        <item h="1" x="7"/>
        <item h="1" m="1" x="9"/>
        <item h="1" m="1" x="8"/>
        <item t="default"/>
      </items>
    </pivotField>
    <pivotField showAll="0"/>
    <pivotField showAll="0">
      <items count="24735">
        <item h="1" x="0"/>
        <item h="1" x="1"/>
        <item h="1" x="2"/>
        <item h="1" x="3"/>
        <item h="1" x="4"/>
        <item h="1" x="5"/>
        <item h="1" x="6"/>
        <item h="1" x="7"/>
        <item h="1" x="8"/>
        <item h="1" x="9"/>
        <item h="1" x="10"/>
        <item h="1" x="11"/>
        <item h="1" x="12"/>
        <item h="1" x="13"/>
        <item h="1" x="14"/>
        <item h="1" x="15"/>
        <item h="1" x="16"/>
        <item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0"/>
        <item h="1" x="3011"/>
        <item h="1" x="3012"/>
        <item h="1" x="3013"/>
        <item h="1" x="3014"/>
        <item h="1" x="3015"/>
        <item h="1" x="3016"/>
        <item h="1" x="3017"/>
        <item h="1" x="3018"/>
        <item h="1" x="3019"/>
        <item h="1" x="3020"/>
        <item h="1" x="3021"/>
        <item h="1" x="3022"/>
        <item h="1" x="3023"/>
        <item h="1" x="3024"/>
        <item h="1" x="3025"/>
        <item h="1" x="3026"/>
        <item h="1" x="3027"/>
        <item h="1" x="3028"/>
        <item h="1" x="3029"/>
        <item h="1" x="3030"/>
        <item h="1" x="3031"/>
        <item h="1" x="3032"/>
        <item h="1" x="3033"/>
        <item h="1" x="3034"/>
        <item h="1" x="3035"/>
        <item h="1" x="3036"/>
        <item h="1" x="3037"/>
        <item h="1" x="3038"/>
        <item h="1" x="3039"/>
        <item h="1" x="3040"/>
        <item h="1" x="3041"/>
        <item h="1" x="3042"/>
        <item h="1" x="3043"/>
        <item h="1" x="3044"/>
        <item h="1" x="3045"/>
        <item h="1" x="3046"/>
        <item h="1" x="3047"/>
        <item h="1" x="3048"/>
        <item h="1" x="3049"/>
        <item h="1" x="3050"/>
        <item h="1" x="3051"/>
        <item h="1" x="3052"/>
        <item h="1" x="3053"/>
        <item h="1" x="3054"/>
        <item h="1" x="3055"/>
        <item h="1" x="3056"/>
        <item h="1" x="3057"/>
        <item h="1" x="3058"/>
        <item h="1" x="3059"/>
        <item h="1" x="3060"/>
        <item h="1" x="3061"/>
        <item h="1" x="3062"/>
        <item h="1" x="3063"/>
        <item h="1" x="3064"/>
        <item h="1" x="3065"/>
        <item h="1" x="3066"/>
        <item h="1" x="3067"/>
        <item h="1" x="3068"/>
        <item h="1" x="3069"/>
        <item h="1" x="3070"/>
        <item h="1" x="3071"/>
        <item h="1" x="3072"/>
        <item h="1" x="3073"/>
        <item h="1" x="3074"/>
        <item h="1" x="3075"/>
        <item h="1" x="3076"/>
        <item h="1" x="3077"/>
        <item h="1" x="3078"/>
        <item h="1" x="3079"/>
        <item h="1" x="3080"/>
        <item h="1" x="3081"/>
        <item h="1" x="3082"/>
        <item h="1" x="3083"/>
        <item h="1" x="3084"/>
        <item h="1" x="3085"/>
        <item h="1" x="3086"/>
        <item h="1" x="3087"/>
        <item h="1" x="3088"/>
        <item h="1" x="3089"/>
        <item h="1" x="3090"/>
        <item h="1" x="3091"/>
        <item h="1" x="3092"/>
        <item h="1" x="3093"/>
        <item h="1" x="3094"/>
        <item h="1" x="3095"/>
        <item h="1" x="3096"/>
        <item h="1" x="3097"/>
        <item h="1" x="3098"/>
        <item h="1" x="3099"/>
        <item h="1" x="3100"/>
        <item h="1" x="3101"/>
        <item h="1" x="3102"/>
        <item h="1" x="3103"/>
        <item h="1" x="3104"/>
        <item h="1" x="3105"/>
        <item h="1" x="3106"/>
        <item h="1" x="3107"/>
        <item h="1" x="3108"/>
        <item h="1" x="3109"/>
        <item h="1" x="3110"/>
        <item h="1" x="3111"/>
        <item h="1" x="3112"/>
        <item h="1" x="3113"/>
        <item h="1" x="3114"/>
        <item h="1" x="3115"/>
        <item h="1" x="3116"/>
        <item h="1" x="3117"/>
        <item h="1" x="3118"/>
        <item h="1" x="3119"/>
        <item h="1" x="3120"/>
        <item h="1" x="3121"/>
        <item h="1" x="3122"/>
        <item h="1" x="3123"/>
        <item h="1" x="3124"/>
        <item h="1" x="3125"/>
        <item h="1" x="3126"/>
        <item h="1" x="3127"/>
        <item h="1" x="3128"/>
        <item h="1" x="3129"/>
        <item h="1" x="3130"/>
        <item h="1" x="3131"/>
        <item h="1" x="3132"/>
        <item h="1" x="3133"/>
        <item h="1" x="3134"/>
        <item h="1" x="3135"/>
        <item h="1" x="3136"/>
        <item h="1" x="3137"/>
        <item h="1" x="3138"/>
        <item h="1" x="3139"/>
        <item h="1" x="3140"/>
        <item h="1" x="3141"/>
        <item h="1" x="3142"/>
        <item h="1" x="3143"/>
        <item h="1" x="3144"/>
        <item h="1" x="3145"/>
        <item h="1" x="3146"/>
        <item h="1" x="3147"/>
        <item h="1" x="3148"/>
        <item h="1" x="3149"/>
        <item h="1" x="3150"/>
        <item h="1" x="3151"/>
        <item h="1" x="3152"/>
        <item h="1" x="3153"/>
        <item h="1" x="3154"/>
        <item h="1" x="3155"/>
        <item h="1" x="3156"/>
        <item h="1" x="3157"/>
        <item h="1" x="3158"/>
        <item h="1" x="3159"/>
        <item h="1" x="3160"/>
        <item h="1" x="3161"/>
        <item h="1" x="3162"/>
        <item h="1" x="3163"/>
        <item h="1" x="3164"/>
        <item h="1" x="3165"/>
        <item h="1" x="3166"/>
        <item h="1" x="3167"/>
        <item h="1" x="3168"/>
        <item h="1" x="3169"/>
        <item h="1" x="3170"/>
        <item h="1" x="3171"/>
        <item h="1" x="3172"/>
        <item h="1" x="3173"/>
        <item h="1" x="3174"/>
        <item h="1" x="3175"/>
        <item h="1" x="3176"/>
        <item h="1" x="3177"/>
        <item h="1" x="3178"/>
        <item h="1" x="3179"/>
        <item h="1" x="3180"/>
        <item h="1" x="3181"/>
        <item h="1" x="3182"/>
        <item h="1" x="3183"/>
        <item h="1" x="3184"/>
        <item h="1" x="3185"/>
        <item h="1" x="3186"/>
        <item h="1" x="3187"/>
        <item h="1" x="3188"/>
        <item h="1" x="3189"/>
        <item h="1" x="3190"/>
        <item h="1" x="3191"/>
        <item h="1" x="3192"/>
        <item h="1" x="3193"/>
        <item h="1" x="3194"/>
        <item h="1" x="3195"/>
        <item h="1" x="3196"/>
        <item h="1" x="3197"/>
        <item h="1" x="3198"/>
        <item h="1" x="3199"/>
        <item h="1" x="3200"/>
        <item h="1" x="3201"/>
        <item h="1" x="3202"/>
        <item h="1" x="3203"/>
        <item h="1" x="3204"/>
        <item h="1" x="3205"/>
        <item h="1" x="3206"/>
        <item h="1" x="3207"/>
        <item h="1" x="3208"/>
        <item h="1" x="3209"/>
        <item h="1" x="3210"/>
        <item h="1" x="3211"/>
        <item h="1" x="3212"/>
        <item h="1" x="3213"/>
        <item h="1" x="3214"/>
        <item h="1" x="3215"/>
        <item h="1" x="3216"/>
        <item h="1" x="3217"/>
        <item h="1" x="3218"/>
        <item h="1" x="3219"/>
        <item h="1" x="3220"/>
        <item h="1" x="3221"/>
        <item h="1" x="3222"/>
        <item h="1" x="3223"/>
        <item h="1" x="3224"/>
        <item h="1" x="3225"/>
        <item h="1" x="3226"/>
        <item h="1" x="3227"/>
        <item h="1" x="3228"/>
        <item h="1" x="3229"/>
        <item h="1" x="3230"/>
        <item h="1" x="3231"/>
        <item h="1" x="3232"/>
        <item h="1" x="3233"/>
        <item h="1" x="3234"/>
        <item h="1" x="3235"/>
        <item h="1" x="3236"/>
        <item h="1" x="3237"/>
        <item h="1" x="3238"/>
        <item h="1" x="3239"/>
        <item h="1" x="3240"/>
        <item h="1" x="3241"/>
        <item h="1" x="3242"/>
        <item h="1" x="3243"/>
        <item h="1" x="3244"/>
        <item h="1" x="3245"/>
        <item h="1" x="3246"/>
        <item h="1" x="3247"/>
        <item h="1" x="3248"/>
        <item h="1" x="3249"/>
        <item h="1" x="3250"/>
        <item h="1" x="3251"/>
        <item h="1" x="3252"/>
        <item h="1" x="3253"/>
        <item h="1" x="3254"/>
        <item h="1" x="3255"/>
        <item h="1" x="3256"/>
        <item h="1" x="3257"/>
        <item h="1" x="3258"/>
        <item h="1" x="3259"/>
        <item h="1" x="3260"/>
        <item h="1" x="3261"/>
        <item h="1" x="3262"/>
        <item h="1" x="3263"/>
        <item h="1" x="3264"/>
        <item h="1" x="3265"/>
        <item h="1" x="3266"/>
        <item h="1" x="3267"/>
        <item h="1" x="3268"/>
        <item h="1" x="3269"/>
        <item h="1" x="3270"/>
        <item h="1" x="3271"/>
        <item h="1" x="3272"/>
        <item h="1" x="3273"/>
        <item h="1" x="3274"/>
        <item h="1" x="3275"/>
        <item h="1" x="3276"/>
        <item h="1" x="3277"/>
        <item h="1" x="3278"/>
        <item h="1" x="3279"/>
        <item h="1" x="3280"/>
        <item h="1" x="3281"/>
        <item h="1" x="3282"/>
        <item h="1" x="3283"/>
        <item h="1" x="3284"/>
        <item h="1" x="3285"/>
        <item h="1" x="3286"/>
        <item h="1" x="3287"/>
        <item h="1" x="3288"/>
        <item h="1" x="3289"/>
        <item h="1" x="3290"/>
        <item h="1" x="3291"/>
        <item h="1" x="3292"/>
        <item h="1" x="3293"/>
        <item h="1" x="3294"/>
        <item h="1" x="3295"/>
        <item h="1" x="3296"/>
        <item h="1" x="3297"/>
        <item h="1" x="3298"/>
        <item h="1" x="3299"/>
        <item h="1" x="3300"/>
        <item h="1" x="3301"/>
        <item h="1" x="3302"/>
        <item h="1" x="3303"/>
        <item h="1" x="3304"/>
        <item h="1" x="3305"/>
        <item h="1" x="3306"/>
        <item h="1" x="3307"/>
        <item h="1" x="3308"/>
        <item h="1" x="3309"/>
        <item h="1" x="3310"/>
        <item h="1" x="3311"/>
        <item h="1" x="3312"/>
        <item h="1" x="3313"/>
        <item h="1" x="3314"/>
        <item h="1" x="3315"/>
        <item h="1" x="3316"/>
        <item h="1" x="3317"/>
        <item h="1" x="3318"/>
        <item h="1" x="3319"/>
        <item h="1" x="3320"/>
        <item h="1" x="3321"/>
        <item h="1" x="3322"/>
        <item h="1" x="3323"/>
        <item h="1" x="3324"/>
        <item h="1" x="3325"/>
        <item h="1" x="3326"/>
        <item h="1" x="3327"/>
        <item h="1" x="3328"/>
        <item h="1" x="3329"/>
        <item h="1" x="3330"/>
        <item h="1" x="3331"/>
        <item h="1" x="3332"/>
        <item h="1" x="3333"/>
        <item h="1" x="3334"/>
        <item h="1" x="3335"/>
        <item h="1" x="3336"/>
        <item h="1" x="3337"/>
        <item h="1" x="3338"/>
        <item h="1" x="3339"/>
        <item h="1" x="3340"/>
        <item h="1" x="3341"/>
        <item h="1" x="3342"/>
        <item h="1" x="3343"/>
        <item h="1" x="3344"/>
        <item h="1" x="3345"/>
        <item h="1" x="3346"/>
        <item h="1" x="3347"/>
        <item h="1" x="3348"/>
        <item h="1" x="3349"/>
        <item h="1" x="3350"/>
        <item h="1" x="3351"/>
        <item h="1" x="3352"/>
        <item h="1" x="3353"/>
        <item h="1" x="3354"/>
        <item h="1" x="3355"/>
        <item h="1" x="3356"/>
        <item h="1" x="3357"/>
        <item h="1" x="3358"/>
        <item h="1" x="3359"/>
        <item h="1" x="3360"/>
        <item h="1" x="3361"/>
        <item h="1" x="3362"/>
        <item h="1" x="3363"/>
        <item h="1" x="3364"/>
        <item h="1" x="3365"/>
        <item h="1" x="3366"/>
        <item h="1" x="3367"/>
        <item h="1" x="3368"/>
        <item h="1" x="3369"/>
        <item h="1" x="3370"/>
        <item h="1" x="3371"/>
        <item h="1" x="3372"/>
        <item h="1" x="3373"/>
        <item h="1" x="3374"/>
        <item h="1" x="3375"/>
        <item h="1" x="3376"/>
        <item h="1" x="3377"/>
        <item h="1" x="3378"/>
        <item h="1" x="3379"/>
        <item h="1" x="3380"/>
        <item h="1" x="3381"/>
        <item h="1" x="3382"/>
        <item h="1" x="3383"/>
        <item h="1" x="3384"/>
        <item h="1" x="3385"/>
        <item h="1" x="3386"/>
        <item h="1" x="3387"/>
        <item h="1" x="3388"/>
        <item h="1" x="3389"/>
        <item h="1" x="3390"/>
        <item h="1" x="3391"/>
        <item h="1" x="3392"/>
        <item h="1" x="3393"/>
        <item h="1" x="3394"/>
        <item h="1" x="3395"/>
        <item h="1" x="3396"/>
        <item h="1" x="3397"/>
        <item h="1" x="3398"/>
        <item h="1" x="3399"/>
        <item h="1" x="3400"/>
        <item h="1" x="3401"/>
        <item h="1" x="3402"/>
        <item h="1" x="3403"/>
        <item h="1" x="3404"/>
        <item h="1" x="3405"/>
        <item h="1" x="3406"/>
        <item h="1" x="3407"/>
        <item h="1" x="3408"/>
        <item h="1" x="3409"/>
        <item h="1" x="3410"/>
        <item h="1" x="3411"/>
        <item h="1" x="3412"/>
        <item h="1" x="3413"/>
        <item h="1" x="3414"/>
        <item h="1" x="3415"/>
        <item h="1" x="3416"/>
        <item h="1" x="3417"/>
        <item h="1" x="3418"/>
        <item h="1" x="3419"/>
        <item h="1" x="3420"/>
        <item h="1" x="3421"/>
        <item h="1" x="3422"/>
        <item h="1" x="3423"/>
        <item h="1" x="3424"/>
        <item h="1" x="3425"/>
        <item h="1" x="3426"/>
        <item h="1" x="3427"/>
        <item h="1" x="3428"/>
        <item h="1" x="3429"/>
        <item h="1" x="3430"/>
        <item h="1" x="3431"/>
        <item h="1" x="3432"/>
        <item h="1" x="3433"/>
        <item h="1" x="3434"/>
        <item h="1" x="3435"/>
        <item h="1" x="3436"/>
        <item h="1" x="3437"/>
        <item h="1" x="3438"/>
        <item h="1" x="3439"/>
        <item h="1" x="3440"/>
        <item h="1" x="3441"/>
        <item h="1" x="3442"/>
        <item h="1" x="3443"/>
        <item h="1" x="3444"/>
        <item h="1" x="3445"/>
        <item h="1" x="3446"/>
        <item h="1" x="3447"/>
        <item h="1" x="3448"/>
        <item h="1" x="3449"/>
        <item h="1" x="3450"/>
        <item h="1" x="3451"/>
        <item h="1" x="3452"/>
        <item h="1" x="3453"/>
        <item h="1" x="3454"/>
        <item h="1" x="3455"/>
        <item h="1" x="3456"/>
        <item h="1" x="3457"/>
        <item h="1" x="3458"/>
        <item h="1" x="3459"/>
        <item h="1" x="3460"/>
        <item h="1" x="3461"/>
        <item h="1" x="3462"/>
        <item h="1" x="3463"/>
        <item h="1" x="3464"/>
        <item h="1" x="3465"/>
        <item h="1" x="3466"/>
        <item h="1" x="3467"/>
        <item h="1" x="3468"/>
        <item h="1" x="3469"/>
        <item h="1" x="3470"/>
        <item h="1" x="3471"/>
        <item h="1" x="3472"/>
        <item h="1" x="3473"/>
        <item h="1" x="3474"/>
        <item h="1" x="3475"/>
        <item h="1" x="3476"/>
        <item h="1" x="3477"/>
        <item h="1" x="3478"/>
        <item h="1" x="3479"/>
        <item h="1" x="3480"/>
        <item h="1" x="3481"/>
        <item h="1" x="3482"/>
        <item h="1" x="3483"/>
        <item h="1" x="3484"/>
        <item h="1" x="3485"/>
        <item h="1" x="3486"/>
        <item h="1" x="3487"/>
        <item h="1" x="3488"/>
        <item h="1" x="3489"/>
        <item h="1" x="3490"/>
        <item h="1" x="3491"/>
        <item h="1" x="3492"/>
        <item h="1" x="3493"/>
        <item h="1" x="3494"/>
        <item h="1" x="3495"/>
        <item h="1" x="3496"/>
        <item h="1" x="3497"/>
        <item h="1" x="3498"/>
        <item h="1" x="3499"/>
        <item h="1" x="3500"/>
        <item h="1" x="3501"/>
        <item h="1" x="3502"/>
        <item h="1" x="3503"/>
        <item h="1" x="3504"/>
        <item h="1" x="3505"/>
        <item h="1" x="3506"/>
        <item h="1" x="3507"/>
        <item h="1" x="3508"/>
        <item h="1" x="3509"/>
        <item h="1" x="3510"/>
        <item h="1" x="3511"/>
        <item h="1" x="3512"/>
        <item h="1" x="3513"/>
        <item h="1" x="3514"/>
        <item h="1" x="3515"/>
        <item h="1" x="3516"/>
        <item h="1" x="3517"/>
        <item h="1" x="3518"/>
        <item h="1" x="3519"/>
        <item h="1" x="3520"/>
        <item h="1" x="3521"/>
        <item h="1" x="3522"/>
        <item h="1" x="3523"/>
        <item h="1" x="3524"/>
        <item h="1" x="3525"/>
        <item h="1" x="3526"/>
        <item h="1" x="3527"/>
        <item h="1" x="3528"/>
        <item h="1" x="3529"/>
        <item h="1" x="3530"/>
        <item h="1" x="3531"/>
        <item h="1" x="3532"/>
        <item h="1" x="3533"/>
        <item h="1" x="3534"/>
        <item h="1" x="3535"/>
        <item h="1" x="3536"/>
        <item h="1" x="3537"/>
        <item h="1" x="3538"/>
        <item h="1" x="3539"/>
        <item h="1" x="3540"/>
        <item h="1" x="3541"/>
        <item h="1" x="3542"/>
        <item h="1" x="3543"/>
        <item h="1" x="3544"/>
        <item h="1" x="3545"/>
        <item h="1" x="3546"/>
        <item h="1" x="3547"/>
        <item h="1" x="3548"/>
        <item h="1" x="3549"/>
        <item h="1" x="3550"/>
        <item h="1" x="3551"/>
        <item h="1" x="3552"/>
        <item h="1" x="3553"/>
        <item h="1" x="3554"/>
        <item h="1" x="3555"/>
        <item h="1" x="3556"/>
        <item h="1" x="3557"/>
        <item h="1" x="3558"/>
        <item h="1" x="3559"/>
        <item h="1" x="3560"/>
        <item h="1" x="3561"/>
        <item h="1" x="3562"/>
        <item h="1" x="3563"/>
        <item h="1" x="3564"/>
        <item h="1" x="3565"/>
        <item h="1" x="3566"/>
        <item h="1" x="3567"/>
        <item h="1" x="3568"/>
        <item h="1" x="3569"/>
        <item h="1" x="3570"/>
        <item h="1" x="3571"/>
        <item h="1" x="3572"/>
        <item h="1" x="3573"/>
        <item h="1" x="3574"/>
        <item h="1" x="3575"/>
        <item h="1" x="3576"/>
        <item h="1" x="3577"/>
        <item h="1" x="3578"/>
        <item h="1" x="3579"/>
        <item h="1" x="3580"/>
        <item h="1" x="3581"/>
        <item h="1" x="3582"/>
        <item h="1" x="3583"/>
        <item h="1" x="3584"/>
        <item h="1" x="3585"/>
        <item h="1" x="3586"/>
        <item h="1" x="3587"/>
        <item h="1" x="3588"/>
        <item h="1" x="3589"/>
        <item h="1" x="3590"/>
        <item h="1" x="3591"/>
        <item h="1" x="3592"/>
        <item h="1" x="3593"/>
        <item h="1" x="3594"/>
        <item h="1" x="3595"/>
        <item h="1" x="3596"/>
        <item h="1" x="3597"/>
        <item h="1" x="3598"/>
        <item h="1" x="3599"/>
        <item h="1" x="3600"/>
        <item h="1" x="3601"/>
        <item h="1" x="3602"/>
        <item h="1" x="3603"/>
        <item h="1" x="3604"/>
        <item h="1" x="3605"/>
        <item h="1" x="3606"/>
        <item h="1" x="3607"/>
        <item h="1" x="3608"/>
        <item h="1" x="3609"/>
        <item h="1" x="3610"/>
        <item h="1" x="3611"/>
        <item h="1" x="3612"/>
        <item h="1" x="3613"/>
        <item h="1" x="3614"/>
        <item h="1" x="3615"/>
        <item h="1" x="3616"/>
        <item h="1" x="3617"/>
        <item h="1" x="3618"/>
        <item h="1" x="3619"/>
        <item h="1" x="3620"/>
        <item h="1" x="3621"/>
        <item h="1" x="3622"/>
        <item h="1" x="3623"/>
        <item h="1" x="3624"/>
        <item h="1" x="3625"/>
        <item h="1" x="3626"/>
        <item h="1" x="3627"/>
        <item h="1" x="3628"/>
        <item h="1" x="3629"/>
        <item h="1" x="3630"/>
        <item h="1" x="3631"/>
        <item h="1" x="3632"/>
        <item h="1" x="3633"/>
        <item h="1" x="3634"/>
        <item h="1" x="3635"/>
        <item h="1" x="3636"/>
        <item h="1" x="3637"/>
        <item h="1" x="3638"/>
        <item h="1" x="3639"/>
        <item h="1" x="3640"/>
        <item h="1" x="3641"/>
        <item h="1" x="3642"/>
        <item h="1" x="3643"/>
        <item h="1" x="3644"/>
        <item h="1" x="3645"/>
        <item h="1" x="3646"/>
        <item h="1" x="3647"/>
        <item h="1" x="3648"/>
        <item h="1" x="3649"/>
        <item h="1" x="3650"/>
        <item h="1" x="3651"/>
        <item h="1" x="3652"/>
        <item h="1" x="3653"/>
        <item h="1" x="3654"/>
        <item h="1" x="3655"/>
        <item h="1" x="3656"/>
        <item h="1" x="3657"/>
        <item h="1" x="3658"/>
        <item h="1" x="3659"/>
        <item h="1" x="3660"/>
        <item h="1" x="3661"/>
        <item h="1" x="3662"/>
        <item h="1" x="3663"/>
        <item h="1" x="3664"/>
        <item h="1" x="3665"/>
        <item h="1" x="3666"/>
        <item h="1" x="3667"/>
        <item h="1" x="3668"/>
        <item h="1" x="3669"/>
        <item h="1" x="3670"/>
        <item h="1" x="3671"/>
        <item h="1" x="3672"/>
        <item h="1" x="3673"/>
        <item h="1" x="3674"/>
        <item h="1" x="3675"/>
        <item h="1" x="3676"/>
        <item h="1" x="3677"/>
        <item h="1" x="3678"/>
        <item h="1" x="3679"/>
        <item h="1" x="3680"/>
        <item h="1" x="3681"/>
        <item h="1" x="3682"/>
        <item h="1" x="3683"/>
        <item h="1" x="3684"/>
        <item h="1" x="3685"/>
        <item h="1" x="3686"/>
        <item h="1" x="3687"/>
        <item h="1" x="3688"/>
        <item h="1" x="3689"/>
        <item h="1" x="3690"/>
        <item h="1" x="3691"/>
        <item h="1" x="3692"/>
        <item h="1" x="3693"/>
        <item h="1" x="3694"/>
        <item h="1" x="3695"/>
        <item h="1" x="3696"/>
        <item h="1" x="3697"/>
        <item h="1" x="3698"/>
        <item h="1" x="3699"/>
        <item h="1" x="3700"/>
        <item h="1" x="3701"/>
        <item h="1" x="3702"/>
        <item h="1" x="3703"/>
        <item h="1" x="3704"/>
        <item h="1" x="3705"/>
        <item h="1" x="3706"/>
        <item h="1" x="3707"/>
        <item h="1" x="3708"/>
        <item h="1" x="3709"/>
        <item h="1" x="3710"/>
        <item h="1" x="3711"/>
        <item h="1" x="3712"/>
        <item h="1" x="3713"/>
        <item h="1" x="3714"/>
        <item h="1" x="3715"/>
        <item h="1" x="3716"/>
        <item h="1" x="3717"/>
        <item h="1" x="3718"/>
        <item h="1" x="3719"/>
        <item h="1" x="3720"/>
        <item h="1" x="3721"/>
        <item h="1" x="3722"/>
        <item h="1" x="3723"/>
        <item h="1" x="3724"/>
        <item h="1" x="3725"/>
        <item h="1" x="3726"/>
        <item h="1" x="3727"/>
        <item h="1" x="3728"/>
        <item h="1" x="3729"/>
        <item h="1" x="3730"/>
        <item h="1" x="3731"/>
        <item h="1" x="3732"/>
        <item h="1" x="3733"/>
        <item h="1" x="3734"/>
        <item h="1" x="3735"/>
        <item h="1" x="3736"/>
        <item h="1" x="3737"/>
        <item h="1" x="3738"/>
        <item h="1" x="3739"/>
        <item h="1" x="3740"/>
        <item h="1" x="3741"/>
        <item h="1" x="3742"/>
        <item h="1" x="3743"/>
        <item h="1" x="3744"/>
        <item h="1" x="3745"/>
        <item h="1" x="3746"/>
        <item h="1" x="3747"/>
        <item h="1" x="3748"/>
        <item h="1" x="3749"/>
        <item h="1" x="3750"/>
        <item h="1" x="3751"/>
        <item h="1" x="3752"/>
        <item h="1" x="3753"/>
        <item h="1" x="3754"/>
        <item h="1" x="3755"/>
        <item h="1" x="3756"/>
        <item h="1" x="3757"/>
        <item h="1" x="3758"/>
        <item h="1" x="3759"/>
        <item h="1" x="3760"/>
        <item h="1" x="3761"/>
        <item h="1" x="3762"/>
        <item h="1" x="3763"/>
        <item h="1" x="3764"/>
        <item h="1" x="3765"/>
        <item h="1" x="3766"/>
        <item h="1" x="3767"/>
        <item h="1" x="3768"/>
        <item h="1" x="3769"/>
        <item h="1" x="3770"/>
        <item h="1" x="3771"/>
        <item h="1" x="3772"/>
        <item h="1" x="3773"/>
        <item h="1" x="3774"/>
        <item h="1" x="3775"/>
        <item h="1" x="3776"/>
        <item h="1" x="3777"/>
        <item h="1" x="3778"/>
        <item h="1" x="3779"/>
        <item h="1" x="3780"/>
        <item h="1" x="3781"/>
        <item h="1" x="3782"/>
        <item h="1" x="3783"/>
        <item h="1" x="3784"/>
        <item h="1" x="3785"/>
        <item h="1" x="3786"/>
        <item h="1" x="3787"/>
        <item h="1" x="3788"/>
        <item h="1" x="3789"/>
        <item h="1" x="3790"/>
        <item h="1" x="3791"/>
        <item h="1" x="3792"/>
        <item h="1" x="3793"/>
        <item h="1" x="3794"/>
        <item h="1" x="3795"/>
        <item h="1" x="3796"/>
        <item h="1" x="3797"/>
        <item h="1" x="3798"/>
        <item h="1" x="3799"/>
        <item h="1" x="3800"/>
        <item h="1" x="3801"/>
        <item h="1" x="3802"/>
        <item h="1" x="3803"/>
        <item h="1" x="3804"/>
        <item h="1" x="3805"/>
        <item h="1" x="3806"/>
        <item h="1" x="3807"/>
        <item h="1" x="3808"/>
        <item h="1" x="3809"/>
        <item h="1" x="3810"/>
        <item h="1" x="3811"/>
        <item h="1" x="3812"/>
        <item h="1" x="3813"/>
        <item h="1" x="3814"/>
        <item h="1" x="3815"/>
        <item h="1" x="3816"/>
        <item h="1" x="3817"/>
        <item h="1" x="3818"/>
        <item h="1" x="3819"/>
        <item h="1" x="3820"/>
        <item h="1" x="3821"/>
        <item h="1" x="3822"/>
        <item h="1" x="3823"/>
        <item h="1" x="3824"/>
        <item h="1" x="3825"/>
        <item h="1" x="3826"/>
        <item h="1" x="3827"/>
        <item h="1" x="3828"/>
        <item h="1" x="3829"/>
        <item h="1" x="3830"/>
        <item h="1" x="3831"/>
        <item h="1" x="3832"/>
        <item h="1" x="3833"/>
        <item h="1" x="3834"/>
        <item h="1" x="3835"/>
        <item h="1" x="3836"/>
        <item h="1" x="3837"/>
        <item h="1" x="3838"/>
        <item h="1" x="3839"/>
        <item h="1" x="3840"/>
        <item h="1" x="3841"/>
        <item h="1" x="3842"/>
        <item h="1" x="3843"/>
        <item h="1" x="3844"/>
        <item h="1" x="3845"/>
        <item h="1" x="3846"/>
        <item h="1" x="3847"/>
        <item h="1" x="3848"/>
        <item h="1" x="3849"/>
        <item h="1" x="3850"/>
        <item h="1" x="3851"/>
        <item h="1" x="3852"/>
        <item h="1" x="3853"/>
        <item h="1" x="3854"/>
        <item h="1" x="3855"/>
        <item h="1" x="3856"/>
        <item h="1" x="3857"/>
        <item h="1" x="3858"/>
        <item h="1" x="3859"/>
        <item h="1" x="3860"/>
        <item h="1" x="3861"/>
        <item h="1" x="3862"/>
        <item h="1" x="3863"/>
        <item h="1" x="3864"/>
        <item h="1" x="3865"/>
        <item h="1" x="3866"/>
        <item h="1" x="3867"/>
        <item h="1" x="3868"/>
        <item h="1" x="3869"/>
        <item h="1" x="3870"/>
        <item h="1" x="3871"/>
        <item h="1" x="3872"/>
        <item h="1" x="3873"/>
        <item h="1" x="3874"/>
        <item h="1" x="3875"/>
        <item h="1" x="3876"/>
        <item h="1" x="3877"/>
        <item h="1" x="3878"/>
        <item h="1" x="3879"/>
        <item h="1" x="3880"/>
        <item h="1" x="3881"/>
        <item h="1" x="3882"/>
        <item h="1" x="3883"/>
        <item h="1" x="3884"/>
        <item h="1" x="3885"/>
        <item h="1" x="3886"/>
        <item h="1" x="3887"/>
        <item h="1" x="3888"/>
        <item h="1" x="3889"/>
        <item h="1" x="3890"/>
        <item h="1" x="3891"/>
        <item h="1" x="3892"/>
        <item h="1" x="3893"/>
        <item h="1" x="3894"/>
        <item h="1" x="3895"/>
        <item h="1" x="3896"/>
        <item h="1" x="3897"/>
        <item h="1" x="3898"/>
        <item h="1" x="3899"/>
        <item h="1" x="3900"/>
        <item h="1" x="3901"/>
        <item h="1" x="3902"/>
        <item h="1" x="3903"/>
        <item h="1" x="3904"/>
        <item h="1" x="3905"/>
        <item h="1" x="3906"/>
        <item h="1" x="3907"/>
        <item h="1" x="3908"/>
        <item h="1" x="3909"/>
        <item h="1" x="3910"/>
        <item h="1" x="3911"/>
        <item h="1" x="3912"/>
        <item h="1" x="3913"/>
        <item h="1" x="3914"/>
        <item h="1" x="3915"/>
        <item h="1" x="3916"/>
        <item h="1" x="3917"/>
        <item h="1" x="3918"/>
        <item h="1" x="3919"/>
        <item h="1" x="3920"/>
        <item h="1" x="3921"/>
        <item h="1" x="3922"/>
        <item h="1" x="3923"/>
        <item h="1" x="3924"/>
        <item h="1" x="3925"/>
        <item h="1" x="3926"/>
        <item h="1" x="3927"/>
        <item h="1" x="3928"/>
        <item h="1" x="3929"/>
        <item h="1" x="3930"/>
        <item h="1" x="3931"/>
        <item h="1" x="3932"/>
        <item h="1" x="3933"/>
        <item h="1" x="3934"/>
        <item h="1" x="3935"/>
        <item h="1" x="3936"/>
        <item h="1" x="3937"/>
        <item h="1" x="3938"/>
        <item h="1" x="3939"/>
        <item h="1" x="3940"/>
        <item h="1" x="3941"/>
        <item h="1" x="3942"/>
        <item h="1" x="3943"/>
        <item h="1" x="3944"/>
        <item h="1" x="3945"/>
        <item h="1" x="3946"/>
        <item h="1" x="3947"/>
        <item h="1" x="3948"/>
        <item h="1" x="3949"/>
        <item h="1" x="3950"/>
        <item h="1" x="3951"/>
        <item h="1" x="3952"/>
        <item h="1" x="3953"/>
        <item h="1" x="3954"/>
        <item h="1" x="3955"/>
        <item h="1" x="3956"/>
        <item h="1" x="3957"/>
        <item h="1" x="3958"/>
        <item h="1" x="3959"/>
        <item h="1" x="3960"/>
        <item h="1" x="3961"/>
        <item h="1" x="3962"/>
        <item h="1" x="3963"/>
        <item h="1" x="3964"/>
        <item h="1" x="3965"/>
        <item h="1" x="3966"/>
        <item h="1" x="3967"/>
        <item h="1" x="3968"/>
        <item h="1" x="3969"/>
        <item h="1" x="3970"/>
        <item h="1" x="3971"/>
        <item h="1" x="3972"/>
        <item h="1" x="3973"/>
        <item h="1" x="3974"/>
        <item h="1" x="3975"/>
        <item h="1" x="3976"/>
        <item h="1" x="3977"/>
        <item h="1" x="3978"/>
        <item h="1" x="3979"/>
        <item h="1" x="3980"/>
        <item h="1" x="3981"/>
        <item h="1" x="3982"/>
        <item h="1" x="3983"/>
        <item h="1" x="3984"/>
        <item h="1" x="3985"/>
        <item h="1" x="3986"/>
        <item h="1" x="3987"/>
        <item h="1" x="3988"/>
        <item h="1" x="3989"/>
        <item h="1" x="3990"/>
        <item h="1" x="3991"/>
        <item h="1" x="3992"/>
        <item h="1" x="3993"/>
        <item h="1" x="3994"/>
        <item h="1" x="3995"/>
        <item h="1" x="3996"/>
        <item h="1" x="3997"/>
        <item h="1" x="3998"/>
        <item h="1" x="3999"/>
        <item h="1" x="4000"/>
        <item h="1" x="4001"/>
        <item h="1" x="4002"/>
        <item h="1" x="4003"/>
        <item h="1" x="4004"/>
        <item h="1" x="4005"/>
        <item h="1" x="4006"/>
        <item h="1" x="4007"/>
        <item h="1" x="4008"/>
        <item h="1" x="4009"/>
        <item h="1" x="4010"/>
        <item h="1" x="4011"/>
        <item h="1" x="4012"/>
        <item h="1" x="4013"/>
        <item h="1" x="4014"/>
        <item h="1" x="4015"/>
        <item h="1" x="4016"/>
        <item h="1" x="4017"/>
        <item h="1" x="4018"/>
        <item h="1" x="4019"/>
        <item h="1" x="4020"/>
        <item h="1" x="4021"/>
        <item h="1" x="4022"/>
        <item h="1" x="4023"/>
        <item h="1" x="4024"/>
        <item h="1" x="4025"/>
        <item h="1" x="4026"/>
        <item h="1" x="4027"/>
        <item h="1" x="4028"/>
        <item h="1" x="4029"/>
        <item h="1" x="4030"/>
        <item h="1" x="4031"/>
        <item h="1" x="4032"/>
        <item h="1" x="4033"/>
        <item h="1" x="4034"/>
        <item h="1" x="4035"/>
        <item h="1" x="4036"/>
        <item h="1" x="4037"/>
        <item h="1" x="4038"/>
        <item h="1" x="4039"/>
        <item h="1" x="4040"/>
        <item h="1" x="4041"/>
        <item h="1" x="4042"/>
        <item h="1" x="4043"/>
        <item h="1" x="4044"/>
        <item h="1" x="4045"/>
        <item h="1" x="4046"/>
        <item h="1" x="4047"/>
        <item h="1" x="4048"/>
        <item h="1" x="4049"/>
        <item h="1" x="4050"/>
        <item h="1" x="4051"/>
        <item h="1" x="4052"/>
        <item h="1" x="4053"/>
        <item h="1" x="4054"/>
        <item h="1" x="4055"/>
        <item h="1" x="4056"/>
        <item h="1" x="4057"/>
        <item h="1" x="4058"/>
        <item h="1" x="4059"/>
        <item h="1" x="4060"/>
        <item h="1" x="4061"/>
        <item h="1" x="4062"/>
        <item h="1" x="4063"/>
        <item h="1" x="4064"/>
        <item h="1" x="4065"/>
        <item h="1" x="4066"/>
        <item h="1" x="4067"/>
        <item h="1" x="4068"/>
        <item h="1" x="4069"/>
        <item h="1" x="4070"/>
        <item h="1" x="4071"/>
        <item h="1" x="4072"/>
        <item h="1" x="4073"/>
        <item h="1" x="4074"/>
        <item h="1" x="4075"/>
        <item h="1" x="4076"/>
        <item h="1" x="4077"/>
        <item h="1" x="4078"/>
        <item h="1" x="4079"/>
        <item h="1" x="4080"/>
        <item h="1" x="4081"/>
        <item h="1" x="4082"/>
        <item h="1" x="4083"/>
        <item h="1" x="4084"/>
        <item h="1" x="4085"/>
        <item h="1" x="4086"/>
        <item h="1" x="4087"/>
        <item h="1" x="4088"/>
        <item h="1" x="4089"/>
        <item h="1" x="4090"/>
        <item h="1" x="4091"/>
        <item h="1" x="4092"/>
        <item h="1" x="4093"/>
        <item h="1" x="4094"/>
        <item h="1" x="4095"/>
        <item h="1" x="4096"/>
        <item h="1" x="4097"/>
        <item h="1" x="4098"/>
        <item h="1" x="4099"/>
        <item h="1" x="4100"/>
        <item h="1" x="4101"/>
        <item h="1" x="4102"/>
        <item h="1" x="4103"/>
        <item h="1" x="4104"/>
        <item h="1" x="4105"/>
        <item h="1" x="4106"/>
        <item h="1" x="4107"/>
        <item h="1" x="4108"/>
        <item h="1" x="4109"/>
        <item h="1" x="4110"/>
        <item h="1" x="4111"/>
        <item h="1" x="4112"/>
        <item h="1" x="4113"/>
        <item h="1" x="4114"/>
        <item h="1" x="4115"/>
        <item h="1" x="4116"/>
        <item h="1" x="4117"/>
        <item h="1" x="4118"/>
        <item h="1" x="4119"/>
        <item h="1" x="4120"/>
        <item h="1" x="4121"/>
        <item h="1" x="4122"/>
        <item h="1" x="4123"/>
        <item h="1" x="4124"/>
        <item h="1" x="4125"/>
        <item h="1" x="4126"/>
        <item h="1" x="4127"/>
        <item h="1" x="4128"/>
        <item h="1" x="4129"/>
        <item h="1" x="4130"/>
        <item h="1" x="4131"/>
        <item h="1" x="4132"/>
        <item h="1" x="4133"/>
        <item h="1" x="4134"/>
        <item h="1" x="4135"/>
        <item h="1" x="4136"/>
        <item h="1" x="4137"/>
        <item h="1" x="4138"/>
        <item h="1" x="4139"/>
        <item h="1" x="4140"/>
        <item h="1" x="4141"/>
        <item h="1" x="4142"/>
        <item h="1" x="4143"/>
        <item h="1" x="4144"/>
        <item h="1" x="4145"/>
        <item h="1" x="4146"/>
        <item h="1" x="4147"/>
        <item h="1" x="4148"/>
        <item h="1" x="4149"/>
        <item h="1" x="4150"/>
        <item h="1" x="4151"/>
        <item h="1" x="4152"/>
        <item h="1" x="4153"/>
        <item h="1" x="4154"/>
        <item h="1" x="4155"/>
        <item h="1" x="4156"/>
        <item h="1" x="4157"/>
        <item h="1" x="4158"/>
        <item h="1" x="4159"/>
        <item h="1" x="4160"/>
        <item h="1" x="4161"/>
        <item h="1" x="4162"/>
        <item h="1" x="4163"/>
        <item h="1" x="4164"/>
        <item h="1" x="4165"/>
        <item h="1" x="4166"/>
        <item h="1" x="4167"/>
        <item h="1" x="4168"/>
        <item h="1" x="4169"/>
        <item h="1" x="4170"/>
        <item h="1" x="4171"/>
        <item h="1" x="4172"/>
        <item h="1" x="4173"/>
        <item h="1" x="4174"/>
        <item h="1" x="4175"/>
        <item h="1" x="4176"/>
        <item h="1" x="4177"/>
        <item h="1" x="4178"/>
        <item h="1" x="4179"/>
        <item h="1" x="4180"/>
        <item h="1" x="4181"/>
        <item h="1" x="4182"/>
        <item h="1" x="4183"/>
        <item h="1" x="4184"/>
        <item h="1" x="4185"/>
        <item h="1" x="4186"/>
        <item h="1" x="4187"/>
        <item h="1" x="4188"/>
        <item h="1" x="4189"/>
        <item h="1" x="4190"/>
        <item h="1" x="4191"/>
        <item h="1" x="4192"/>
        <item h="1" x="4193"/>
        <item h="1" x="4194"/>
        <item h="1" x="4195"/>
        <item h="1" x="4196"/>
        <item h="1" x="4197"/>
        <item h="1" x="4198"/>
        <item h="1" x="4199"/>
        <item h="1" x="4200"/>
        <item h="1" x="4201"/>
        <item h="1" x="4202"/>
        <item h="1" x="4203"/>
        <item h="1" x="4204"/>
        <item h="1" x="4205"/>
        <item h="1" x="4206"/>
        <item h="1" x="4207"/>
        <item h="1" x="4208"/>
        <item h="1" x="4209"/>
        <item h="1" x="4210"/>
        <item h="1" x="4211"/>
        <item h="1" x="4212"/>
        <item h="1" x="4213"/>
        <item h="1" x="4214"/>
        <item h="1" x="4215"/>
        <item h="1" x="4216"/>
        <item h="1" x="4217"/>
        <item h="1" x="4218"/>
        <item h="1" x="4219"/>
        <item h="1" x="4220"/>
        <item h="1" x="4221"/>
        <item h="1" x="4222"/>
        <item h="1" x="4223"/>
        <item h="1" x="4224"/>
        <item h="1" x="4225"/>
        <item h="1" x="4226"/>
        <item h="1" x="4227"/>
        <item h="1" x="4228"/>
        <item h="1" x="4229"/>
        <item h="1" x="4230"/>
        <item h="1" x="4231"/>
        <item h="1" x="4232"/>
        <item h="1" x="4233"/>
        <item h="1" x="4234"/>
        <item h="1" x="4235"/>
        <item h="1" x="4236"/>
        <item h="1" x="4237"/>
        <item h="1" x="4238"/>
        <item h="1" x="4239"/>
        <item h="1" x="4240"/>
        <item h="1" x="4241"/>
        <item h="1" x="4242"/>
        <item h="1" x="4243"/>
        <item h="1" x="4244"/>
        <item h="1" x="4245"/>
        <item h="1" x="4246"/>
        <item h="1" x="4247"/>
        <item h="1" x="4248"/>
        <item h="1" x="4249"/>
        <item h="1" x="4250"/>
        <item h="1" x="4251"/>
        <item h="1" x="4252"/>
        <item h="1" x="4253"/>
        <item h="1" x="4254"/>
        <item h="1" x="4255"/>
        <item h="1" x="4256"/>
        <item h="1" x="4257"/>
        <item h="1" x="4258"/>
        <item h="1" x="4259"/>
        <item h="1" x="4260"/>
        <item h="1" x="4261"/>
        <item h="1" x="4262"/>
        <item h="1" x="4263"/>
        <item h="1" x="4264"/>
        <item h="1" x="4265"/>
        <item h="1" x="4266"/>
        <item h="1" x="4267"/>
        <item h="1" x="4268"/>
        <item h="1" x="4269"/>
        <item h="1" x="4270"/>
        <item h="1" x="4271"/>
        <item h="1" x="4272"/>
        <item h="1" x="4273"/>
        <item h="1" x="4274"/>
        <item h="1" x="4275"/>
        <item h="1" x="4276"/>
        <item h="1" x="4277"/>
        <item h="1" x="4278"/>
        <item h="1" x="4279"/>
        <item h="1" x="4280"/>
        <item h="1" x="4281"/>
        <item h="1" x="4282"/>
        <item h="1" x="4283"/>
        <item h="1" x="4284"/>
        <item h="1" x="4285"/>
        <item h="1" x="4286"/>
        <item h="1" x="4287"/>
        <item h="1" x="4288"/>
        <item h="1" x="4289"/>
        <item h="1" x="4290"/>
        <item h="1" x="4291"/>
        <item h="1" x="4292"/>
        <item h="1" x="4293"/>
        <item h="1" x="4294"/>
        <item h="1" x="4295"/>
        <item h="1" x="4296"/>
        <item h="1" x="4297"/>
        <item h="1" x="4298"/>
        <item h="1" x="4299"/>
        <item h="1" x="4300"/>
        <item h="1" x="4301"/>
        <item h="1" x="4302"/>
        <item h="1" x="4303"/>
        <item h="1" x="4304"/>
        <item h="1" x="4305"/>
        <item h="1" x="4306"/>
        <item h="1" x="4307"/>
        <item h="1" x="4308"/>
        <item h="1" x="4309"/>
        <item h="1" x="4310"/>
        <item h="1" x="4311"/>
        <item h="1" x="4312"/>
        <item h="1" x="4313"/>
        <item h="1" x="4314"/>
        <item h="1" x="4315"/>
        <item h="1" x="4316"/>
        <item h="1" x="4317"/>
        <item h="1" x="4318"/>
        <item h="1" x="4319"/>
        <item h="1" x="4320"/>
        <item h="1" x="4321"/>
        <item h="1" x="4322"/>
        <item h="1" x="4323"/>
        <item h="1" x="4324"/>
        <item h="1" x="4325"/>
        <item h="1" x="4326"/>
        <item h="1" x="4327"/>
        <item h="1" x="4328"/>
        <item h="1" x="4329"/>
        <item h="1" x="4330"/>
        <item h="1" x="4331"/>
        <item h="1" x="4332"/>
        <item h="1" x="4333"/>
        <item h="1" x="4334"/>
        <item h="1" x="4335"/>
        <item h="1" x="4336"/>
        <item h="1" x="4337"/>
        <item h="1" x="4338"/>
        <item h="1" x="4339"/>
        <item h="1" x="4340"/>
        <item h="1" x="4341"/>
        <item h="1" x="4342"/>
        <item h="1" x="4343"/>
        <item h="1" x="4344"/>
        <item h="1" x="4345"/>
        <item h="1" x="4346"/>
        <item h="1" x="4347"/>
        <item h="1" x="4348"/>
        <item h="1" x="4349"/>
        <item h="1" x="4350"/>
        <item h="1" x="4351"/>
        <item h="1" x="4352"/>
        <item h="1" x="4353"/>
        <item h="1" x="4354"/>
        <item h="1" x="4355"/>
        <item h="1" x="4356"/>
        <item h="1" x="4357"/>
        <item h="1" x="4358"/>
        <item h="1" x="4359"/>
        <item h="1" x="4360"/>
        <item h="1" x="4361"/>
        <item h="1" x="4362"/>
        <item h="1" x="4363"/>
        <item h="1" x="4364"/>
        <item h="1" x="4365"/>
        <item h="1" x="4366"/>
        <item h="1" x="4367"/>
        <item h="1" x="4368"/>
        <item h="1" x="4369"/>
        <item h="1" x="4370"/>
        <item h="1" x="4371"/>
        <item h="1" x="4372"/>
        <item h="1" x="4373"/>
        <item h="1" x="4374"/>
        <item h="1" x="4375"/>
        <item h="1" x="4376"/>
        <item h="1" x="4377"/>
        <item h="1" x="4378"/>
        <item h="1" x="4379"/>
        <item h="1" x="4380"/>
        <item h="1" x="4381"/>
        <item h="1" x="4382"/>
        <item h="1" x="4383"/>
        <item h="1" x="4384"/>
        <item h="1" x="4385"/>
        <item h="1" x="4386"/>
        <item h="1" x="4387"/>
        <item h="1" x="4388"/>
        <item h="1" x="4389"/>
        <item h="1" x="4390"/>
        <item h="1" x="4391"/>
        <item h="1" x="4392"/>
        <item h="1" x="4393"/>
        <item h="1" x="4394"/>
        <item h="1" x="4395"/>
        <item h="1" x="4396"/>
        <item h="1" x="4397"/>
        <item h="1" x="4398"/>
        <item h="1" x="4399"/>
        <item h="1" x="4400"/>
        <item h="1" x="4401"/>
        <item h="1" x="4402"/>
        <item h="1" x="4403"/>
        <item h="1" x="4404"/>
        <item h="1" x="4405"/>
        <item h="1" x="4406"/>
        <item h="1" x="4407"/>
        <item h="1" x="4408"/>
        <item h="1" x="4409"/>
        <item h="1" x="4410"/>
        <item h="1" x="4411"/>
        <item h="1" x="4412"/>
        <item h="1" x="4413"/>
        <item h="1" x="4414"/>
        <item h="1" x="4415"/>
        <item h="1" x="4416"/>
        <item h="1" x="4417"/>
        <item h="1" x="4418"/>
        <item h="1" x="4419"/>
        <item h="1" x="4420"/>
        <item h="1" x="4421"/>
        <item h="1" x="4422"/>
        <item h="1" x="4423"/>
        <item h="1" x="4424"/>
        <item h="1" x="4425"/>
        <item h="1" x="4426"/>
        <item h="1" x="4427"/>
        <item h="1" x="4428"/>
        <item h="1" x="4429"/>
        <item h="1" x="4430"/>
        <item h="1" x="4431"/>
        <item h="1" x="4432"/>
        <item h="1" x="4433"/>
        <item h="1" x="4434"/>
        <item h="1" x="4435"/>
        <item h="1" x="4436"/>
        <item h="1" x="4437"/>
        <item h="1" x="4438"/>
        <item h="1" x="4439"/>
        <item h="1" x="4440"/>
        <item h="1" x="4441"/>
        <item h="1" x="4442"/>
        <item h="1" x="4443"/>
        <item h="1" x="4444"/>
        <item h="1" x="4445"/>
        <item h="1" x="4446"/>
        <item h="1" x="4447"/>
        <item h="1" x="4448"/>
        <item h="1" x="4449"/>
        <item h="1" x="4450"/>
        <item h="1" x="4451"/>
        <item h="1" x="4452"/>
        <item h="1" x="4453"/>
        <item h="1" x="4454"/>
        <item h="1" x="4455"/>
        <item h="1" x="4456"/>
        <item h="1" x="4457"/>
        <item h="1" x="4458"/>
        <item h="1" x="4459"/>
        <item h="1" x="4460"/>
        <item h="1" x="4461"/>
        <item h="1" x="4462"/>
        <item h="1" x="4463"/>
        <item h="1" x="4464"/>
        <item h="1" x="4465"/>
        <item h="1" x="4466"/>
        <item h="1" x="4467"/>
        <item h="1" x="4468"/>
        <item h="1" x="4469"/>
        <item h="1" x="4470"/>
        <item h="1" x="4471"/>
        <item h="1" x="4472"/>
        <item h="1" x="4473"/>
        <item h="1" x="4474"/>
        <item h="1" x="4475"/>
        <item h="1" x="4476"/>
        <item h="1" x="4477"/>
        <item h="1" x="4478"/>
        <item h="1" x="4479"/>
        <item h="1" x="4480"/>
        <item h="1" x="4481"/>
        <item h="1" x="4482"/>
        <item h="1" x="4483"/>
        <item h="1" x="4484"/>
        <item h="1" x="4485"/>
        <item h="1" x="4486"/>
        <item h="1" x="4487"/>
        <item h="1" x="4488"/>
        <item h="1" x="4489"/>
        <item h="1" x="4490"/>
        <item h="1" x="4491"/>
        <item h="1" x="4492"/>
        <item h="1" x="4493"/>
        <item h="1" x="4494"/>
        <item h="1" x="4495"/>
        <item h="1" x="4496"/>
        <item h="1" x="4497"/>
        <item h="1" x="4498"/>
        <item h="1" x="4499"/>
        <item h="1" x="4500"/>
        <item h="1" x="4501"/>
        <item h="1" x="4502"/>
        <item h="1" x="4503"/>
        <item h="1" x="4504"/>
        <item h="1" x="4505"/>
        <item h="1" x="4506"/>
        <item h="1" x="4507"/>
        <item h="1" x="4508"/>
        <item h="1" x="4509"/>
        <item h="1" x="4510"/>
        <item h="1" x="4511"/>
        <item h="1" x="4512"/>
        <item h="1" x="4513"/>
        <item h="1" x="4514"/>
        <item h="1" x="4515"/>
        <item h="1" x="4516"/>
        <item h="1" x="4517"/>
        <item h="1" x="4518"/>
        <item h="1" x="4519"/>
        <item h="1" x="4520"/>
        <item h="1" x="4521"/>
        <item h="1" x="4522"/>
        <item h="1" x="4523"/>
        <item h="1" x="4524"/>
        <item h="1" x="4525"/>
        <item h="1" x="4526"/>
        <item h="1" x="4527"/>
        <item h="1" x="4528"/>
        <item h="1" x="4529"/>
        <item h="1" x="4530"/>
        <item h="1" x="4531"/>
        <item h="1" x="4532"/>
        <item h="1" x="4533"/>
        <item h="1" x="4534"/>
        <item h="1" x="4535"/>
        <item h="1" x="4536"/>
        <item h="1" x="4537"/>
        <item h="1" x="4538"/>
        <item h="1" x="4539"/>
        <item h="1" x="4540"/>
        <item h="1" x="4541"/>
        <item h="1" x="4542"/>
        <item h="1" x="4543"/>
        <item h="1" x="4544"/>
        <item h="1" x="4545"/>
        <item h="1" x="4546"/>
        <item h="1" x="4547"/>
        <item h="1" x="4548"/>
        <item h="1" x="4549"/>
        <item h="1" x="4550"/>
        <item h="1" x="4551"/>
        <item h="1" x="4552"/>
        <item h="1" x="4553"/>
        <item h="1" x="4554"/>
        <item h="1" x="4555"/>
        <item h="1" x="4556"/>
        <item h="1" x="4557"/>
        <item h="1" x="4558"/>
        <item h="1" x="4559"/>
        <item h="1" x="4560"/>
        <item h="1" x="4561"/>
        <item h="1" x="4562"/>
        <item h="1" x="4563"/>
        <item h="1" x="4564"/>
        <item h="1" x="4565"/>
        <item h="1" x="4566"/>
        <item h="1" x="4567"/>
        <item h="1" x="4568"/>
        <item h="1" x="4569"/>
        <item h="1" x="4570"/>
        <item h="1" x="4571"/>
        <item h="1" x="4572"/>
        <item h="1" x="4573"/>
        <item h="1" x="4574"/>
        <item h="1" x="4575"/>
        <item h="1" x="4576"/>
        <item h="1" x="4577"/>
        <item h="1" x="4578"/>
        <item h="1" x="4579"/>
        <item h="1" x="4580"/>
        <item h="1" x="4581"/>
        <item h="1" x="4582"/>
        <item h="1" x="4583"/>
        <item h="1" x="4584"/>
        <item h="1" x="4585"/>
        <item h="1" x="4586"/>
        <item h="1" x="4587"/>
        <item h="1" x="4588"/>
        <item h="1" x="4589"/>
        <item h="1" x="4590"/>
        <item h="1" x="4591"/>
        <item h="1" x="4592"/>
        <item h="1" x="4593"/>
        <item h="1" x="4594"/>
        <item h="1" x="4595"/>
        <item h="1" x="4596"/>
        <item h="1" x="4597"/>
        <item h="1" x="4598"/>
        <item h="1" x="4599"/>
        <item h="1" x="4600"/>
        <item h="1" x="4601"/>
        <item h="1" x="4602"/>
        <item h="1" x="4603"/>
        <item h="1" x="4604"/>
        <item h="1" x="4605"/>
        <item h="1" x="4606"/>
        <item h="1" x="4607"/>
        <item h="1" x="4608"/>
        <item h="1" x="4609"/>
        <item h="1" x="4610"/>
        <item h="1" x="4611"/>
        <item h="1" x="4612"/>
        <item h="1" x="4613"/>
        <item h="1" x="4614"/>
        <item h="1" x="4615"/>
        <item h="1" x="4616"/>
        <item h="1" x="4617"/>
        <item h="1" x="4618"/>
        <item h="1" x="4619"/>
        <item h="1" x="4620"/>
        <item h="1" x="4621"/>
        <item h="1" x="4622"/>
        <item h="1" x="4623"/>
        <item h="1" x="4624"/>
        <item h="1" x="4625"/>
        <item h="1" x="4626"/>
        <item h="1" x="4627"/>
        <item h="1" x="4628"/>
        <item h="1" x="4629"/>
        <item h="1" x="4630"/>
        <item h="1" x="4631"/>
        <item h="1" x="4632"/>
        <item h="1" x="4633"/>
        <item h="1" x="4634"/>
        <item h="1" x="4635"/>
        <item h="1" x="4636"/>
        <item h="1" x="4637"/>
        <item h="1" x="4638"/>
        <item h="1" x="4639"/>
        <item h="1" x="4640"/>
        <item h="1" x="4641"/>
        <item h="1" x="4642"/>
        <item h="1" x="4643"/>
        <item h="1" x="4644"/>
        <item h="1" x="4645"/>
        <item h="1" x="4646"/>
        <item h="1" x="4647"/>
        <item h="1" x="4648"/>
        <item h="1" x="4649"/>
        <item h="1" x="4650"/>
        <item h="1" x="4651"/>
        <item h="1" x="4652"/>
        <item h="1" x="4653"/>
        <item h="1" x="4654"/>
        <item h="1" x="4655"/>
        <item h="1" x="4656"/>
        <item h="1" x="4657"/>
        <item h="1" x="4658"/>
        <item h="1" x="4659"/>
        <item h="1" x="4660"/>
        <item h="1" x="4661"/>
        <item h="1" x="4662"/>
        <item h="1" x="4663"/>
        <item h="1" x="4664"/>
        <item h="1" x="4665"/>
        <item h="1" x="4666"/>
        <item h="1" x="4667"/>
        <item h="1" x="4668"/>
        <item h="1" x="4669"/>
        <item h="1" x="4670"/>
        <item h="1" x="4671"/>
        <item h="1" x="4672"/>
        <item h="1" x="4673"/>
        <item h="1" x="4674"/>
        <item h="1" x="4675"/>
        <item h="1" x="4676"/>
        <item h="1" x="4677"/>
        <item h="1" x="4678"/>
        <item h="1" x="4679"/>
        <item h="1" x="4680"/>
        <item h="1" x="4681"/>
        <item h="1" x="4682"/>
        <item h="1" x="4683"/>
        <item h="1" x="4684"/>
        <item h="1" x="4685"/>
        <item h="1" x="4686"/>
        <item h="1" x="4687"/>
        <item h="1" x="4688"/>
        <item h="1" x="4689"/>
        <item h="1" x="4690"/>
        <item h="1" x="4691"/>
        <item h="1" x="4692"/>
        <item h="1" x="4693"/>
        <item h="1" x="4694"/>
        <item h="1" x="4695"/>
        <item h="1" x="4696"/>
        <item h="1" x="4697"/>
        <item h="1" x="4698"/>
        <item h="1" x="4699"/>
        <item h="1" x="4700"/>
        <item h="1" x="4701"/>
        <item h="1" x="4702"/>
        <item h="1" x="4703"/>
        <item h="1" x="4704"/>
        <item h="1" x="4705"/>
        <item h="1" x="4706"/>
        <item h="1" x="4707"/>
        <item h="1" x="4708"/>
        <item h="1" x="4709"/>
        <item h="1" x="4710"/>
        <item h="1" x="4711"/>
        <item h="1" x="4712"/>
        <item h="1" x="4713"/>
        <item h="1" x="4714"/>
        <item h="1" x="4715"/>
        <item h="1" x="4716"/>
        <item h="1" x="4717"/>
        <item h="1" x="4718"/>
        <item h="1" x="4719"/>
        <item h="1" x="4720"/>
        <item h="1" x="4721"/>
        <item h="1" x="4722"/>
        <item h="1" x="4723"/>
        <item h="1" x="4724"/>
        <item h="1" x="4725"/>
        <item h="1" x="4726"/>
        <item h="1" x="4727"/>
        <item h="1" x="4728"/>
        <item h="1" x="4729"/>
        <item h="1" x="4730"/>
        <item h="1" x="4731"/>
        <item h="1" x="4732"/>
        <item h="1" x="4733"/>
        <item h="1" x="4734"/>
        <item h="1" x="4735"/>
        <item h="1" x="4736"/>
        <item h="1" x="4737"/>
        <item h="1" x="4738"/>
        <item h="1" x="4739"/>
        <item h="1" x="4740"/>
        <item h="1" x="4741"/>
        <item h="1" x="4742"/>
        <item h="1" x="4743"/>
        <item h="1" x="4744"/>
        <item h="1" x="4745"/>
        <item h="1" x="4746"/>
        <item h="1" x="4747"/>
        <item h="1" x="4748"/>
        <item h="1" x="4749"/>
        <item h="1" x="4750"/>
        <item h="1" x="4751"/>
        <item h="1" x="4752"/>
        <item h="1" x="4753"/>
        <item h="1" x="4754"/>
        <item h="1" x="4755"/>
        <item h="1" x="4756"/>
        <item h="1" x="4757"/>
        <item h="1" x="4758"/>
        <item h="1" x="4759"/>
        <item h="1" x="4760"/>
        <item h="1" x="4761"/>
        <item h="1" x="4762"/>
        <item h="1" x="4763"/>
        <item h="1" x="4764"/>
        <item h="1" x="4765"/>
        <item h="1" x="4766"/>
        <item h="1" x="4767"/>
        <item h="1" x="4768"/>
        <item h="1" x="4769"/>
        <item h="1" x="4770"/>
        <item h="1" x="4771"/>
        <item h="1" x="4772"/>
        <item h="1" x="4773"/>
        <item h="1" x="4774"/>
        <item h="1" x="4775"/>
        <item h="1" x="4776"/>
        <item h="1" x="4777"/>
        <item h="1" x="4778"/>
        <item h="1" x="4779"/>
        <item h="1" x="4780"/>
        <item h="1" x="4781"/>
        <item h="1" x="4782"/>
        <item h="1" x="4783"/>
        <item h="1" x="4784"/>
        <item h="1" x="4785"/>
        <item h="1" x="4786"/>
        <item h="1" x="4787"/>
        <item h="1" x="4788"/>
        <item h="1" x="4789"/>
        <item h="1" x="4790"/>
        <item h="1" x="4791"/>
        <item h="1" x="4792"/>
        <item h="1" x="4793"/>
        <item h="1" x="4794"/>
        <item h="1" x="4795"/>
        <item h="1" x="4796"/>
        <item h="1" x="4797"/>
        <item h="1" x="4798"/>
        <item h="1" x="4799"/>
        <item h="1" x="4800"/>
        <item h="1" x="4801"/>
        <item h="1" x="4802"/>
        <item h="1" x="4803"/>
        <item h="1" x="4804"/>
        <item h="1" x="4805"/>
        <item h="1" x="4806"/>
        <item h="1" x="4807"/>
        <item h="1" x="4808"/>
        <item h="1" x="4809"/>
        <item h="1" x="4810"/>
        <item h="1" x="4811"/>
        <item h="1" x="4812"/>
        <item h="1" x="4813"/>
        <item h="1" x="4814"/>
        <item h="1" x="4815"/>
        <item h="1" x="4816"/>
        <item h="1" x="4817"/>
        <item h="1" x="4818"/>
        <item h="1" x="4819"/>
        <item h="1" x="4820"/>
        <item h="1" x="4821"/>
        <item h="1" x="4822"/>
        <item h="1" x="4823"/>
        <item h="1" x="4824"/>
        <item h="1" x="4825"/>
        <item h="1" x="4826"/>
        <item h="1" x="4827"/>
        <item h="1" x="4828"/>
        <item h="1" x="4829"/>
        <item h="1" x="4830"/>
        <item h="1" x="4831"/>
        <item h="1" x="4832"/>
        <item h="1" x="4833"/>
        <item h="1" x="4834"/>
        <item h="1" x="4835"/>
        <item h="1" x="4836"/>
        <item h="1" x="4837"/>
        <item h="1" x="4838"/>
        <item h="1" x="4839"/>
        <item h="1" x="4840"/>
        <item h="1" x="4841"/>
        <item h="1" x="4842"/>
        <item h="1" x="4843"/>
        <item h="1" x="4844"/>
        <item h="1" x="4845"/>
        <item h="1" x="4846"/>
        <item h="1" x="4847"/>
        <item h="1" x="4848"/>
        <item h="1" x="4849"/>
        <item h="1" x="4850"/>
        <item h="1" x="4851"/>
        <item h="1" x="4852"/>
        <item h="1" x="4853"/>
        <item h="1" x="4854"/>
        <item h="1" x="4855"/>
        <item h="1" x="4856"/>
        <item h="1" x="4857"/>
        <item h="1" x="4858"/>
        <item h="1" x="4859"/>
        <item h="1" x="4860"/>
        <item h="1" x="4861"/>
        <item h="1" x="4862"/>
        <item h="1" x="4863"/>
        <item h="1" x="4864"/>
        <item h="1" x="4865"/>
        <item h="1" x="4866"/>
        <item h="1" x="4867"/>
        <item h="1" x="4868"/>
        <item h="1" x="4869"/>
        <item h="1" x="4870"/>
        <item h="1" x="4871"/>
        <item h="1" x="4872"/>
        <item h="1" x="4873"/>
        <item h="1" x="4874"/>
        <item h="1" x="4875"/>
        <item h="1" x="4876"/>
        <item h="1" x="4877"/>
        <item h="1" x="4878"/>
        <item h="1" x="4879"/>
        <item h="1" x="4880"/>
        <item h="1" x="4881"/>
        <item h="1" x="4882"/>
        <item h="1" x="4883"/>
        <item h="1" x="4884"/>
        <item h="1" x="4885"/>
        <item h="1" x="4886"/>
        <item h="1" x="4887"/>
        <item h="1" x="4888"/>
        <item h="1" x="4889"/>
        <item h="1" x="4890"/>
        <item h="1" x="4891"/>
        <item h="1" x="4892"/>
        <item h="1" x="4893"/>
        <item h="1" x="4894"/>
        <item h="1" x="4895"/>
        <item h="1" x="4896"/>
        <item h="1" x="4897"/>
        <item h="1" x="4898"/>
        <item h="1" x="4899"/>
        <item h="1" x="4900"/>
        <item h="1" x="4901"/>
        <item h="1" x="4902"/>
        <item h="1" x="4903"/>
        <item h="1" x="4904"/>
        <item h="1" x="4905"/>
        <item h="1" x="4906"/>
        <item h="1" x="4907"/>
        <item h="1" x="4908"/>
        <item h="1" x="4909"/>
        <item h="1" x="4910"/>
        <item h="1" x="4911"/>
        <item h="1" x="4912"/>
        <item h="1" x="4913"/>
        <item h="1" x="4914"/>
        <item h="1" x="4915"/>
        <item h="1" x="4916"/>
        <item h="1" x="4917"/>
        <item h="1" x="4918"/>
        <item h="1" x="4919"/>
        <item h="1" x="4920"/>
        <item h="1" x="4921"/>
        <item h="1" x="4922"/>
        <item h="1" x="4923"/>
        <item h="1" x="4924"/>
        <item h="1" x="4925"/>
        <item h="1" x="4926"/>
        <item h="1" x="4927"/>
        <item h="1" x="4928"/>
        <item h="1" x="4929"/>
        <item h="1" x="4930"/>
        <item h="1" x="4931"/>
        <item h="1" x="4932"/>
        <item h="1" x="4933"/>
        <item h="1" x="4934"/>
        <item h="1" x="4935"/>
        <item h="1" x="4936"/>
        <item h="1" x="4937"/>
        <item h="1" x="4938"/>
        <item h="1" x="4939"/>
        <item h="1" x="4940"/>
        <item h="1" x="4941"/>
        <item h="1" x="4942"/>
        <item h="1" x="4943"/>
        <item h="1" x="4944"/>
        <item h="1" x="4945"/>
        <item h="1" x="4946"/>
        <item h="1" x="4947"/>
        <item h="1" x="4948"/>
        <item h="1" x="4949"/>
        <item h="1" x="4950"/>
        <item h="1" x="4951"/>
        <item h="1" x="4952"/>
        <item h="1" x="4953"/>
        <item h="1" x="4954"/>
        <item h="1" x="4955"/>
        <item h="1" x="4956"/>
        <item h="1" x="4957"/>
        <item h="1" x="4958"/>
        <item h="1" x="4959"/>
        <item h="1" x="4960"/>
        <item h="1" x="4961"/>
        <item h="1" x="4962"/>
        <item h="1" x="4963"/>
        <item h="1" x="4964"/>
        <item h="1" x="4965"/>
        <item h="1" x="4966"/>
        <item h="1" x="4967"/>
        <item h="1" x="4968"/>
        <item h="1" x="4969"/>
        <item h="1" x="4970"/>
        <item h="1" x="4971"/>
        <item h="1" x="4972"/>
        <item h="1" x="4973"/>
        <item h="1" x="4974"/>
        <item h="1" x="4975"/>
        <item h="1" x="4976"/>
        <item h="1" x="4977"/>
        <item h="1" x="4978"/>
        <item h="1" x="4979"/>
        <item h="1" x="4980"/>
        <item h="1" x="4981"/>
        <item h="1" x="4982"/>
        <item h="1" x="4983"/>
        <item h="1" x="4984"/>
        <item h="1" x="4985"/>
        <item h="1" x="4986"/>
        <item h="1" x="4987"/>
        <item h="1" x="4988"/>
        <item h="1" x="4989"/>
        <item h="1" x="4990"/>
        <item h="1" x="4991"/>
        <item h="1" x="4992"/>
        <item h="1" x="4993"/>
        <item h="1" x="4994"/>
        <item h="1" x="4995"/>
        <item h="1" x="4996"/>
        <item h="1" x="4997"/>
        <item h="1" x="4998"/>
        <item h="1" x="4999"/>
        <item h="1" x="5000"/>
        <item h="1" x="5001"/>
        <item h="1" x="5002"/>
        <item h="1" x="5003"/>
        <item h="1" x="5004"/>
        <item h="1" x="5005"/>
        <item h="1" x="5006"/>
        <item h="1" x="5007"/>
        <item h="1" x="5008"/>
        <item h="1" x="5009"/>
        <item h="1" x="5010"/>
        <item h="1" x="5011"/>
        <item h="1" x="5012"/>
        <item h="1" x="5013"/>
        <item h="1" x="5014"/>
        <item h="1" x="5015"/>
        <item h="1" x="5016"/>
        <item h="1" x="5017"/>
        <item h="1" x="5018"/>
        <item h="1" x="5019"/>
        <item h="1" x="5020"/>
        <item h="1" x="5021"/>
        <item h="1" x="5022"/>
        <item h="1" x="5023"/>
        <item h="1" x="5024"/>
        <item h="1" x="5025"/>
        <item h="1" x="5026"/>
        <item h="1" x="5027"/>
        <item h="1" x="5028"/>
        <item h="1" x="5029"/>
        <item h="1" x="5030"/>
        <item h="1" x="5031"/>
        <item h="1" x="5032"/>
        <item h="1" x="5033"/>
        <item h="1" x="5034"/>
        <item h="1" x="5035"/>
        <item h="1" x="5036"/>
        <item h="1" x="5037"/>
        <item h="1" x="5038"/>
        <item h="1" x="5039"/>
        <item h="1" x="5040"/>
        <item h="1" x="5041"/>
        <item h="1" x="5042"/>
        <item h="1" x="5043"/>
        <item h="1" x="5044"/>
        <item h="1" x="5045"/>
        <item h="1" x="5046"/>
        <item h="1" x="5047"/>
        <item h="1" x="5048"/>
        <item h="1" x="5049"/>
        <item h="1" x="5050"/>
        <item h="1" x="5051"/>
        <item h="1" x="5052"/>
        <item h="1" x="5053"/>
        <item h="1" x="5054"/>
        <item h="1" x="5055"/>
        <item h="1" x="5056"/>
        <item h="1" x="5057"/>
        <item h="1" x="5058"/>
        <item h="1" x="5059"/>
        <item h="1" x="5060"/>
        <item h="1" x="5061"/>
        <item h="1" x="5062"/>
        <item h="1" x="5063"/>
        <item h="1" x="5064"/>
        <item h="1" x="5065"/>
        <item h="1" x="5066"/>
        <item h="1" x="5067"/>
        <item h="1" x="5068"/>
        <item h="1" x="5069"/>
        <item h="1" x="5070"/>
        <item h="1" x="5071"/>
        <item h="1" x="5072"/>
        <item h="1" x="5073"/>
        <item h="1" x="5074"/>
        <item h="1" x="5075"/>
        <item h="1" x="5076"/>
        <item h="1" x="5077"/>
        <item h="1" x="5078"/>
        <item h="1" x="5079"/>
        <item h="1" x="5080"/>
        <item h="1" x="5081"/>
        <item h="1" x="5082"/>
        <item h="1" x="5083"/>
        <item h="1" x="5084"/>
        <item h="1" x="5085"/>
        <item h="1" x="5086"/>
        <item h="1" x="5087"/>
        <item h="1" x="5088"/>
        <item h="1" x="5089"/>
        <item h="1" x="5090"/>
        <item h="1" x="5091"/>
        <item h="1" x="5092"/>
        <item h="1" x="5093"/>
        <item h="1" x="5094"/>
        <item h="1" x="5095"/>
        <item h="1" x="5096"/>
        <item h="1" x="5097"/>
        <item h="1" x="5098"/>
        <item h="1" x="5099"/>
        <item h="1" x="5100"/>
        <item h="1" x="5101"/>
        <item h="1" x="5102"/>
        <item h="1" x="5103"/>
        <item h="1" x="5104"/>
        <item h="1" x="5105"/>
        <item h="1" x="5106"/>
        <item h="1" x="5107"/>
        <item h="1" x="5108"/>
        <item h="1" x="5109"/>
        <item h="1" x="5110"/>
        <item h="1" x="5111"/>
        <item h="1" x="5112"/>
        <item h="1" x="5113"/>
        <item h="1" x="5114"/>
        <item h="1" x="5115"/>
        <item h="1" x="5116"/>
        <item h="1" x="5117"/>
        <item h="1" x="5118"/>
        <item h="1" x="5119"/>
        <item h="1" x="5120"/>
        <item h="1" x="5121"/>
        <item h="1" x="5122"/>
        <item h="1" x="5123"/>
        <item h="1" x="5124"/>
        <item h="1" x="5125"/>
        <item h="1" x="5126"/>
        <item h="1" x="5127"/>
        <item h="1" x="5128"/>
        <item h="1" x="5129"/>
        <item h="1" x="5130"/>
        <item h="1" x="5131"/>
        <item h="1" x="5132"/>
        <item h="1" x="5133"/>
        <item h="1" x="5134"/>
        <item h="1" x="5135"/>
        <item h="1" x="5136"/>
        <item h="1" x="5137"/>
        <item h="1" x="5138"/>
        <item h="1" x="5139"/>
        <item h="1" x="5140"/>
        <item h="1" x="5141"/>
        <item h="1" x="5142"/>
        <item h="1" x="5143"/>
        <item h="1" x="5144"/>
        <item h="1" x="5145"/>
        <item h="1" x="5146"/>
        <item h="1" x="5147"/>
        <item h="1" x="5148"/>
        <item h="1" x="5149"/>
        <item h="1" x="5150"/>
        <item h="1" x="5151"/>
        <item h="1" x="5152"/>
        <item h="1" x="5153"/>
        <item h="1" x="5154"/>
        <item h="1" x="5155"/>
        <item h="1" x="5156"/>
        <item h="1" x="5157"/>
        <item h="1" x="5158"/>
        <item h="1" x="5159"/>
        <item h="1" x="5160"/>
        <item h="1" x="5161"/>
        <item h="1" x="5162"/>
        <item h="1" x="5163"/>
        <item h="1" x="5164"/>
        <item h="1" x="5165"/>
        <item h="1" x="5166"/>
        <item h="1" x="5167"/>
        <item h="1" x="5168"/>
        <item h="1" x="5169"/>
        <item h="1" x="5170"/>
        <item h="1" x="5171"/>
        <item h="1" x="5172"/>
        <item h="1" x="5173"/>
        <item h="1" x="5174"/>
        <item h="1" x="5175"/>
        <item h="1" x="5176"/>
        <item h="1" x="5177"/>
        <item h="1" x="5178"/>
        <item h="1" x="5179"/>
        <item h="1" x="5180"/>
        <item h="1" x="5181"/>
        <item h="1" x="5182"/>
        <item h="1" x="5183"/>
        <item h="1" x="5184"/>
        <item h="1" x="5185"/>
        <item h="1" x="5186"/>
        <item h="1" x="5187"/>
        <item h="1" x="5188"/>
        <item h="1" x="5189"/>
        <item h="1" x="5190"/>
        <item h="1" x="5191"/>
        <item h="1" x="5192"/>
        <item h="1" x="5193"/>
        <item h="1" x="5194"/>
        <item h="1" x="5195"/>
        <item h="1" x="5196"/>
        <item h="1" x="5197"/>
        <item h="1" x="5198"/>
        <item h="1" x="5199"/>
        <item h="1" x="5200"/>
        <item h="1" x="5201"/>
        <item h="1" x="5202"/>
        <item h="1" x="5203"/>
        <item h="1" x="5204"/>
        <item h="1" x="5205"/>
        <item h="1" x="5206"/>
        <item h="1" x="5207"/>
        <item h="1" x="5208"/>
        <item h="1" x="5209"/>
        <item h="1" x="5210"/>
        <item h="1" x="5211"/>
        <item h="1" x="5212"/>
        <item h="1" x="5213"/>
        <item h="1" x="5214"/>
        <item h="1" x="5215"/>
        <item h="1" x="5216"/>
        <item h="1" x="5217"/>
        <item h="1" x="5218"/>
        <item h="1" x="5219"/>
        <item h="1" x="5220"/>
        <item h="1" x="5221"/>
        <item h="1" x="5222"/>
        <item h="1" x="5223"/>
        <item h="1" x="5224"/>
        <item h="1" x="5225"/>
        <item h="1" x="5226"/>
        <item h="1" x="5227"/>
        <item h="1" x="5228"/>
        <item h="1" x="5229"/>
        <item h="1" x="5230"/>
        <item h="1" x="5231"/>
        <item h="1" x="5232"/>
        <item h="1" x="5233"/>
        <item h="1" x="5234"/>
        <item h="1" x="5235"/>
        <item h="1" x="5236"/>
        <item h="1" x="5237"/>
        <item h="1" x="5238"/>
        <item h="1" x="5239"/>
        <item h="1" x="5240"/>
        <item h="1" x="5241"/>
        <item h="1" x="5242"/>
        <item h="1" x="5243"/>
        <item h="1" x="5244"/>
        <item h="1" x="5245"/>
        <item h="1" x="5246"/>
        <item h="1" x="5247"/>
        <item h="1" x="5248"/>
        <item h="1" x="5249"/>
        <item h="1" x="5250"/>
        <item h="1" x="5251"/>
        <item h="1" x="5252"/>
        <item h="1" x="5253"/>
        <item h="1" x="5254"/>
        <item h="1" x="5255"/>
        <item h="1" x="5256"/>
        <item h="1" x="5257"/>
        <item h="1" x="5258"/>
        <item h="1" x="5259"/>
        <item h="1" x="5260"/>
        <item h="1" x="5261"/>
        <item h="1" x="5262"/>
        <item h="1" x="5263"/>
        <item h="1" x="5264"/>
        <item h="1" x="5265"/>
        <item h="1" x="5266"/>
        <item h="1" x="5267"/>
        <item h="1" x="5268"/>
        <item h="1" x="5269"/>
        <item h="1" x="5270"/>
        <item h="1" x="5271"/>
        <item h="1" x="5272"/>
        <item h="1" x="5273"/>
        <item h="1" x="5274"/>
        <item h="1" x="5275"/>
        <item h="1" x="5276"/>
        <item h="1" x="5277"/>
        <item h="1" x="5278"/>
        <item h="1" x="5279"/>
        <item h="1" x="5280"/>
        <item h="1" x="5281"/>
        <item h="1" x="5282"/>
        <item h="1" x="5283"/>
        <item h="1" x="5284"/>
        <item h="1" x="5285"/>
        <item h="1" x="5286"/>
        <item h="1" x="5287"/>
        <item h="1" x="5288"/>
        <item h="1" x="5289"/>
        <item h="1" x="5290"/>
        <item h="1" x="5291"/>
        <item h="1" x="5292"/>
        <item h="1" x="5293"/>
        <item h="1" x="5294"/>
        <item h="1" x="5295"/>
        <item h="1" x="5296"/>
        <item h="1" x="5297"/>
        <item h="1" x="5298"/>
        <item h="1" x="5299"/>
        <item h="1" x="5300"/>
        <item h="1" x="5301"/>
        <item h="1" x="5302"/>
        <item h="1" x="5303"/>
        <item h="1" x="5304"/>
        <item h="1" x="5305"/>
        <item h="1" x="5306"/>
        <item h="1" x="5307"/>
        <item h="1" x="5308"/>
        <item h="1" x="5309"/>
        <item h="1" x="5310"/>
        <item h="1" x="5311"/>
        <item h="1" x="5312"/>
        <item h="1" x="5313"/>
        <item h="1" x="5314"/>
        <item h="1" x="5315"/>
        <item h="1" x="5316"/>
        <item h="1" x="5317"/>
        <item h="1" x="5318"/>
        <item h="1" x="5319"/>
        <item h="1" x="5320"/>
        <item h="1" x="5321"/>
        <item h="1" x="5322"/>
        <item h="1" x="5323"/>
        <item h="1" x="5324"/>
        <item h="1" x="5325"/>
        <item h="1" x="5326"/>
        <item h="1" x="5327"/>
        <item h="1" x="5328"/>
        <item h="1" x="5329"/>
        <item h="1" x="5330"/>
        <item h="1" x="5331"/>
        <item h="1" x="5332"/>
        <item h="1" x="5333"/>
        <item h="1" x="5334"/>
        <item h="1" x="5335"/>
        <item h="1" x="5336"/>
        <item h="1" x="5337"/>
        <item h="1" x="5338"/>
        <item h="1" x="5339"/>
        <item h="1" x="5340"/>
        <item h="1" x="5341"/>
        <item h="1" x="5342"/>
        <item h="1" x="5343"/>
        <item h="1" x="5344"/>
        <item h="1" x="5345"/>
        <item h="1" x="5346"/>
        <item h="1" x="5347"/>
        <item h="1" x="5348"/>
        <item h="1" x="5349"/>
        <item h="1" x="5350"/>
        <item h="1" x="5351"/>
        <item h="1" x="5352"/>
        <item h="1" x="5353"/>
        <item h="1" x="5354"/>
        <item h="1" x="5355"/>
        <item h="1" x="5356"/>
        <item h="1" x="5357"/>
        <item h="1" x="5358"/>
        <item h="1" x="5359"/>
        <item h="1" x="5360"/>
        <item h="1" x="5361"/>
        <item h="1" x="5362"/>
        <item h="1" x="5363"/>
        <item h="1" x="5364"/>
        <item h="1" x="5365"/>
        <item h="1" x="5366"/>
        <item h="1" x="5367"/>
        <item h="1" x="5368"/>
        <item h="1" x="5369"/>
        <item h="1" x="5370"/>
        <item h="1" x="5371"/>
        <item h="1" x="5372"/>
        <item h="1" x="5373"/>
        <item h="1" x="5374"/>
        <item h="1" x="5375"/>
        <item h="1" x="5376"/>
        <item h="1" x="5377"/>
        <item h="1" x="5378"/>
        <item h="1" x="5379"/>
        <item h="1" x="5380"/>
        <item h="1" x="5381"/>
        <item h="1" x="5382"/>
        <item h="1" x="5383"/>
        <item h="1" x="5384"/>
        <item h="1" x="5385"/>
        <item h="1" x="5386"/>
        <item h="1" x="5387"/>
        <item h="1" x="5388"/>
        <item h="1" x="5389"/>
        <item h="1" x="5390"/>
        <item h="1" x="5391"/>
        <item h="1" x="5392"/>
        <item h="1" x="5393"/>
        <item h="1" x="5394"/>
        <item h="1" x="5395"/>
        <item h="1" x="5396"/>
        <item h="1" x="5397"/>
        <item h="1" x="5398"/>
        <item h="1" x="5399"/>
        <item h="1" x="5400"/>
        <item h="1" x="5401"/>
        <item h="1" x="5402"/>
        <item h="1" x="5403"/>
        <item h="1" x="5404"/>
        <item h="1" x="5405"/>
        <item h="1" x="5406"/>
        <item h="1" x="5407"/>
        <item h="1" x="5408"/>
        <item h="1" x="5409"/>
        <item h="1" x="5410"/>
        <item h="1" x="5411"/>
        <item h="1" x="5412"/>
        <item h="1" x="5413"/>
        <item h="1" x="5414"/>
        <item h="1" x="5415"/>
        <item h="1" x="5416"/>
        <item h="1" x="5417"/>
        <item h="1" x="5418"/>
        <item h="1" x="5419"/>
        <item h="1" x="5420"/>
        <item h="1" x="5421"/>
        <item h="1" x="5422"/>
        <item h="1" x="5423"/>
        <item h="1" x="5424"/>
        <item h="1" x="5425"/>
        <item h="1" x="5426"/>
        <item h="1" x="5427"/>
        <item h="1" x="5428"/>
        <item h="1" x="5429"/>
        <item h="1" x="5430"/>
        <item h="1" x="5431"/>
        <item h="1" x="5432"/>
        <item h="1" x="5433"/>
        <item h="1" x="5434"/>
        <item h="1" x="5435"/>
        <item h="1" x="5436"/>
        <item h="1" x="5437"/>
        <item h="1" x="5438"/>
        <item h="1" x="5439"/>
        <item h="1" x="5440"/>
        <item h="1" x="5441"/>
        <item h="1" x="5442"/>
        <item h="1" x="5443"/>
        <item h="1" x="5444"/>
        <item h="1" x="5445"/>
        <item h="1" x="5446"/>
        <item h="1" x="5447"/>
        <item h="1" x="5448"/>
        <item h="1" x="5449"/>
        <item h="1" x="5450"/>
        <item h="1" x="5451"/>
        <item h="1" x="5452"/>
        <item h="1" x="5453"/>
        <item h="1" x="5454"/>
        <item h="1" x="5455"/>
        <item h="1" x="5456"/>
        <item h="1" x="5457"/>
        <item h="1" x="5458"/>
        <item h="1" x="5459"/>
        <item h="1" x="5460"/>
        <item h="1" x="5461"/>
        <item h="1" x="5462"/>
        <item h="1" x="5463"/>
        <item h="1" x="5464"/>
        <item h="1" x="5465"/>
        <item h="1" x="5466"/>
        <item h="1" x="5467"/>
        <item h="1" x="5468"/>
        <item h="1" x="5469"/>
        <item h="1" x="5470"/>
        <item h="1" x="5471"/>
        <item h="1" x="5472"/>
        <item h="1" x="5473"/>
        <item h="1" x="5474"/>
        <item h="1" x="5475"/>
        <item h="1" x="5476"/>
        <item h="1" x="5477"/>
        <item h="1" x="5478"/>
        <item h="1" x="5479"/>
        <item h="1" x="5480"/>
        <item h="1" x="5481"/>
        <item h="1" x="5482"/>
        <item h="1" x="5483"/>
        <item h="1" x="5484"/>
        <item h="1" x="5485"/>
        <item h="1" x="5486"/>
        <item h="1" x="5487"/>
        <item h="1" x="5488"/>
        <item h="1" x="5489"/>
        <item h="1" x="5490"/>
        <item h="1" x="5491"/>
        <item h="1" x="5492"/>
        <item h="1" x="5493"/>
        <item h="1" x="5494"/>
        <item h="1" x="5495"/>
        <item h="1" x="5496"/>
        <item h="1" x="5497"/>
        <item h="1" x="5498"/>
        <item h="1" x="5499"/>
        <item h="1" x="5500"/>
        <item h="1" x="5501"/>
        <item h="1" x="5502"/>
        <item h="1" x="5503"/>
        <item h="1" x="5504"/>
        <item h="1" x="5505"/>
        <item h="1" x="5506"/>
        <item h="1" x="5507"/>
        <item h="1" x="5508"/>
        <item h="1" x="5509"/>
        <item h="1" x="5510"/>
        <item h="1" x="5511"/>
        <item h="1" x="5512"/>
        <item h="1" x="5513"/>
        <item h="1" x="5514"/>
        <item h="1" x="5515"/>
        <item h="1" x="5516"/>
        <item h="1" x="5517"/>
        <item h="1" x="5518"/>
        <item h="1" x="5519"/>
        <item h="1" x="5520"/>
        <item h="1" x="5521"/>
        <item h="1" x="5522"/>
        <item h="1" x="5523"/>
        <item h="1" x="5524"/>
        <item h="1" x="5525"/>
        <item h="1" x="5526"/>
        <item h="1" x="5527"/>
        <item h="1" x="5528"/>
        <item h="1" x="5529"/>
        <item h="1" x="5530"/>
        <item h="1" x="5531"/>
        <item h="1" x="5532"/>
        <item h="1" x="5533"/>
        <item h="1" x="5534"/>
        <item h="1" x="5535"/>
        <item h="1" x="5536"/>
        <item h="1" x="5537"/>
        <item h="1" x="5538"/>
        <item h="1" x="5539"/>
        <item h="1" x="5540"/>
        <item h="1" x="5541"/>
        <item h="1" x="5542"/>
        <item h="1" x="5543"/>
        <item h="1" x="5544"/>
        <item h="1" x="5545"/>
        <item h="1" x="5546"/>
        <item h="1" x="5547"/>
        <item h="1" x="5548"/>
        <item h="1" x="5549"/>
        <item h="1" x="5550"/>
        <item h="1" x="5551"/>
        <item h="1" x="5552"/>
        <item h="1" x="5553"/>
        <item h="1" x="5554"/>
        <item h="1" x="5555"/>
        <item h="1" x="5556"/>
        <item h="1" x="5557"/>
        <item h="1" x="5558"/>
        <item h="1" x="5559"/>
        <item h="1" x="5560"/>
        <item h="1" x="5561"/>
        <item h="1" x="5562"/>
        <item h="1" x="5563"/>
        <item h="1" x="5564"/>
        <item h="1" x="5565"/>
        <item h="1" x="5566"/>
        <item h="1" x="5567"/>
        <item h="1" x="5568"/>
        <item h="1" x="5569"/>
        <item h="1" x="5570"/>
        <item h="1" x="5571"/>
        <item h="1" x="5572"/>
        <item h="1" x="5573"/>
        <item h="1" x="5574"/>
        <item h="1" x="5575"/>
        <item h="1" x="5576"/>
        <item h="1" x="5577"/>
        <item h="1" x="5578"/>
        <item h="1" x="5579"/>
        <item h="1" x="5580"/>
        <item h="1" x="5581"/>
        <item h="1" x="5582"/>
        <item h="1" x="5583"/>
        <item h="1" x="5584"/>
        <item h="1" x="5585"/>
        <item h="1" x="5586"/>
        <item h="1" x="5587"/>
        <item h="1" x="5588"/>
        <item h="1" x="5589"/>
        <item h="1" x="5590"/>
        <item h="1" x="5591"/>
        <item h="1" x="5592"/>
        <item h="1" x="5593"/>
        <item h="1" x="5594"/>
        <item h="1" x="5595"/>
        <item h="1" x="5596"/>
        <item h="1" x="5597"/>
        <item h="1" x="5598"/>
        <item h="1" x="5599"/>
        <item h="1" x="5600"/>
        <item h="1" x="5601"/>
        <item h="1" x="5602"/>
        <item h="1" x="5603"/>
        <item h="1" x="5604"/>
        <item h="1" x="5605"/>
        <item h="1" x="5606"/>
        <item h="1" x="5607"/>
        <item h="1" x="5608"/>
        <item h="1" x="5609"/>
        <item h="1" x="5610"/>
        <item h="1" x="5611"/>
        <item h="1" x="5612"/>
        <item h="1" x="5613"/>
        <item h="1" x="5614"/>
        <item h="1" x="5615"/>
        <item h="1" x="5616"/>
        <item h="1" x="5617"/>
        <item h="1" x="5618"/>
        <item h="1" x="5619"/>
        <item h="1" x="5620"/>
        <item h="1" x="5621"/>
        <item h="1" x="5622"/>
        <item h="1" x="5623"/>
        <item h="1" x="5624"/>
        <item h="1" x="5625"/>
        <item h="1" x="5626"/>
        <item h="1" x="5627"/>
        <item h="1" x="5628"/>
        <item h="1" x="5629"/>
        <item h="1" x="5630"/>
        <item h="1" x="5631"/>
        <item h="1" x="5632"/>
        <item h="1" x="5633"/>
        <item h="1" x="5634"/>
        <item h="1" x="5635"/>
        <item h="1" x="5636"/>
        <item h="1" x="5637"/>
        <item h="1" x="5638"/>
        <item h="1" x="5639"/>
        <item h="1" x="5640"/>
        <item h="1" x="5641"/>
        <item h="1" x="5642"/>
        <item h="1" x="5643"/>
        <item h="1" x="5644"/>
        <item h="1" x="5645"/>
        <item h="1" x="5646"/>
        <item h="1" x="5647"/>
        <item h="1" x="5648"/>
        <item h="1" x="5649"/>
        <item h="1" x="5650"/>
        <item h="1" x="5651"/>
        <item h="1" x="5652"/>
        <item h="1" x="5653"/>
        <item h="1" x="5654"/>
        <item h="1" x="5655"/>
        <item h="1" x="5656"/>
        <item h="1" x="5657"/>
        <item h="1" x="5658"/>
        <item h="1" x="5659"/>
        <item h="1" x="5660"/>
        <item h="1" x="5661"/>
        <item h="1" x="5662"/>
        <item h="1" x="5663"/>
        <item h="1" x="5664"/>
        <item h="1" x="5665"/>
        <item h="1" x="5666"/>
        <item h="1" x="5667"/>
        <item h="1" x="5668"/>
        <item h="1" x="5669"/>
        <item h="1" x="5670"/>
        <item h="1" x="5671"/>
        <item h="1" x="5672"/>
        <item h="1" x="5673"/>
        <item h="1" x="5674"/>
        <item h="1" x="5675"/>
        <item h="1" x="5676"/>
        <item h="1" x="5677"/>
        <item h="1" x="5678"/>
        <item h="1" x="5679"/>
        <item h="1" x="5680"/>
        <item h="1" x="5681"/>
        <item h="1" x="5682"/>
        <item h="1" x="5683"/>
        <item h="1" x="5684"/>
        <item h="1" x="5685"/>
        <item h="1" x="5686"/>
        <item h="1" x="5687"/>
        <item h="1" x="5688"/>
        <item h="1" x="5689"/>
        <item h="1" x="5690"/>
        <item h="1" x="5691"/>
        <item h="1" x="5692"/>
        <item h="1" x="5693"/>
        <item h="1" x="5694"/>
        <item h="1" x="5695"/>
        <item h="1" x="5696"/>
        <item h="1" x="5697"/>
        <item h="1" x="5698"/>
        <item h="1" x="5699"/>
        <item h="1" x="5700"/>
        <item h="1" x="5701"/>
        <item h="1" x="5702"/>
        <item h="1" x="5703"/>
        <item h="1" x="5704"/>
        <item h="1" x="5705"/>
        <item h="1" x="5706"/>
        <item h="1" x="5707"/>
        <item h="1" x="5708"/>
        <item h="1" x="5709"/>
        <item h="1" x="5710"/>
        <item h="1" x="5711"/>
        <item h="1" x="5712"/>
        <item h="1" x="5713"/>
        <item h="1" x="5714"/>
        <item h="1" x="5715"/>
        <item h="1" x="5716"/>
        <item h="1" x="5717"/>
        <item h="1" x="5718"/>
        <item h="1" x="5719"/>
        <item h="1" x="5720"/>
        <item h="1" x="5721"/>
        <item h="1" x="5722"/>
        <item h="1" x="5723"/>
        <item h="1" x="5724"/>
        <item h="1" x="5725"/>
        <item h="1" x="5726"/>
        <item h="1" x="5727"/>
        <item h="1" x="5728"/>
        <item h="1" x="5729"/>
        <item h="1" x="5730"/>
        <item h="1" x="5731"/>
        <item h="1" x="5732"/>
        <item h="1" x="5733"/>
        <item h="1" x="5734"/>
        <item h="1" x="5735"/>
        <item h="1" x="5736"/>
        <item h="1" x="5737"/>
        <item h="1" x="5738"/>
        <item h="1" x="5739"/>
        <item h="1" x="5740"/>
        <item h="1" x="5741"/>
        <item h="1" x="5742"/>
        <item h="1" x="5743"/>
        <item h="1" x="5744"/>
        <item h="1" x="5745"/>
        <item h="1" x="5746"/>
        <item h="1" x="5747"/>
        <item h="1" x="5748"/>
        <item h="1" x="5749"/>
        <item h="1" x="5750"/>
        <item h="1" x="5751"/>
        <item h="1" x="5752"/>
        <item h="1" x="5753"/>
        <item h="1" x="5754"/>
        <item h="1" x="5755"/>
        <item h="1" x="5756"/>
        <item h="1" x="5757"/>
        <item h="1" x="5758"/>
        <item h="1" x="5759"/>
        <item h="1" x="5760"/>
        <item h="1" x="5761"/>
        <item h="1" x="5762"/>
        <item h="1" x="5763"/>
        <item h="1" x="5764"/>
        <item h="1" x="5765"/>
        <item h="1" x="5766"/>
        <item h="1" x="5767"/>
        <item h="1" x="5768"/>
        <item h="1" x="5769"/>
        <item h="1" x="5770"/>
        <item h="1" x="5771"/>
        <item h="1" x="5772"/>
        <item h="1" x="5773"/>
        <item h="1" x="5774"/>
        <item h="1" x="5775"/>
        <item h="1" x="5776"/>
        <item h="1" x="5777"/>
        <item h="1" x="5778"/>
        <item h="1" x="5779"/>
        <item h="1" x="5780"/>
        <item h="1" x="5781"/>
        <item h="1" x="5782"/>
        <item h="1" x="5783"/>
        <item h="1" x="5784"/>
        <item h="1" x="5785"/>
        <item h="1" x="5786"/>
        <item h="1" x="5787"/>
        <item h="1" x="5788"/>
        <item h="1" x="5789"/>
        <item h="1" x="5790"/>
        <item h="1" x="5791"/>
        <item h="1" x="5792"/>
        <item h="1" x="5793"/>
        <item h="1" x="5794"/>
        <item h="1" x="5795"/>
        <item h="1" x="5796"/>
        <item h="1" x="5797"/>
        <item h="1" x="5798"/>
        <item h="1" x="5799"/>
        <item h="1" x="5800"/>
        <item h="1" x="5801"/>
        <item h="1" x="5802"/>
        <item h="1" x="5803"/>
        <item h="1" x="5804"/>
        <item h="1" x="5805"/>
        <item h="1" x="5806"/>
        <item h="1" x="5807"/>
        <item h="1" x="5808"/>
        <item h="1" x="5809"/>
        <item h="1" x="5810"/>
        <item h="1" x="5811"/>
        <item h="1" x="5812"/>
        <item h="1" x="5813"/>
        <item h="1" x="5814"/>
        <item h="1" x="5815"/>
        <item h="1" x="5816"/>
        <item h="1" x="5817"/>
        <item h="1" x="5818"/>
        <item h="1" x="5819"/>
        <item h="1" x="5820"/>
        <item h="1" x="5821"/>
        <item h="1" x="5822"/>
        <item h="1" x="5823"/>
        <item h="1" x="5824"/>
        <item h="1" x="5825"/>
        <item h="1" x="5826"/>
        <item h="1" x="5827"/>
        <item h="1" x="5828"/>
        <item h="1" x="5829"/>
        <item h="1" x="5830"/>
        <item h="1" x="5831"/>
        <item h="1" x="5832"/>
        <item h="1" x="5833"/>
        <item h="1" x="5834"/>
        <item h="1" x="5835"/>
        <item h="1" x="5836"/>
        <item h="1" x="5837"/>
        <item h="1" x="5838"/>
        <item h="1" x="5839"/>
        <item h="1" x="5840"/>
        <item h="1" x="5841"/>
        <item h="1" x="5842"/>
        <item h="1" x="5843"/>
        <item h="1" x="5844"/>
        <item h="1" x="5845"/>
        <item h="1" x="5846"/>
        <item h="1" x="5847"/>
        <item h="1" x="5848"/>
        <item h="1" x="5849"/>
        <item h="1" x="5850"/>
        <item h="1" x="5851"/>
        <item h="1" x="5852"/>
        <item h="1" x="5853"/>
        <item h="1" x="5854"/>
        <item h="1" x="5855"/>
        <item h="1" x="5856"/>
        <item h="1" x="5857"/>
        <item h="1" x="5858"/>
        <item h="1" x="5859"/>
        <item h="1" x="5860"/>
        <item h="1" x="5861"/>
        <item h="1" x="5862"/>
        <item h="1" x="5863"/>
        <item h="1" x="5864"/>
        <item h="1" x="5865"/>
        <item h="1" x="5866"/>
        <item h="1" x="5867"/>
        <item h="1" x="5868"/>
        <item h="1" x="5869"/>
        <item h="1" x="5870"/>
        <item h="1" x="5871"/>
        <item h="1" x="5872"/>
        <item h="1" x="5873"/>
        <item h="1" x="5874"/>
        <item h="1" x="5875"/>
        <item h="1" x="5876"/>
        <item h="1" x="5877"/>
        <item h="1" x="5878"/>
        <item h="1" x="5879"/>
        <item h="1" x="5880"/>
        <item h="1" x="5881"/>
        <item h="1" x="5882"/>
        <item h="1" x="5883"/>
        <item h="1" x="5884"/>
        <item h="1" x="5885"/>
        <item h="1" x="5886"/>
        <item h="1" x="5887"/>
        <item h="1" x="5888"/>
        <item h="1" x="5889"/>
        <item h="1" x="5890"/>
        <item h="1" x="5891"/>
        <item h="1" x="5892"/>
        <item h="1" x="5893"/>
        <item h="1" x="5894"/>
        <item h="1" x="5895"/>
        <item h="1" x="5896"/>
        <item h="1" x="5897"/>
        <item h="1" x="5898"/>
        <item h="1" x="5899"/>
        <item h="1" x="5900"/>
        <item h="1" x="5901"/>
        <item h="1" x="5902"/>
        <item h="1" x="5903"/>
        <item h="1" x="5904"/>
        <item h="1" x="5905"/>
        <item h="1" x="5906"/>
        <item h="1" x="5907"/>
        <item h="1" x="5908"/>
        <item h="1" x="5909"/>
        <item h="1" x="5910"/>
        <item h="1" x="5911"/>
        <item h="1" x="5912"/>
        <item h="1" x="5913"/>
        <item h="1" x="5914"/>
        <item h="1" x="5915"/>
        <item h="1" x="5916"/>
        <item h="1" x="5917"/>
        <item h="1" x="5918"/>
        <item h="1" x="5919"/>
        <item h="1" x="5920"/>
        <item h="1" x="5921"/>
        <item h="1" x="5922"/>
        <item h="1" x="5923"/>
        <item h="1" x="5924"/>
        <item h="1" x="5925"/>
        <item h="1" x="5926"/>
        <item h="1" x="5927"/>
        <item h="1" x="5928"/>
        <item h="1" x="5929"/>
        <item h="1" x="5930"/>
        <item h="1" x="5931"/>
        <item h="1" x="5932"/>
        <item h="1" x="5933"/>
        <item h="1" x="5934"/>
        <item h="1" x="5935"/>
        <item h="1" x="5936"/>
        <item h="1" x="5937"/>
        <item h="1" x="5938"/>
        <item h="1" x="5939"/>
        <item h="1" x="5940"/>
        <item h="1" x="5941"/>
        <item h="1" x="5942"/>
        <item h="1" x="5943"/>
        <item h="1" x="5944"/>
        <item h="1" x="5945"/>
        <item h="1" x="5946"/>
        <item h="1" x="5947"/>
        <item h="1" x="5948"/>
        <item h="1" x="5949"/>
        <item h="1" x="5950"/>
        <item h="1" x="5951"/>
        <item h="1" x="5952"/>
        <item h="1" x="5953"/>
        <item h="1" x="5954"/>
        <item h="1" x="5955"/>
        <item h="1" x="5956"/>
        <item h="1" x="5957"/>
        <item h="1" x="5958"/>
        <item h="1" x="5959"/>
        <item h="1" x="5960"/>
        <item h="1" x="5961"/>
        <item h="1" x="5962"/>
        <item h="1" x="5963"/>
        <item h="1" x="5964"/>
        <item h="1" x="5965"/>
        <item h="1" x="5966"/>
        <item h="1" x="5967"/>
        <item h="1" x="5968"/>
        <item h="1" x="5969"/>
        <item h="1" x="5970"/>
        <item h="1" x="5971"/>
        <item h="1" x="5972"/>
        <item h="1" x="5973"/>
        <item h="1" x="5974"/>
        <item h="1" x="5975"/>
        <item h="1" x="5976"/>
        <item h="1" x="5977"/>
        <item h="1" x="5978"/>
        <item h="1" x="5979"/>
        <item h="1" x="5980"/>
        <item h="1" x="5981"/>
        <item h="1" x="5982"/>
        <item h="1" x="5983"/>
        <item h="1" x="5984"/>
        <item h="1" x="5985"/>
        <item h="1" x="5986"/>
        <item h="1" x="5987"/>
        <item h="1" x="5988"/>
        <item h="1" x="5989"/>
        <item h="1" x="5990"/>
        <item h="1" x="5991"/>
        <item h="1" x="5992"/>
        <item h="1" x="5993"/>
        <item h="1" x="5994"/>
        <item h="1" x="5995"/>
        <item h="1" x="5996"/>
        <item h="1" x="5997"/>
        <item h="1" x="5998"/>
        <item h="1" x="5999"/>
        <item h="1" x="6000"/>
        <item h="1" x="6001"/>
        <item h="1" x="6002"/>
        <item h="1" x="6003"/>
        <item h="1" x="6004"/>
        <item h="1" x="6005"/>
        <item h="1" x="6006"/>
        <item h="1" x="6007"/>
        <item h="1" x="6008"/>
        <item h="1" x="6009"/>
        <item h="1" x="6010"/>
        <item h="1" x="6011"/>
        <item h="1" x="6012"/>
        <item h="1" x="6013"/>
        <item h="1" x="6014"/>
        <item h="1" x="6015"/>
        <item h="1" x="6016"/>
        <item h="1" x="6017"/>
        <item h="1" x="6018"/>
        <item h="1" x="6019"/>
        <item h="1" x="6020"/>
        <item h="1" x="6021"/>
        <item h="1" x="6022"/>
        <item h="1" x="6023"/>
        <item h="1" x="6024"/>
        <item h="1" x="6025"/>
        <item h="1" x="6026"/>
        <item h="1" x="6027"/>
        <item h="1" x="6028"/>
        <item h="1" x="6029"/>
        <item h="1" x="6030"/>
        <item h="1" x="6031"/>
        <item h="1" x="6032"/>
        <item h="1" x="6033"/>
        <item h="1" x="6034"/>
        <item h="1" x="6035"/>
        <item h="1" x="6036"/>
        <item h="1" x="6037"/>
        <item h="1" x="6038"/>
        <item h="1" x="6039"/>
        <item h="1" x="6040"/>
        <item h="1" x="6041"/>
        <item h="1" x="6042"/>
        <item h="1" x="6043"/>
        <item h="1" x="6044"/>
        <item h="1" x="6045"/>
        <item h="1" x="6046"/>
        <item h="1" x="6047"/>
        <item h="1" x="6048"/>
        <item h="1" x="6049"/>
        <item h="1" x="6050"/>
        <item h="1" x="6051"/>
        <item h="1" x="6052"/>
        <item h="1" x="6053"/>
        <item h="1" x="6054"/>
        <item h="1" x="6055"/>
        <item h="1" x="6056"/>
        <item h="1" x="6057"/>
        <item h="1" x="6058"/>
        <item h="1" x="6059"/>
        <item h="1" x="6060"/>
        <item h="1" x="6061"/>
        <item h="1" x="6062"/>
        <item h="1" x="6063"/>
        <item h="1" x="6064"/>
        <item h="1" x="6065"/>
        <item h="1" x="6066"/>
        <item h="1" x="6067"/>
        <item h="1" x="6068"/>
        <item h="1" x="6069"/>
        <item h="1" x="6070"/>
        <item h="1" x="6071"/>
        <item h="1" x="6072"/>
        <item h="1" x="6073"/>
        <item h="1" x="6074"/>
        <item h="1" x="6075"/>
        <item h="1" x="6076"/>
        <item h="1" x="6077"/>
        <item h="1" x="6078"/>
        <item h="1" x="6079"/>
        <item h="1" x="6080"/>
        <item h="1" x="6081"/>
        <item h="1" x="6082"/>
        <item h="1" x="6083"/>
        <item h="1" x="6084"/>
        <item h="1" x="6085"/>
        <item h="1" x="6086"/>
        <item h="1" x="6087"/>
        <item h="1" x="6088"/>
        <item h="1" x="6089"/>
        <item h="1" x="6090"/>
        <item h="1" x="6091"/>
        <item h="1" x="6092"/>
        <item h="1" x="6093"/>
        <item h="1" x="6094"/>
        <item h="1" x="6095"/>
        <item h="1" x="6096"/>
        <item h="1" x="6097"/>
        <item h="1" x="6098"/>
        <item h="1" x="6099"/>
        <item h="1" x="6100"/>
        <item h="1" x="6101"/>
        <item h="1" x="6102"/>
        <item h="1" x="6103"/>
        <item h="1" x="6104"/>
        <item h="1" x="6105"/>
        <item h="1" x="6106"/>
        <item h="1" x="6107"/>
        <item h="1" x="6108"/>
        <item h="1" x="6109"/>
        <item h="1" x="6110"/>
        <item h="1" x="6111"/>
        <item h="1" x="6112"/>
        <item h="1" x="6113"/>
        <item h="1" x="6114"/>
        <item h="1" x="6115"/>
        <item h="1" x="6116"/>
        <item h="1" x="6117"/>
        <item h="1" x="6118"/>
        <item h="1" x="6119"/>
        <item h="1" x="6120"/>
        <item h="1" x="6121"/>
        <item h="1" x="6122"/>
        <item h="1" x="6123"/>
        <item h="1" x="6124"/>
        <item h="1" x="6125"/>
        <item h="1" x="6126"/>
        <item h="1" x="6127"/>
        <item h="1" x="6128"/>
        <item h="1" x="6129"/>
        <item h="1" x="6130"/>
        <item h="1" x="6131"/>
        <item h="1" x="6132"/>
        <item h="1" x="6133"/>
        <item h="1" x="6134"/>
        <item h="1" x="6135"/>
        <item h="1" x="6136"/>
        <item h="1" x="6137"/>
        <item h="1" x="6138"/>
        <item h="1" x="6139"/>
        <item h="1" x="6140"/>
        <item h="1" x="6141"/>
        <item h="1" x="6142"/>
        <item h="1" x="6143"/>
        <item h="1" x="6144"/>
        <item h="1" x="6145"/>
        <item h="1" x="6146"/>
        <item h="1" x="6147"/>
        <item h="1" x="6148"/>
        <item h="1" x="6149"/>
        <item h="1" x="6150"/>
        <item h="1" x="6151"/>
        <item h="1" x="6152"/>
        <item h="1" x="6153"/>
        <item h="1" x="6154"/>
        <item h="1" x="6155"/>
        <item h="1" x="6156"/>
        <item h="1" x="6157"/>
        <item h="1" x="6158"/>
        <item h="1" x="6159"/>
        <item h="1" x="6160"/>
        <item h="1" x="6161"/>
        <item h="1" x="6162"/>
        <item h="1" x="6163"/>
        <item h="1" x="6164"/>
        <item h="1" x="6165"/>
        <item h="1" x="6166"/>
        <item h="1" x="6167"/>
        <item h="1" x="6168"/>
        <item h="1" x="6169"/>
        <item h="1" x="6170"/>
        <item h="1" x="6171"/>
        <item h="1" x="6172"/>
        <item h="1" x="6173"/>
        <item h="1" x="6174"/>
        <item h="1" x="6175"/>
        <item h="1" x="6176"/>
        <item h="1" x="6177"/>
        <item h="1" x="6178"/>
        <item h="1" x="6179"/>
        <item h="1" x="6180"/>
        <item h="1" x="6181"/>
        <item h="1" x="6182"/>
        <item h="1" x="6183"/>
        <item h="1" x="6184"/>
        <item h="1" x="6185"/>
        <item h="1" x="6186"/>
        <item h="1" x="6187"/>
        <item h="1" x="6188"/>
        <item h="1" x="6189"/>
        <item h="1" x="6190"/>
        <item h="1" x="6191"/>
        <item h="1" x="6192"/>
        <item h="1" x="6193"/>
        <item h="1" x="6194"/>
        <item h="1" x="6195"/>
        <item h="1" x="6196"/>
        <item h="1" x="6197"/>
        <item h="1" x="6198"/>
        <item h="1" x="6199"/>
        <item h="1" x="6200"/>
        <item h="1" x="6201"/>
        <item h="1" x="6202"/>
        <item h="1" x="6203"/>
        <item h="1" x="6204"/>
        <item h="1" x="6205"/>
        <item h="1" x="6206"/>
        <item h="1" x="6207"/>
        <item h="1" x="6208"/>
        <item h="1" x="6209"/>
        <item h="1" x="6210"/>
        <item h="1" x="6211"/>
        <item h="1" x="6212"/>
        <item h="1" x="6213"/>
        <item h="1" x="6214"/>
        <item h="1" x="6215"/>
        <item h="1" x="6216"/>
        <item h="1" x="6217"/>
        <item h="1" x="6218"/>
        <item h="1" x="6219"/>
        <item h="1" x="6220"/>
        <item h="1" x="6221"/>
        <item h="1" x="6222"/>
        <item h="1" x="6223"/>
        <item h="1" x="6224"/>
        <item h="1" x="6225"/>
        <item h="1" x="6226"/>
        <item h="1" x="6227"/>
        <item h="1" x="6228"/>
        <item h="1" x="6229"/>
        <item h="1" x="6230"/>
        <item h="1" x="6231"/>
        <item h="1" x="6232"/>
        <item h="1" x="6233"/>
        <item h="1" x="6234"/>
        <item h="1" x="6235"/>
        <item h="1" x="6236"/>
        <item h="1" x="6237"/>
        <item h="1" x="6238"/>
        <item h="1" x="6239"/>
        <item h="1" x="6240"/>
        <item h="1" x="6241"/>
        <item h="1" x="6242"/>
        <item h="1" x="6243"/>
        <item h="1" x="6244"/>
        <item h="1" x="6245"/>
        <item h="1" x="6246"/>
        <item h="1" x="6247"/>
        <item h="1" x="6248"/>
        <item h="1" x="6249"/>
        <item h="1" x="6250"/>
        <item h="1" x="6251"/>
        <item h="1" x="6252"/>
        <item h="1" x="6253"/>
        <item h="1" x="6254"/>
        <item h="1" x="6255"/>
        <item h="1" x="6256"/>
        <item h="1" x="6257"/>
        <item h="1" x="6258"/>
        <item h="1" x="6259"/>
        <item h="1" x="6260"/>
        <item h="1" x="6261"/>
        <item h="1" x="6262"/>
        <item h="1" x="6263"/>
        <item h="1" x="6264"/>
        <item h="1" x="6265"/>
        <item h="1" x="6266"/>
        <item h="1" x="6267"/>
        <item h="1" x="6268"/>
        <item h="1" x="6269"/>
        <item h="1" x="6270"/>
        <item h="1" x="6271"/>
        <item h="1" x="6272"/>
        <item h="1" x="6273"/>
        <item h="1" x="6274"/>
        <item h="1" x="6275"/>
        <item h="1" x="6276"/>
        <item h="1" x="6277"/>
        <item h="1" x="6278"/>
        <item h="1" x="6279"/>
        <item h="1" x="6280"/>
        <item h="1" x="6281"/>
        <item h="1" x="6282"/>
        <item h="1" x="6283"/>
        <item h="1" x="6284"/>
        <item h="1" x="6285"/>
        <item h="1" x="6286"/>
        <item h="1" x="6287"/>
        <item h="1" x="6288"/>
        <item h="1" x="6289"/>
        <item h="1" x="6290"/>
        <item h="1" x="6291"/>
        <item h="1" x="6292"/>
        <item h="1" x="6293"/>
        <item h="1" x="6294"/>
        <item h="1" x="6295"/>
        <item h="1" x="6296"/>
        <item h="1" x="6297"/>
        <item h="1" x="6298"/>
        <item h="1" x="6299"/>
        <item h="1" x="6300"/>
        <item h="1" x="6301"/>
        <item h="1" x="6302"/>
        <item h="1" x="6303"/>
        <item h="1" x="6304"/>
        <item h="1" x="6305"/>
        <item h="1" x="6306"/>
        <item h="1" x="6307"/>
        <item h="1" x="6308"/>
        <item h="1" x="6309"/>
        <item h="1" x="6310"/>
        <item h="1" x="6311"/>
        <item h="1" x="6312"/>
        <item h="1" x="6313"/>
        <item h="1" x="6314"/>
        <item h="1" x="6315"/>
        <item h="1" x="6316"/>
        <item h="1" x="6317"/>
        <item h="1" x="6318"/>
        <item h="1" x="6319"/>
        <item h="1" x="6320"/>
        <item h="1" x="6321"/>
        <item h="1" x="6322"/>
        <item h="1" x="6323"/>
        <item h="1" x="6324"/>
        <item h="1" x="6325"/>
        <item h="1" x="6326"/>
        <item h="1" x="6327"/>
        <item h="1" x="6328"/>
        <item h="1" x="6329"/>
        <item h="1" x="6330"/>
        <item h="1" x="6331"/>
        <item h="1" x="6332"/>
        <item h="1" x="6333"/>
        <item h="1" x="6334"/>
        <item h="1" x="6335"/>
        <item h="1" x="6336"/>
        <item h="1" x="6337"/>
        <item h="1" x="6338"/>
        <item h="1" x="6339"/>
        <item h="1" x="6340"/>
        <item h="1" x="6341"/>
        <item h="1" x="6342"/>
        <item h="1" x="6343"/>
        <item h="1" x="6344"/>
        <item h="1" x="6345"/>
        <item h="1" x="6346"/>
        <item h="1" x="6347"/>
        <item h="1" x="6348"/>
        <item h="1" x="6349"/>
        <item h="1" x="6350"/>
        <item h="1" x="6351"/>
        <item h="1" x="6352"/>
        <item h="1" x="6353"/>
        <item h="1" x="6354"/>
        <item h="1" x="6355"/>
        <item h="1" x="6356"/>
        <item h="1" x="6357"/>
        <item h="1" x="6358"/>
        <item h="1" x="6359"/>
        <item h="1" x="6360"/>
        <item h="1" x="6361"/>
        <item h="1" x="6362"/>
        <item h="1" x="6363"/>
        <item h="1" x="6364"/>
        <item h="1" x="6365"/>
        <item h="1" x="6366"/>
        <item h="1" x="6367"/>
        <item h="1" x="6368"/>
        <item h="1" x="6369"/>
        <item h="1" x="6370"/>
        <item h="1" x="6371"/>
        <item h="1" x="6372"/>
        <item h="1" x="6373"/>
        <item h="1" x="6374"/>
        <item h="1" x="6375"/>
        <item h="1" x="6376"/>
        <item h="1" x="6377"/>
        <item h="1" x="6378"/>
        <item h="1" x="6379"/>
        <item h="1" x="6380"/>
        <item h="1" x="6381"/>
        <item h="1" x="6382"/>
        <item h="1" x="6383"/>
        <item h="1" x="6384"/>
        <item h="1" x="6385"/>
        <item h="1" x="6386"/>
        <item h="1" x="6387"/>
        <item h="1" x="6388"/>
        <item h="1" x="6389"/>
        <item h="1" x="6390"/>
        <item h="1" x="6391"/>
        <item h="1" x="6392"/>
        <item h="1" x="6393"/>
        <item h="1" x="6394"/>
        <item h="1" x="6395"/>
        <item h="1" x="6396"/>
        <item h="1" x="6397"/>
        <item h="1" x="6398"/>
        <item h="1" x="6399"/>
        <item h="1" x="6400"/>
        <item h="1" x="6401"/>
        <item h="1" x="6402"/>
        <item h="1" x="6403"/>
        <item h="1" x="6404"/>
        <item h="1" x="6405"/>
        <item h="1" x="6406"/>
        <item h="1" x="6407"/>
        <item h="1" x="6408"/>
        <item h="1" x="6409"/>
        <item h="1" x="6410"/>
        <item h="1" x="6411"/>
        <item h="1" x="6412"/>
        <item h="1" x="6413"/>
        <item h="1" x="6414"/>
        <item h="1" x="6415"/>
        <item h="1" x="6416"/>
        <item h="1" x="6417"/>
        <item h="1" x="6418"/>
        <item h="1" x="6419"/>
        <item h="1" x="6420"/>
        <item h="1" x="6421"/>
        <item h="1" x="6422"/>
        <item h="1" x="6423"/>
        <item h="1" x="6424"/>
        <item h="1" x="6425"/>
        <item h="1" x="6426"/>
        <item h="1" x="6427"/>
        <item h="1" x="6428"/>
        <item h="1" x="6429"/>
        <item h="1" x="6430"/>
        <item h="1" x="6431"/>
        <item h="1" x="6432"/>
        <item h="1" x="6433"/>
        <item h="1" x="6434"/>
        <item h="1" x="6435"/>
        <item h="1" x="6436"/>
        <item h="1" x="6437"/>
        <item h="1" x="6438"/>
        <item h="1" x="6439"/>
        <item h="1" x="6440"/>
        <item h="1" x="6441"/>
        <item h="1" x="6442"/>
        <item h="1" x="6443"/>
        <item h="1" x="6444"/>
        <item h="1" x="6445"/>
        <item h="1" x="6446"/>
        <item h="1" x="6447"/>
        <item h="1" x="6448"/>
        <item h="1" x="6449"/>
        <item h="1" x="6450"/>
        <item h="1" x="6451"/>
        <item h="1" x="6452"/>
        <item h="1" x="6453"/>
        <item h="1" x="6454"/>
        <item h="1" x="6455"/>
        <item h="1" x="6456"/>
        <item h="1" x="6457"/>
        <item h="1" x="6458"/>
        <item h="1" x="6459"/>
        <item h="1" x="6460"/>
        <item h="1" x="6461"/>
        <item h="1" x="6462"/>
        <item h="1" x="6463"/>
        <item h="1" x="6464"/>
        <item h="1" x="6465"/>
        <item h="1" x="6466"/>
        <item h="1" x="6467"/>
        <item h="1" x="6468"/>
        <item h="1" x="6469"/>
        <item h="1" x="6470"/>
        <item h="1" x="6471"/>
        <item h="1" x="6472"/>
        <item h="1" x="6473"/>
        <item h="1" x="6474"/>
        <item h="1" x="6475"/>
        <item h="1" x="6476"/>
        <item h="1" x="6477"/>
        <item h="1" x="6478"/>
        <item h="1" x="6479"/>
        <item h="1" x="6480"/>
        <item h="1" x="6481"/>
        <item h="1" x="6482"/>
        <item h="1" x="6483"/>
        <item h="1" x="6484"/>
        <item h="1" x="6485"/>
        <item h="1" x="6486"/>
        <item h="1" x="6487"/>
        <item h="1" x="6488"/>
        <item h="1" x="6489"/>
        <item h="1" x="6490"/>
        <item h="1" x="6491"/>
        <item h="1" x="6492"/>
        <item h="1" x="6493"/>
        <item h="1" x="6494"/>
        <item h="1" x="6495"/>
        <item h="1" x="6496"/>
        <item h="1" x="6497"/>
        <item h="1" x="6498"/>
        <item h="1" x="6499"/>
        <item h="1" x="6500"/>
        <item h="1" x="6501"/>
        <item h="1" x="6502"/>
        <item h="1" x="6503"/>
        <item h="1" x="6504"/>
        <item h="1" x="6505"/>
        <item h="1" x="6506"/>
        <item h="1" x="6507"/>
        <item h="1" x="6508"/>
        <item h="1" x="6509"/>
        <item h="1" x="6510"/>
        <item h="1" x="6511"/>
        <item h="1" x="6512"/>
        <item h="1" x="6513"/>
        <item h="1" x="6514"/>
        <item h="1" x="6515"/>
        <item h="1" x="6516"/>
        <item h="1" x="6517"/>
        <item h="1" x="6518"/>
        <item h="1" x="6519"/>
        <item h="1" x="6520"/>
        <item h="1" x="6521"/>
        <item h="1" x="6522"/>
        <item h="1" x="6523"/>
        <item h="1" x="6524"/>
        <item h="1" x="6525"/>
        <item h="1" x="6526"/>
        <item h="1" x="6527"/>
        <item h="1" x="6528"/>
        <item h="1" x="6529"/>
        <item h="1" x="6530"/>
        <item h="1" x="6531"/>
        <item h="1" x="6532"/>
        <item h="1" x="6533"/>
        <item h="1" x="6534"/>
        <item h="1" x="6535"/>
        <item h="1" x="6536"/>
        <item h="1" x="6537"/>
        <item h="1" x="6538"/>
        <item h="1" x="6539"/>
        <item h="1" x="6540"/>
        <item h="1" x="6541"/>
        <item h="1" x="6542"/>
        <item h="1" x="6543"/>
        <item h="1" x="6544"/>
        <item h="1" x="6545"/>
        <item h="1" x="6546"/>
        <item h="1" x="6547"/>
        <item h="1" x="6548"/>
        <item h="1" x="6549"/>
        <item h="1" x="6550"/>
        <item h="1" x="6551"/>
        <item h="1" x="6552"/>
        <item h="1" x="6553"/>
        <item h="1" x="6554"/>
        <item h="1" x="6555"/>
        <item h="1" x="6556"/>
        <item h="1" x="6557"/>
        <item h="1" x="6558"/>
        <item h="1" x="6559"/>
        <item h="1" x="6560"/>
        <item h="1" x="6561"/>
        <item h="1" x="6562"/>
        <item h="1" x="6563"/>
        <item h="1" x="6564"/>
        <item h="1" x="6565"/>
        <item h="1" x="6566"/>
        <item h="1" x="6567"/>
        <item h="1" x="6568"/>
        <item h="1" x="6569"/>
        <item h="1" x="6570"/>
        <item h="1" x="6571"/>
        <item h="1" x="6572"/>
        <item h="1" x="6573"/>
        <item h="1" x="6574"/>
        <item h="1" x="6575"/>
        <item h="1" x="6576"/>
        <item h="1" x="6577"/>
        <item h="1" x="6578"/>
        <item h="1" x="6579"/>
        <item h="1" x="6580"/>
        <item h="1" x="6581"/>
        <item h="1" x="6582"/>
        <item h="1" x="6583"/>
        <item h="1" x="6584"/>
        <item h="1" x="6585"/>
        <item h="1" x="6586"/>
        <item h="1" x="6587"/>
        <item h="1" x="6588"/>
        <item h="1" x="6589"/>
        <item h="1" x="6590"/>
        <item h="1" x="6591"/>
        <item h="1" x="6592"/>
        <item h="1" x="6593"/>
        <item h="1" x="6594"/>
        <item h="1" x="6595"/>
        <item h="1" x="6596"/>
        <item h="1" x="6597"/>
        <item h="1" x="6598"/>
        <item h="1" x="6599"/>
        <item h="1" x="6600"/>
        <item h="1" x="6601"/>
        <item h="1" x="6602"/>
        <item h="1" x="6603"/>
        <item h="1" x="6604"/>
        <item h="1" x="6605"/>
        <item h="1" x="6606"/>
        <item h="1" x="6607"/>
        <item h="1" x="6608"/>
        <item h="1" x="6609"/>
        <item h="1" x="6610"/>
        <item h="1" x="6611"/>
        <item h="1" x="6612"/>
        <item h="1" x="6613"/>
        <item h="1" x="6614"/>
        <item h="1" x="6615"/>
        <item h="1" x="6616"/>
        <item h="1" x="6617"/>
        <item h="1" x="6618"/>
        <item h="1" x="6619"/>
        <item h="1" x="6620"/>
        <item h="1" x="6621"/>
        <item h="1" x="6622"/>
        <item h="1" x="6623"/>
        <item h="1" x="6624"/>
        <item h="1" x="6625"/>
        <item h="1" x="6626"/>
        <item h="1" x="6627"/>
        <item h="1" x="6628"/>
        <item h="1" x="6629"/>
        <item h="1" x="6630"/>
        <item h="1" x="6631"/>
        <item h="1" x="6632"/>
        <item h="1" x="6633"/>
        <item h="1" x="6634"/>
        <item h="1" x="6635"/>
        <item h="1" x="6636"/>
        <item h="1" x="6637"/>
        <item h="1" x="6638"/>
        <item h="1" x="6639"/>
        <item h="1" x="6640"/>
        <item h="1" x="6641"/>
        <item h="1" x="6642"/>
        <item h="1" x="6643"/>
        <item h="1" x="6644"/>
        <item h="1" x="6645"/>
        <item h="1" x="6646"/>
        <item h="1" x="6647"/>
        <item h="1" x="6648"/>
        <item h="1" x="6649"/>
        <item h="1" x="6650"/>
        <item h="1" x="6651"/>
        <item h="1" x="6652"/>
        <item h="1" x="6653"/>
        <item h="1" x="6654"/>
        <item h="1" x="6655"/>
        <item h="1" x="6656"/>
        <item h="1" x="6657"/>
        <item h="1" x="6658"/>
        <item h="1" x="6659"/>
        <item h="1" x="6660"/>
        <item h="1" x="6661"/>
        <item h="1" x="6662"/>
        <item h="1" x="6663"/>
        <item h="1" x="6664"/>
        <item h="1" x="6665"/>
        <item h="1" x="6666"/>
        <item h="1" x="6667"/>
        <item h="1" x="6668"/>
        <item h="1" x="6669"/>
        <item h="1" x="6670"/>
        <item h="1" x="6671"/>
        <item h="1" x="6672"/>
        <item h="1" x="6673"/>
        <item h="1" x="6674"/>
        <item h="1" x="6675"/>
        <item h="1" x="6676"/>
        <item h="1" x="6677"/>
        <item h="1" x="6678"/>
        <item h="1" x="6679"/>
        <item h="1" x="6680"/>
        <item h="1" x="6681"/>
        <item h="1" x="6682"/>
        <item h="1" x="6683"/>
        <item h="1" x="6684"/>
        <item h="1" x="6685"/>
        <item h="1" x="6686"/>
        <item h="1" x="6687"/>
        <item h="1" x="6688"/>
        <item h="1" x="6689"/>
        <item h="1" x="6690"/>
        <item h="1" x="6691"/>
        <item h="1" x="6692"/>
        <item h="1" x="6693"/>
        <item h="1" x="6694"/>
        <item h="1" x="6695"/>
        <item h="1" x="6696"/>
        <item h="1" x="6697"/>
        <item h="1" x="6698"/>
        <item h="1" x="6699"/>
        <item h="1" x="6700"/>
        <item h="1" x="6701"/>
        <item h="1" x="6702"/>
        <item h="1" x="6703"/>
        <item h="1" x="6704"/>
        <item h="1" x="6705"/>
        <item h="1" x="6706"/>
        <item h="1" x="6707"/>
        <item h="1" x="6708"/>
        <item h="1" x="6709"/>
        <item h="1" x="6710"/>
        <item h="1" x="6711"/>
        <item h="1" x="6712"/>
        <item h="1" x="6713"/>
        <item h="1" x="6714"/>
        <item h="1" x="6715"/>
        <item h="1" x="6716"/>
        <item h="1" x="6717"/>
        <item h="1" x="6718"/>
        <item h="1" x="6719"/>
        <item h="1" x="6720"/>
        <item h="1" x="6721"/>
        <item h="1" x="6722"/>
        <item h="1" x="6723"/>
        <item h="1" x="6724"/>
        <item h="1" x="6725"/>
        <item h="1" x="6726"/>
        <item h="1" x="6727"/>
        <item h="1" x="6728"/>
        <item h="1" x="6729"/>
        <item h="1" x="6730"/>
        <item h="1" x="6731"/>
        <item h="1" x="6732"/>
        <item h="1" x="6733"/>
        <item h="1" x="6734"/>
        <item h="1" x="6735"/>
        <item h="1" x="6736"/>
        <item h="1" x="6737"/>
        <item h="1" x="6738"/>
        <item h="1" x="6739"/>
        <item h="1" x="6740"/>
        <item h="1" x="6741"/>
        <item h="1" x="6742"/>
        <item h="1" x="6743"/>
        <item h="1" x="6744"/>
        <item h="1" x="6745"/>
        <item h="1" x="6746"/>
        <item h="1" x="6747"/>
        <item h="1" x="6748"/>
        <item h="1" x="6749"/>
        <item h="1" x="6750"/>
        <item h="1" x="6751"/>
        <item h="1" x="6752"/>
        <item h="1" x="6753"/>
        <item h="1" x="6754"/>
        <item h="1" x="6755"/>
        <item h="1" x="6756"/>
        <item h="1" x="6757"/>
        <item h="1" x="6758"/>
        <item h="1" x="6759"/>
        <item h="1" x="6760"/>
        <item h="1" x="6761"/>
        <item h="1" x="6762"/>
        <item h="1" x="6763"/>
        <item h="1" x="6764"/>
        <item h="1" x="6765"/>
        <item h="1" x="6766"/>
        <item h="1" x="6767"/>
        <item h="1" x="6768"/>
        <item h="1" x="6769"/>
        <item h="1" x="6770"/>
        <item h="1" x="6771"/>
        <item h="1" x="6772"/>
        <item h="1" x="6773"/>
        <item h="1" x="6774"/>
        <item h="1" x="6775"/>
        <item h="1" x="6776"/>
        <item h="1" x="6777"/>
        <item h="1" x="6778"/>
        <item h="1" x="6779"/>
        <item h="1" x="6780"/>
        <item h="1" x="6781"/>
        <item h="1" x="6782"/>
        <item h="1" x="6783"/>
        <item h="1" x="6784"/>
        <item h="1" x="6785"/>
        <item h="1" x="6786"/>
        <item h="1" x="6787"/>
        <item h="1" x="6788"/>
        <item h="1" x="6789"/>
        <item h="1" x="6790"/>
        <item h="1" x="6791"/>
        <item h="1" x="6792"/>
        <item h="1" x="6793"/>
        <item h="1" x="6794"/>
        <item h="1" x="6795"/>
        <item h="1" x="6796"/>
        <item h="1" x="6797"/>
        <item h="1" x="6798"/>
        <item h="1" x="6799"/>
        <item h="1" x="6800"/>
        <item h="1" x="6801"/>
        <item h="1" x="6802"/>
        <item h="1" x="6803"/>
        <item h="1" x="6804"/>
        <item h="1" x="6805"/>
        <item h="1" x="6806"/>
        <item h="1" x="6807"/>
        <item h="1" x="6808"/>
        <item h="1" x="6809"/>
        <item h="1" x="6810"/>
        <item h="1" x="6811"/>
        <item h="1" x="6812"/>
        <item h="1" x="6813"/>
        <item h="1" x="6814"/>
        <item h="1" x="6815"/>
        <item h="1" x="6816"/>
        <item h="1" x="6817"/>
        <item h="1" x="6818"/>
        <item h="1" x="6819"/>
        <item h="1" x="6820"/>
        <item h="1" x="6821"/>
        <item h="1" x="6822"/>
        <item h="1" x="6823"/>
        <item h="1" x="6824"/>
        <item h="1" x="6825"/>
        <item h="1" x="6826"/>
        <item h="1" x="6827"/>
        <item h="1" x="6828"/>
        <item h="1" x="6829"/>
        <item h="1" x="6830"/>
        <item h="1" x="6831"/>
        <item h="1" x="6832"/>
        <item h="1" x="6833"/>
        <item h="1" x="6834"/>
        <item h="1" x="6835"/>
        <item h="1" x="6836"/>
        <item h="1" x="6837"/>
        <item h="1" x="6838"/>
        <item h="1" x="6839"/>
        <item h="1" x="6840"/>
        <item h="1" x="6841"/>
        <item h="1" x="6842"/>
        <item h="1" x="6843"/>
        <item h="1" x="6844"/>
        <item h="1" x="6845"/>
        <item h="1" x="6846"/>
        <item h="1" x="6847"/>
        <item h="1" x="6848"/>
        <item h="1" x="6849"/>
        <item h="1" x="6850"/>
        <item h="1" x="6851"/>
        <item h="1" x="6852"/>
        <item h="1" x="6853"/>
        <item h="1" x="6854"/>
        <item h="1" x="6855"/>
        <item h="1" x="6856"/>
        <item h="1" x="6857"/>
        <item h="1" x="6858"/>
        <item h="1" x="6859"/>
        <item h="1" x="6860"/>
        <item h="1" x="6861"/>
        <item h="1" x="6862"/>
        <item h="1" x="6863"/>
        <item h="1" x="6864"/>
        <item h="1" x="6865"/>
        <item h="1" x="6866"/>
        <item h="1" x="6867"/>
        <item h="1" x="6868"/>
        <item h="1" x="6869"/>
        <item h="1" x="6870"/>
        <item h="1" x="6871"/>
        <item h="1" x="6872"/>
        <item h="1" x="6873"/>
        <item h="1" x="6874"/>
        <item h="1" x="6875"/>
        <item h="1" x="6876"/>
        <item h="1" x="6877"/>
        <item h="1" x="6878"/>
        <item h="1" x="6879"/>
        <item h="1" x="6880"/>
        <item h="1" x="6881"/>
        <item h="1" x="6882"/>
        <item h="1" x="6883"/>
        <item h="1" x="6884"/>
        <item h="1" x="6885"/>
        <item h="1" x="6886"/>
        <item h="1" x="6887"/>
        <item h="1" x="6888"/>
        <item h="1" x="6889"/>
        <item h="1" x="6890"/>
        <item h="1" x="6891"/>
        <item h="1" x="6892"/>
        <item h="1" x="6893"/>
        <item h="1" x="6894"/>
        <item h="1" x="6895"/>
        <item h="1" x="6896"/>
        <item h="1" x="6897"/>
        <item h="1" x="6898"/>
        <item h="1" x="6899"/>
        <item h="1" x="6900"/>
        <item h="1" x="6901"/>
        <item h="1" x="6902"/>
        <item h="1" x="6903"/>
        <item h="1" x="6904"/>
        <item h="1" x="6905"/>
        <item h="1" x="6906"/>
        <item h="1" x="6907"/>
        <item h="1" x="6908"/>
        <item h="1" x="6909"/>
        <item h="1" x="6910"/>
        <item h="1" x="6911"/>
        <item h="1" x="6912"/>
        <item h="1" x="6913"/>
        <item h="1" x="6914"/>
        <item h="1" x="6915"/>
        <item h="1" x="6916"/>
        <item h="1" x="6917"/>
        <item h="1" x="6918"/>
        <item h="1" x="6919"/>
        <item h="1" x="6920"/>
        <item h="1" x="6921"/>
        <item h="1" x="6922"/>
        <item h="1" x="6923"/>
        <item h="1" x="6924"/>
        <item h="1" x="6925"/>
        <item h="1" x="6926"/>
        <item h="1" x="6927"/>
        <item h="1" x="6928"/>
        <item h="1" x="6929"/>
        <item h="1" x="6930"/>
        <item h="1" x="6931"/>
        <item h="1" x="6932"/>
        <item h="1" x="6933"/>
        <item h="1" x="6934"/>
        <item h="1" x="6935"/>
        <item h="1" x="6936"/>
        <item h="1" x="6937"/>
        <item h="1" x="6938"/>
        <item h="1" x="6939"/>
        <item h="1" x="6940"/>
        <item h="1" x="6941"/>
        <item h="1" x="6942"/>
        <item h="1" x="6943"/>
        <item h="1" x="6944"/>
        <item h="1" x="6945"/>
        <item h="1" x="6946"/>
        <item h="1" x="6947"/>
        <item h="1" x="6948"/>
        <item h="1" x="6949"/>
        <item h="1" x="6950"/>
        <item h="1" x="6951"/>
        <item h="1" x="6952"/>
        <item h="1" x="6953"/>
        <item h="1" x="6954"/>
        <item h="1" x="6955"/>
        <item h="1" x="6956"/>
        <item h="1" x="6957"/>
        <item h="1" x="6958"/>
        <item h="1" x="6959"/>
        <item h="1" x="6960"/>
        <item h="1" x="6961"/>
        <item h="1" x="6962"/>
        <item h="1" x="6963"/>
        <item h="1" x="6964"/>
        <item h="1" x="6965"/>
        <item h="1" x="6966"/>
        <item h="1" x="6967"/>
        <item h="1" x="6968"/>
        <item h="1" x="6969"/>
        <item h="1" x="6970"/>
        <item h="1" x="6971"/>
        <item h="1" x="6972"/>
        <item h="1" x="6973"/>
        <item h="1" x="6974"/>
        <item h="1" x="6975"/>
        <item h="1" x="6976"/>
        <item h="1" x="6977"/>
        <item h="1" x="6978"/>
        <item h="1" x="6979"/>
        <item h="1" x="6980"/>
        <item h="1" x="6981"/>
        <item h="1" x="6982"/>
        <item h="1" x="6983"/>
        <item h="1" x="6984"/>
        <item h="1" x="6985"/>
        <item h="1" x="6986"/>
        <item h="1" x="6987"/>
        <item h="1" x="6988"/>
        <item h="1" x="6989"/>
        <item h="1" x="6990"/>
        <item h="1" x="6991"/>
        <item h="1" x="6992"/>
        <item h="1" x="6993"/>
        <item h="1" x="6994"/>
        <item h="1" x="6995"/>
        <item h="1" x="6996"/>
        <item h="1" x="6997"/>
        <item h="1" x="6998"/>
        <item h="1" x="6999"/>
        <item h="1" x="7000"/>
        <item h="1" x="7001"/>
        <item h="1" x="7002"/>
        <item h="1" x="7003"/>
        <item h="1" x="7004"/>
        <item h="1" x="7005"/>
        <item h="1" x="7006"/>
        <item h="1" x="7007"/>
        <item h="1" x="7008"/>
        <item h="1" x="7009"/>
        <item h="1" x="7010"/>
        <item h="1" x="7011"/>
        <item h="1" x="7012"/>
        <item h="1" x="7013"/>
        <item h="1" x="7014"/>
        <item h="1" x="7015"/>
        <item h="1" x="7016"/>
        <item h="1" x="7017"/>
        <item h="1" x="7018"/>
        <item h="1" x="7019"/>
        <item h="1" x="7020"/>
        <item h="1" x="7021"/>
        <item h="1" x="7022"/>
        <item h="1" x="7023"/>
        <item h="1" x="7024"/>
        <item h="1" x="7025"/>
        <item h="1" x="7026"/>
        <item h="1" x="7027"/>
        <item h="1" x="7028"/>
        <item h="1" x="7029"/>
        <item h="1" x="7030"/>
        <item h="1" x="7031"/>
        <item h="1" x="7032"/>
        <item h="1" x="7033"/>
        <item h="1" x="7034"/>
        <item h="1" x="7035"/>
        <item h="1" x="7036"/>
        <item h="1" x="7037"/>
        <item h="1" x="7038"/>
        <item h="1" x="7039"/>
        <item h="1" x="7040"/>
        <item h="1" x="7041"/>
        <item h="1" x="7042"/>
        <item h="1" x="7043"/>
        <item h="1" x="7044"/>
        <item h="1" x="7045"/>
        <item h="1" x="7046"/>
        <item h="1" x="7047"/>
        <item h="1" x="7048"/>
        <item h="1" x="7049"/>
        <item h="1" x="7050"/>
        <item h="1" x="7051"/>
        <item h="1" x="7052"/>
        <item h="1" x="7053"/>
        <item h="1" x="7054"/>
        <item h="1" x="7055"/>
        <item h="1" x="7056"/>
        <item h="1" x="7057"/>
        <item h="1" x="7058"/>
        <item h="1" x="7059"/>
        <item h="1" x="7060"/>
        <item h="1" x="7061"/>
        <item h="1" x="7062"/>
        <item h="1" x="7063"/>
        <item h="1" x="7064"/>
        <item h="1" x="7065"/>
        <item h="1" x="7066"/>
        <item h="1" x="7067"/>
        <item h="1" x="7068"/>
        <item h="1" x="7069"/>
        <item h="1" x="7070"/>
        <item h="1" x="7071"/>
        <item h="1" x="7072"/>
        <item h="1" x="7073"/>
        <item h="1" x="7074"/>
        <item h="1" x="7075"/>
        <item h="1" x="7076"/>
        <item h="1" x="7077"/>
        <item h="1" x="7078"/>
        <item h="1" x="7079"/>
        <item h="1" x="7080"/>
        <item h="1" x="7081"/>
        <item h="1" x="7082"/>
        <item h="1" x="7083"/>
        <item h="1" x="7084"/>
        <item h="1" x="7085"/>
        <item h="1" x="7086"/>
        <item h="1" x="7087"/>
        <item h="1" x="7088"/>
        <item h="1" x="7089"/>
        <item h="1" x="7090"/>
        <item h="1" x="7091"/>
        <item h="1" x="7092"/>
        <item h="1" x="7093"/>
        <item h="1" x="7094"/>
        <item h="1" x="7095"/>
        <item h="1" x="7096"/>
        <item h="1" x="7097"/>
        <item h="1" x="7098"/>
        <item h="1" x="7099"/>
        <item h="1" x="7100"/>
        <item h="1" x="7101"/>
        <item h="1" x="7102"/>
        <item h="1" x="7103"/>
        <item h="1" x="7104"/>
        <item h="1" x="7105"/>
        <item h="1" x="7106"/>
        <item h="1" x="7107"/>
        <item h="1" x="7108"/>
        <item h="1" x="7109"/>
        <item h="1" x="7110"/>
        <item h="1" x="7111"/>
        <item h="1" x="7112"/>
        <item h="1" x="7113"/>
        <item h="1" x="7114"/>
        <item h="1" x="7115"/>
        <item h="1" x="7116"/>
        <item h="1" x="7117"/>
        <item h="1" x="7118"/>
        <item h="1" x="7119"/>
        <item h="1" x="7120"/>
        <item h="1" x="7121"/>
        <item h="1" x="7122"/>
        <item h="1" x="7123"/>
        <item h="1" x="7124"/>
        <item h="1" x="7125"/>
        <item h="1" x="7126"/>
        <item h="1" x="7127"/>
        <item h="1" x="7128"/>
        <item h="1" x="7129"/>
        <item h="1" x="7130"/>
        <item h="1" x="7131"/>
        <item h="1" x="7132"/>
        <item h="1" x="7133"/>
        <item h="1" x="7134"/>
        <item h="1" x="7135"/>
        <item h="1" x="7136"/>
        <item h="1" x="7137"/>
        <item h="1" x="7138"/>
        <item h="1" x="7139"/>
        <item h="1" x="7140"/>
        <item h="1" x="7141"/>
        <item h="1" x="7142"/>
        <item h="1" x="7143"/>
        <item h="1" x="7144"/>
        <item h="1" x="7145"/>
        <item h="1" x="7146"/>
        <item h="1" x="7147"/>
        <item h="1" x="7148"/>
        <item h="1" x="7149"/>
        <item h="1" x="7150"/>
        <item h="1" x="7151"/>
        <item h="1" x="7152"/>
        <item h="1" x="7153"/>
        <item h="1" x="7154"/>
        <item h="1" x="7155"/>
        <item h="1" x="7156"/>
        <item h="1" x="7157"/>
        <item h="1" x="7158"/>
        <item h="1" x="7159"/>
        <item h="1" x="7160"/>
        <item h="1" x="7161"/>
        <item h="1" x="7162"/>
        <item h="1" x="7163"/>
        <item h="1" x="7164"/>
        <item h="1" x="7165"/>
        <item h="1" x="7166"/>
        <item h="1" x="7167"/>
        <item h="1" x="7168"/>
        <item h="1" x="7169"/>
        <item h="1" x="7170"/>
        <item h="1" x="7171"/>
        <item h="1" x="7172"/>
        <item h="1" x="7173"/>
        <item h="1" x="7174"/>
        <item h="1" x="7175"/>
        <item h="1" x="7176"/>
        <item h="1" x="7177"/>
        <item h="1" x="7178"/>
        <item h="1" x="7179"/>
        <item h="1" x="7180"/>
        <item h="1" x="7181"/>
        <item h="1" x="7182"/>
        <item h="1" x="7183"/>
        <item h="1" x="7184"/>
        <item h="1" x="7185"/>
        <item h="1" x="7186"/>
        <item h="1" x="7187"/>
        <item h="1" x="7188"/>
        <item h="1" x="7189"/>
        <item h="1" x="7190"/>
        <item h="1" x="7191"/>
        <item h="1" x="7192"/>
        <item h="1" x="7193"/>
        <item h="1" x="7194"/>
        <item h="1" x="7195"/>
        <item h="1" x="7196"/>
        <item h="1" x="7197"/>
        <item h="1" x="7198"/>
        <item h="1" x="7199"/>
        <item h="1" x="7200"/>
        <item h="1" x="7201"/>
        <item h="1" x="7202"/>
        <item h="1" x="7203"/>
        <item h="1" x="7204"/>
        <item h="1" x="7205"/>
        <item h="1" x="7206"/>
        <item h="1" x="7207"/>
        <item h="1" x="7208"/>
        <item h="1" x="7209"/>
        <item h="1" x="7210"/>
        <item h="1" x="7211"/>
        <item h="1" x="7212"/>
        <item h="1" x="7213"/>
        <item h="1" x="7214"/>
        <item h="1" x="7215"/>
        <item h="1" x="7216"/>
        <item h="1" x="7217"/>
        <item h="1" x="7218"/>
        <item h="1" x="7219"/>
        <item h="1" x="7220"/>
        <item h="1" x="7221"/>
        <item h="1" x="7222"/>
        <item h="1" x="7223"/>
        <item h="1" x="7224"/>
        <item h="1" x="7225"/>
        <item h="1" x="7226"/>
        <item h="1" x="7227"/>
        <item h="1" x="7228"/>
        <item h="1" x="7229"/>
        <item h="1" x="7230"/>
        <item h="1" x="7231"/>
        <item h="1" x="7232"/>
        <item h="1" x="7233"/>
        <item h="1" x="7234"/>
        <item h="1" x="7235"/>
        <item h="1" x="7236"/>
        <item h="1" x="7237"/>
        <item h="1" x="7238"/>
        <item h="1" x="7239"/>
        <item h="1" x="7240"/>
        <item h="1" x="7241"/>
        <item h="1" x="7242"/>
        <item h="1" x="7243"/>
        <item h="1" x="7244"/>
        <item h="1" x="7245"/>
        <item h="1" x="7246"/>
        <item h="1" x="7247"/>
        <item h="1" x="7248"/>
        <item h="1" x="7249"/>
        <item h="1" x="7250"/>
        <item h="1" x="7251"/>
        <item h="1" x="7252"/>
        <item h="1" x="7253"/>
        <item h="1" x="7254"/>
        <item h="1" x="7255"/>
        <item h="1" x="7256"/>
        <item h="1" x="7257"/>
        <item h="1" x="7258"/>
        <item h="1" x="7259"/>
        <item h="1" x="7260"/>
        <item h="1" x="7261"/>
        <item h="1" x="7262"/>
        <item h="1" x="7263"/>
        <item h="1" x="7264"/>
        <item h="1" x="7265"/>
        <item h="1" x="7266"/>
        <item h="1" x="7267"/>
        <item h="1" x="7268"/>
        <item h="1" x="7269"/>
        <item h="1" x="7270"/>
        <item h="1" x="7271"/>
        <item h="1" x="7272"/>
        <item h="1" x="7273"/>
        <item h="1" x="7274"/>
        <item h="1" x="7275"/>
        <item h="1" x="7276"/>
        <item h="1" x="7277"/>
        <item h="1" x="7278"/>
        <item h="1" x="7279"/>
        <item h="1" x="7280"/>
        <item h="1" x="7281"/>
        <item h="1" x="7282"/>
        <item h="1" x="7283"/>
        <item h="1" x="7284"/>
        <item h="1" x="7285"/>
        <item h="1" x="7286"/>
        <item h="1" x="7287"/>
        <item h="1" x="7288"/>
        <item h="1" x="7289"/>
        <item h="1" x="7290"/>
        <item h="1" x="7291"/>
        <item h="1" x="7292"/>
        <item h="1" x="7293"/>
        <item h="1" x="7294"/>
        <item h="1" x="7295"/>
        <item h="1" x="7296"/>
        <item h="1" x="7297"/>
        <item h="1" x="7298"/>
        <item h="1" x="7299"/>
        <item h="1" x="7300"/>
        <item h="1" x="7301"/>
        <item h="1" x="7302"/>
        <item h="1" x="7303"/>
        <item h="1" x="7304"/>
        <item h="1" x="7305"/>
        <item h="1" x="7306"/>
        <item h="1" x="7307"/>
        <item h="1" x="7308"/>
        <item h="1" x="7309"/>
        <item h="1" x="7310"/>
        <item h="1" x="7311"/>
        <item h="1" x="7312"/>
        <item h="1" x="7313"/>
        <item h="1" x="7314"/>
        <item h="1" x="7315"/>
        <item h="1" x="7316"/>
        <item h="1" x="7317"/>
        <item h="1" x="7318"/>
        <item h="1" x="7319"/>
        <item h="1" x="7320"/>
        <item h="1" x="7321"/>
        <item h="1" x="7322"/>
        <item h="1" x="7323"/>
        <item h="1" x="7324"/>
        <item h="1" x="7325"/>
        <item h="1" x="7326"/>
        <item h="1" x="7327"/>
        <item h="1" x="7328"/>
        <item h="1" x="7329"/>
        <item h="1" x="7330"/>
        <item h="1" x="7331"/>
        <item h="1" x="7332"/>
        <item h="1" x="7333"/>
        <item h="1" x="7334"/>
        <item h="1" x="7335"/>
        <item h="1" x="7336"/>
        <item h="1" x="7337"/>
        <item h="1" x="7338"/>
        <item h="1" x="7339"/>
        <item h="1" x="7340"/>
        <item h="1" x="7341"/>
        <item h="1" x="7342"/>
        <item h="1" x="7343"/>
        <item h="1" x="7344"/>
        <item h="1" x="7345"/>
        <item h="1" x="7346"/>
        <item h="1" x="7347"/>
        <item h="1" x="7348"/>
        <item h="1" x="7349"/>
        <item h="1" x="7350"/>
        <item h="1" x="7351"/>
        <item h="1" x="7352"/>
        <item h="1" x="7353"/>
        <item h="1" x="7354"/>
        <item h="1" x="7355"/>
        <item h="1" x="7356"/>
        <item h="1" x="7357"/>
        <item h="1" x="7358"/>
        <item h="1" x="7359"/>
        <item h="1" x="7360"/>
        <item h="1" x="7361"/>
        <item h="1" x="7362"/>
        <item h="1" x="7363"/>
        <item h="1" x="7364"/>
        <item h="1" x="7365"/>
        <item h="1" x="7366"/>
        <item h="1" x="7367"/>
        <item h="1" x="7368"/>
        <item h="1" x="7369"/>
        <item h="1" x="7370"/>
        <item h="1" x="7371"/>
        <item h="1" x="7372"/>
        <item h="1" x="7373"/>
        <item h="1" x="7374"/>
        <item h="1" x="7375"/>
        <item h="1" x="7376"/>
        <item h="1" x="7377"/>
        <item h="1" x="7378"/>
        <item h="1" x="7379"/>
        <item h="1" x="7380"/>
        <item h="1" x="7381"/>
        <item h="1" x="7382"/>
        <item h="1" x="7383"/>
        <item h="1" x="7384"/>
        <item h="1" x="7385"/>
        <item h="1" x="7386"/>
        <item h="1" x="7387"/>
        <item h="1" x="7388"/>
        <item h="1" x="7389"/>
        <item h="1" x="7390"/>
        <item h="1" x="7391"/>
        <item h="1" x="7392"/>
        <item h="1" x="7393"/>
        <item h="1" x="7394"/>
        <item h="1" x="7395"/>
        <item h="1" x="7396"/>
        <item h="1" x="7397"/>
        <item h="1" x="7398"/>
        <item h="1" x="7399"/>
        <item h="1" x="7400"/>
        <item h="1" x="7401"/>
        <item h="1" x="7402"/>
        <item h="1" x="7403"/>
        <item h="1" x="7404"/>
        <item h="1" x="7405"/>
        <item h="1" x="7406"/>
        <item h="1" x="7407"/>
        <item h="1" x="7408"/>
        <item h="1" x="7409"/>
        <item h="1" x="7410"/>
        <item h="1" x="7411"/>
        <item h="1" x="7412"/>
        <item h="1" x="7413"/>
        <item h="1" x="7414"/>
        <item h="1" x="7415"/>
        <item h="1" x="7416"/>
        <item h="1" x="7417"/>
        <item h="1" x="7418"/>
        <item h="1" x="7419"/>
        <item h="1" x="7420"/>
        <item h="1" x="7421"/>
        <item h="1" x="7422"/>
        <item h="1" x="7423"/>
        <item h="1" x="7424"/>
        <item h="1" x="7425"/>
        <item h="1" x="7426"/>
        <item h="1" x="7427"/>
        <item h="1" x="7428"/>
        <item h="1" x="7429"/>
        <item h="1" x="7430"/>
        <item h="1" x="7431"/>
        <item h="1" x="7432"/>
        <item h="1" x="7433"/>
        <item h="1" x="7434"/>
        <item h="1" x="7435"/>
        <item h="1" x="7436"/>
        <item h="1" x="7437"/>
        <item h="1" x="7438"/>
        <item h="1" x="7439"/>
        <item h="1" x="7440"/>
        <item h="1" x="7441"/>
        <item h="1" x="7442"/>
        <item h="1" x="7443"/>
        <item h="1" x="7444"/>
        <item h="1" x="7445"/>
        <item h="1" x="7446"/>
        <item h="1" x="7447"/>
        <item h="1" x="7448"/>
        <item h="1" x="7449"/>
        <item h="1" x="7450"/>
        <item h="1" x="7451"/>
        <item h="1" x="7452"/>
        <item h="1" x="7453"/>
        <item h="1" x="7454"/>
        <item h="1" x="7455"/>
        <item h="1" x="7456"/>
        <item h="1" x="7457"/>
        <item h="1" x="7458"/>
        <item h="1" x="7459"/>
        <item h="1" x="7460"/>
        <item h="1" x="7461"/>
        <item h="1" x="7462"/>
        <item h="1" x="7463"/>
        <item h="1" x="7464"/>
        <item h="1" x="7465"/>
        <item h="1" x="7466"/>
        <item h="1" x="7467"/>
        <item h="1" x="7468"/>
        <item h="1" x="7469"/>
        <item h="1" x="7470"/>
        <item h="1" x="7471"/>
        <item h="1" x="7472"/>
        <item h="1" x="7473"/>
        <item h="1" x="7474"/>
        <item h="1" x="7475"/>
        <item h="1" x="7476"/>
        <item h="1" x="7477"/>
        <item h="1" x="7478"/>
        <item h="1" x="7479"/>
        <item h="1" x="7480"/>
        <item h="1" x="7481"/>
        <item h="1" x="7482"/>
        <item h="1" x="7483"/>
        <item h="1" x="7484"/>
        <item h="1" x="7485"/>
        <item h="1" x="7486"/>
        <item h="1" x="7487"/>
        <item h="1" x="7488"/>
        <item h="1" x="7489"/>
        <item h="1" x="7490"/>
        <item h="1" x="7491"/>
        <item h="1" x="7492"/>
        <item h="1" x="7493"/>
        <item h="1" x="7494"/>
        <item h="1" x="7495"/>
        <item h="1" x="7496"/>
        <item h="1" x="7497"/>
        <item h="1" x="7498"/>
        <item h="1" x="7499"/>
        <item h="1" x="7500"/>
        <item h="1" x="7501"/>
        <item h="1" x="7502"/>
        <item h="1" x="7503"/>
        <item h="1" x="7504"/>
        <item h="1" x="7505"/>
        <item h="1" x="7506"/>
        <item h="1" x="7507"/>
        <item h="1" x="7508"/>
        <item h="1" x="7509"/>
        <item h="1" x="7510"/>
        <item h="1" x="7511"/>
        <item h="1" x="7512"/>
        <item h="1" x="7513"/>
        <item h="1" x="7514"/>
        <item h="1" x="7515"/>
        <item h="1" x="7516"/>
        <item h="1" x="7517"/>
        <item h="1" x="7518"/>
        <item h="1" x="7519"/>
        <item h="1" x="7520"/>
        <item h="1" x="7521"/>
        <item h="1" x="7522"/>
        <item h="1" x="7523"/>
        <item h="1" x="7524"/>
        <item h="1" x="7525"/>
        <item h="1" x="7526"/>
        <item h="1" x="7527"/>
        <item h="1" x="7528"/>
        <item h="1" x="7529"/>
        <item h="1" x="7530"/>
        <item h="1" x="7531"/>
        <item h="1" x="7532"/>
        <item h="1" x="7533"/>
        <item h="1" x="7534"/>
        <item h="1" x="7535"/>
        <item h="1" x="7536"/>
        <item h="1" x="7537"/>
        <item h="1" x="7538"/>
        <item h="1" x="7539"/>
        <item h="1" x="7540"/>
        <item h="1" x="7541"/>
        <item h="1" x="7542"/>
        <item h="1" x="7543"/>
        <item h="1" x="7544"/>
        <item h="1" x="7545"/>
        <item h="1" x="7546"/>
        <item h="1" x="7547"/>
        <item h="1" x="7548"/>
        <item h="1" x="7549"/>
        <item h="1" x="7550"/>
        <item h="1" x="7551"/>
        <item h="1" x="7552"/>
        <item h="1" x="7553"/>
        <item h="1" x="7554"/>
        <item h="1" x="7555"/>
        <item h="1" x="7556"/>
        <item h="1" x="7557"/>
        <item h="1" x="7558"/>
        <item h="1" x="7559"/>
        <item h="1" x="7560"/>
        <item h="1" x="7561"/>
        <item h="1" x="7562"/>
        <item h="1" x="7563"/>
        <item h="1" x="7564"/>
        <item h="1" x="7565"/>
        <item h="1" x="7566"/>
        <item h="1" x="7567"/>
        <item h="1" x="7568"/>
        <item h="1" x="7569"/>
        <item h="1" x="7570"/>
        <item h="1" x="7571"/>
        <item h="1" x="7572"/>
        <item h="1" x="7573"/>
        <item h="1" x="7574"/>
        <item h="1" x="7575"/>
        <item h="1" x="7576"/>
        <item h="1" x="7577"/>
        <item h="1" x="7578"/>
        <item h="1" x="7579"/>
        <item h="1" x="7580"/>
        <item h="1" x="7581"/>
        <item h="1" x="7582"/>
        <item h="1" x="7583"/>
        <item h="1" x="7584"/>
        <item h="1" x="7585"/>
        <item h="1" x="7586"/>
        <item h="1" x="7587"/>
        <item h="1" x="7588"/>
        <item h="1" x="7589"/>
        <item h="1" x="7590"/>
        <item h="1" x="7591"/>
        <item h="1" x="7592"/>
        <item h="1" x="7593"/>
        <item h="1" x="7594"/>
        <item h="1" x="7595"/>
        <item h="1" x="7596"/>
        <item h="1" x="7597"/>
        <item h="1" x="7598"/>
        <item h="1" x="7599"/>
        <item h="1" x="7600"/>
        <item h="1" x="7601"/>
        <item h="1" x="7602"/>
        <item h="1" x="7603"/>
        <item h="1" x="7604"/>
        <item h="1" x="7605"/>
        <item h="1" x="7606"/>
        <item h="1" x="7607"/>
        <item h="1" x="7608"/>
        <item h="1" x="7609"/>
        <item h="1" x="7610"/>
        <item h="1" x="7611"/>
        <item h="1" x="7612"/>
        <item h="1" x="7613"/>
        <item h="1" x="7614"/>
        <item h="1" x="7615"/>
        <item h="1" x="7616"/>
        <item h="1" x="7617"/>
        <item h="1" x="7618"/>
        <item h="1" x="7619"/>
        <item h="1" x="7620"/>
        <item h="1" x="7621"/>
        <item h="1" x="7622"/>
        <item h="1" x="7623"/>
        <item h="1" x="7624"/>
        <item h="1" x="7625"/>
        <item h="1" x="7626"/>
        <item h="1" x="7627"/>
        <item h="1" x="7628"/>
        <item h="1" x="7629"/>
        <item h="1" x="7630"/>
        <item h="1" x="7631"/>
        <item h="1" x="7632"/>
        <item h="1" x="7633"/>
        <item h="1" x="7634"/>
        <item h="1" x="7635"/>
        <item h="1" x="7636"/>
        <item h="1" x="7637"/>
        <item h="1" x="7638"/>
        <item h="1" x="7639"/>
        <item h="1" x="7640"/>
        <item h="1" x="7641"/>
        <item h="1" x="7642"/>
        <item h="1" x="7643"/>
        <item h="1" x="7644"/>
        <item h="1" x="7645"/>
        <item h="1" x="7646"/>
        <item h="1" x="7647"/>
        <item h="1" x="7648"/>
        <item h="1" x="7649"/>
        <item h="1" x="7650"/>
        <item h="1" x="7651"/>
        <item h="1" x="7652"/>
        <item h="1" x="7653"/>
        <item h="1" x="7654"/>
        <item h="1" x="7655"/>
        <item h="1" x="7656"/>
        <item h="1" x="7657"/>
        <item h="1" x="7658"/>
        <item h="1" x="7659"/>
        <item h="1" x="7660"/>
        <item h="1" x="7661"/>
        <item h="1" x="7662"/>
        <item h="1" x="7663"/>
        <item h="1" x="7664"/>
        <item h="1" x="7665"/>
        <item h="1" x="7666"/>
        <item h="1" x="7667"/>
        <item h="1" x="7668"/>
        <item h="1" x="7669"/>
        <item h="1" x="7670"/>
        <item h="1" x="7671"/>
        <item h="1" x="7672"/>
        <item h="1" x="7673"/>
        <item h="1" x="7674"/>
        <item h="1" x="7675"/>
        <item h="1" x="7676"/>
        <item h="1" x="7677"/>
        <item h="1" x="7678"/>
        <item h="1" x="7679"/>
        <item h="1" x="7680"/>
        <item h="1" x="7681"/>
        <item h="1" x="7682"/>
        <item h="1" x="7683"/>
        <item h="1" x="7684"/>
        <item h="1" x="7685"/>
        <item h="1" x="7686"/>
        <item h="1" x="7687"/>
        <item h="1" x="7688"/>
        <item h="1" x="7689"/>
        <item h="1" x="7690"/>
        <item h="1" x="7691"/>
        <item h="1" x="7692"/>
        <item h="1" x="7693"/>
        <item h="1" x="7694"/>
        <item h="1" x="7695"/>
        <item h="1" x="7696"/>
        <item h="1" x="7697"/>
        <item h="1" x="7698"/>
        <item h="1" x="7699"/>
        <item h="1" x="7700"/>
        <item h="1" x="7701"/>
        <item h="1" x="7702"/>
        <item h="1" x="7703"/>
        <item h="1" x="7704"/>
        <item h="1" x="7705"/>
        <item h="1" x="7706"/>
        <item h="1" x="7707"/>
        <item h="1" x="7708"/>
        <item h="1" x="7709"/>
        <item h="1" x="7710"/>
        <item h="1" x="7711"/>
        <item h="1" x="7712"/>
        <item h="1" x="7713"/>
        <item h="1" x="7714"/>
        <item h="1" x="7715"/>
        <item h="1" x="7716"/>
        <item h="1" x="7717"/>
        <item h="1" x="7718"/>
        <item h="1" x="7719"/>
        <item h="1" x="7720"/>
        <item h="1" x="7721"/>
        <item h="1" x="7722"/>
        <item h="1" x="7723"/>
        <item h="1" x="7724"/>
        <item h="1" x="7725"/>
        <item h="1" x="7726"/>
        <item h="1" x="7727"/>
        <item h="1" x="7728"/>
        <item h="1" x="7729"/>
        <item h="1" x="7730"/>
        <item h="1" x="7731"/>
        <item h="1" x="7732"/>
        <item h="1" x="7733"/>
        <item h="1" x="7734"/>
        <item h="1" x="7735"/>
        <item h="1" x="7736"/>
        <item h="1" x="7737"/>
        <item h="1" x="7738"/>
        <item h="1" x="7739"/>
        <item h="1" x="7740"/>
        <item h="1" x="7741"/>
        <item h="1" x="7742"/>
        <item h="1" x="7743"/>
        <item h="1" x="7744"/>
        <item h="1" x="7745"/>
        <item h="1" x="7746"/>
        <item h="1" x="7747"/>
        <item h="1" x="7748"/>
        <item h="1" x="7749"/>
        <item h="1" x="7750"/>
        <item h="1" x="7751"/>
        <item h="1" x="7752"/>
        <item h="1" x="7753"/>
        <item h="1" x="7754"/>
        <item h="1" x="7755"/>
        <item h="1" x="7756"/>
        <item h="1" x="7757"/>
        <item h="1" x="7758"/>
        <item h="1" x="7759"/>
        <item h="1" x="7760"/>
        <item h="1" x="7761"/>
        <item h="1" x="7762"/>
        <item h="1" x="7763"/>
        <item h="1" x="7764"/>
        <item h="1" x="7765"/>
        <item h="1" x="7766"/>
        <item h="1" x="7767"/>
        <item h="1" x="7768"/>
        <item h="1" x="7769"/>
        <item h="1" x="7770"/>
        <item h="1" x="7771"/>
        <item h="1" x="7772"/>
        <item h="1" x="7773"/>
        <item h="1" x="7774"/>
        <item h="1" x="7775"/>
        <item h="1" x="7776"/>
        <item h="1" x="7777"/>
        <item h="1" x="7778"/>
        <item h="1" x="7779"/>
        <item h="1" x="7780"/>
        <item h="1" x="7781"/>
        <item h="1" x="7782"/>
        <item h="1" x="7783"/>
        <item h="1" x="7784"/>
        <item h="1" x="7785"/>
        <item h="1" x="7786"/>
        <item h="1" x="7787"/>
        <item h="1" x="7788"/>
        <item h="1" x="7789"/>
        <item h="1" x="7790"/>
        <item h="1" x="7791"/>
        <item h="1" x="7792"/>
        <item h="1" x="7793"/>
        <item h="1" x="7794"/>
        <item h="1" x="7795"/>
        <item h="1" x="7796"/>
        <item h="1" x="7797"/>
        <item h="1" x="7798"/>
        <item h="1" x="7799"/>
        <item h="1" x="7800"/>
        <item h="1" x="7801"/>
        <item h="1" x="7802"/>
        <item h="1" x="7803"/>
        <item h="1" x="7804"/>
        <item h="1" x="7805"/>
        <item h="1" x="7806"/>
        <item h="1" x="7807"/>
        <item h="1" x="7808"/>
        <item h="1" x="7809"/>
        <item h="1" x="7810"/>
        <item h="1" x="7811"/>
        <item h="1" x="7812"/>
        <item h="1" x="7813"/>
        <item h="1" x="7814"/>
        <item h="1" x="7815"/>
        <item h="1" x="7816"/>
        <item h="1" x="7817"/>
        <item h="1" x="7818"/>
        <item h="1" x="7819"/>
        <item h="1" x="7820"/>
        <item h="1" x="7821"/>
        <item h="1" x="7822"/>
        <item h="1" x="7823"/>
        <item h="1" x="7824"/>
        <item h="1" x="7825"/>
        <item h="1" x="7826"/>
        <item h="1" x="7827"/>
        <item h="1" x="7828"/>
        <item h="1" x="7829"/>
        <item h="1" x="7830"/>
        <item h="1" x="7831"/>
        <item h="1" x="7832"/>
        <item h="1" x="7833"/>
        <item h="1" x="7834"/>
        <item h="1" x="7835"/>
        <item h="1" x="7836"/>
        <item h="1" x="7837"/>
        <item h="1" x="7838"/>
        <item h="1" x="7839"/>
        <item h="1" x="7840"/>
        <item h="1" x="7841"/>
        <item h="1" x="7842"/>
        <item h="1" x="7843"/>
        <item h="1" x="7844"/>
        <item h="1" x="7845"/>
        <item h="1" x="7846"/>
        <item h="1" x="7847"/>
        <item h="1" x="7848"/>
        <item h="1" x="7849"/>
        <item h="1" x="7850"/>
        <item h="1" x="7851"/>
        <item h="1" x="7852"/>
        <item h="1" x="7853"/>
        <item h="1" x="7854"/>
        <item h="1" x="7855"/>
        <item h="1" x="7856"/>
        <item h="1" x="7857"/>
        <item h="1" x="7858"/>
        <item h="1" x="7859"/>
        <item h="1" x="7860"/>
        <item h="1" x="7861"/>
        <item h="1" x="7862"/>
        <item h="1" x="7863"/>
        <item h="1" x="7864"/>
        <item h="1" x="7865"/>
        <item h="1" x="7866"/>
        <item h="1" x="7867"/>
        <item h="1" x="7868"/>
        <item h="1" x="7869"/>
        <item h="1" x="7870"/>
        <item h="1" x="7871"/>
        <item h="1" x="7872"/>
        <item h="1" x="7873"/>
        <item h="1" x="7874"/>
        <item h="1" x="7875"/>
        <item h="1" x="7876"/>
        <item h="1" x="7877"/>
        <item h="1" x="7878"/>
        <item h="1" x="7879"/>
        <item h="1" x="7880"/>
        <item h="1" x="7881"/>
        <item h="1" x="7882"/>
        <item h="1" x="7883"/>
        <item h="1" x="7884"/>
        <item h="1" x="7885"/>
        <item h="1" x="7886"/>
        <item h="1" x="7887"/>
        <item h="1" x="7888"/>
        <item h="1" x="7889"/>
        <item h="1" x="7890"/>
        <item h="1" x="7891"/>
        <item h="1" x="7892"/>
        <item h="1" x="7893"/>
        <item h="1" x="7894"/>
        <item h="1" x="7895"/>
        <item h="1" x="7896"/>
        <item h="1" x="7897"/>
        <item h="1" x="7898"/>
        <item h="1" x="7899"/>
        <item h="1" x="7900"/>
        <item h="1" x="7901"/>
        <item h="1" x="7902"/>
        <item h="1" x="7903"/>
        <item h="1" x="7904"/>
        <item h="1" x="7905"/>
        <item h="1" x="7906"/>
        <item h="1" x="7907"/>
        <item h="1" x="7908"/>
        <item h="1" x="7909"/>
        <item h="1" x="7910"/>
        <item h="1" x="7911"/>
        <item h="1" x="7912"/>
        <item h="1" x="7913"/>
        <item h="1" x="7914"/>
        <item h="1" x="7915"/>
        <item h="1" x="7916"/>
        <item h="1" x="7917"/>
        <item h="1" x="7918"/>
        <item h="1" x="7919"/>
        <item h="1" x="7920"/>
        <item h="1" x="7921"/>
        <item h="1" x="7922"/>
        <item h="1" x="7923"/>
        <item h="1" x="7924"/>
        <item h="1" x="7925"/>
        <item h="1" x="7926"/>
        <item h="1" x="7927"/>
        <item h="1" x="7928"/>
        <item h="1" x="7929"/>
        <item h="1" x="7930"/>
        <item h="1" x="7931"/>
        <item h="1" x="7932"/>
        <item h="1" x="7933"/>
        <item h="1" x="7934"/>
        <item h="1" x="7935"/>
        <item h="1" x="7936"/>
        <item h="1" x="7937"/>
        <item h="1" x="7938"/>
        <item h="1" x="7939"/>
        <item h="1" x="7940"/>
        <item h="1" x="7941"/>
        <item h="1" x="7942"/>
        <item h="1" x="7943"/>
        <item h="1" x="7944"/>
        <item h="1" x="7945"/>
        <item h="1" x="7946"/>
        <item h="1" x="7947"/>
        <item h="1" x="7948"/>
        <item h="1" x="7949"/>
        <item h="1" x="7950"/>
        <item h="1" x="7951"/>
        <item h="1" x="7952"/>
        <item h="1" x="7953"/>
        <item h="1" x="7954"/>
        <item h="1" x="7955"/>
        <item h="1" x="7956"/>
        <item h="1" x="7957"/>
        <item h="1" x="7958"/>
        <item h="1" x="7959"/>
        <item h="1" x="7960"/>
        <item h="1" x="7961"/>
        <item h="1" x="7962"/>
        <item h="1" x="7963"/>
        <item h="1" x="7964"/>
        <item h="1" x="7965"/>
        <item h="1" x="7966"/>
        <item h="1" x="7967"/>
        <item h="1" x="7968"/>
        <item h="1" x="7969"/>
        <item h="1" x="7970"/>
        <item h="1" x="7971"/>
        <item h="1" x="7972"/>
        <item h="1" x="7973"/>
        <item h="1" x="7974"/>
        <item h="1" x="7975"/>
        <item h="1" x="7976"/>
        <item h="1" x="7977"/>
        <item h="1" x="7978"/>
        <item h="1" x="7979"/>
        <item h="1" x="7980"/>
        <item h="1" x="7981"/>
        <item h="1" x="7982"/>
        <item h="1" x="7983"/>
        <item h="1" x="7984"/>
        <item h="1" x="7985"/>
        <item h="1" x="7986"/>
        <item h="1" x="7987"/>
        <item h="1" x="7988"/>
        <item h="1" x="7989"/>
        <item h="1" x="7990"/>
        <item h="1" x="7991"/>
        <item h="1" x="7992"/>
        <item h="1" x="7993"/>
        <item h="1" x="7994"/>
        <item h="1" x="7995"/>
        <item h="1" x="7996"/>
        <item h="1" x="7997"/>
        <item h="1" x="7998"/>
        <item h="1" x="7999"/>
        <item h="1" x="8000"/>
        <item h="1" x="8001"/>
        <item h="1" x="8002"/>
        <item h="1" x="8003"/>
        <item h="1" x="8004"/>
        <item h="1" x="8005"/>
        <item h="1" x="8006"/>
        <item h="1" x="8007"/>
        <item h="1" x="8008"/>
        <item h="1" x="8009"/>
        <item h="1" x="8010"/>
        <item h="1" x="8011"/>
        <item h="1" x="8012"/>
        <item h="1" x="8013"/>
        <item h="1" x="8014"/>
        <item h="1" x="8015"/>
        <item h="1" x="8016"/>
        <item h="1" x="8017"/>
        <item h="1" x="8018"/>
        <item h="1" x="8019"/>
        <item h="1" x="8020"/>
        <item h="1" x="8021"/>
        <item h="1" x="8022"/>
        <item h="1" x="8023"/>
        <item h="1" x="8024"/>
        <item h="1" x="8025"/>
        <item h="1" x="8026"/>
        <item h="1" x="8027"/>
        <item h="1" x="8028"/>
        <item h="1" x="8029"/>
        <item h="1" x="8030"/>
        <item h="1" x="8031"/>
        <item h="1" x="8032"/>
        <item h="1" x="8033"/>
        <item h="1" x="8034"/>
        <item h="1" x="8035"/>
        <item h="1" x="8036"/>
        <item h="1" x="8037"/>
        <item h="1" x="8038"/>
        <item h="1" x="8039"/>
        <item h="1" x="8040"/>
        <item h="1" x="8041"/>
        <item h="1" x="8042"/>
        <item h="1" x="8043"/>
        <item h="1" x="8044"/>
        <item h="1" x="8045"/>
        <item h="1" x="8046"/>
        <item h="1" x="8047"/>
        <item h="1" x="8048"/>
        <item h="1" x="8049"/>
        <item h="1" x="8050"/>
        <item h="1" x="8051"/>
        <item h="1" x="8052"/>
        <item h="1" x="8053"/>
        <item h="1" x="8054"/>
        <item h="1" x="8055"/>
        <item h="1" x="8056"/>
        <item h="1" x="8057"/>
        <item h="1" x="8058"/>
        <item h="1" x="8059"/>
        <item h="1" x="8060"/>
        <item h="1" x="8061"/>
        <item h="1" x="8062"/>
        <item h="1" x="8063"/>
        <item h="1" x="8064"/>
        <item h="1" x="8065"/>
        <item h="1" x="8066"/>
        <item h="1" x="8067"/>
        <item h="1" x="8068"/>
        <item h="1" x="8069"/>
        <item h="1" x="8070"/>
        <item h="1" x="8071"/>
        <item h="1" x="8072"/>
        <item h="1" x="8073"/>
        <item h="1" x="8074"/>
        <item h="1" x="8075"/>
        <item h="1" x="8076"/>
        <item h="1" x="8077"/>
        <item h="1" x="8078"/>
        <item h="1" x="8079"/>
        <item h="1" x="8080"/>
        <item h="1" x="8081"/>
        <item h="1" x="8082"/>
        <item h="1" x="8083"/>
        <item h="1" x="8084"/>
        <item h="1" x="8085"/>
        <item h="1" x="8086"/>
        <item h="1" x="8087"/>
        <item h="1" x="8088"/>
        <item h="1" x="8089"/>
        <item h="1" x="8090"/>
        <item h="1" x="8091"/>
        <item h="1" x="8092"/>
        <item h="1" x="8093"/>
        <item h="1" x="8094"/>
        <item h="1" x="8095"/>
        <item h="1" x="8096"/>
        <item h="1" x="8097"/>
        <item h="1" x="8098"/>
        <item h="1" x="8099"/>
        <item h="1" x="8100"/>
        <item h="1" x="8101"/>
        <item h="1" x="8102"/>
        <item h="1" x="8103"/>
        <item h="1" x="8104"/>
        <item h="1" x="8105"/>
        <item h="1" x="8106"/>
        <item h="1" x="8107"/>
        <item h="1" x="8108"/>
        <item h="1" x="8109"/>
        <item h="1" x="8110"/>
        <item h="1" x="8111"/>
        <item h="1" x="8112"/>
        <item h="1" x="8113"/>
        <item h="1" x="8114"/>
        <item h="1" x="8115"/>
        <item h="1" x="8116"/>
        <item h="1" x="8117"/>
        <item h="1" x="8118"/>
        <item h="1" x="8119"/>
        <item h="1" x="8120"/>
        <item h="1" x="8121"/>
        <item h="1" x="8122"/>
        <item h="1" x="8123"/>
        <item h="1" x="8124"/>
        <item h="1" x="8125"/>
        <item h="1" x="8126"/>
        <item h="1" x="8127"/>
        <item h="1" x="8128"/>
        <item h="1" x="8129"/>
        <item h="1" x="8130"/>
        <item h="1" x="8131"/>
        <item h="1" x="8132"/>
        <item h="1" x="8133"/>
        <item h="1" x="8134"/>
        <item h="1" x="8135"/>
        <item h="1" x="8136"/>
        <item h="1" x="8137"/>
        <item h="1" x="8138"/>
        <item h="1" x="8139"/>
        <item h="1" x="8140"/>
        <item h="1" x="8141"/>
        <item h="1" x="8142"/>
        <item h="1" x="8143"/>
        <item h="1" x="8144"/>
        <item h="1" x="8145"/>
        <item h="1" x="8146"/>
        <item h="1" x="8147"/>
        <item h="1" x="8148"/>
        <item h="1" x="8149"/>
        <item h="1" x="8150"/>
        <item h="1" x="8151"/>
        <item h="1" x="8152"/>
        <item h="1" x="8153"/>
        <item h="1" x="8154"/>
        <item h="1" x="8155"/>
        <item h="1" x="8156"/>
        <item h="1" x="8157"/>
        <item h="1" x="8158"/>
        <item h="1" x="8159"/>
        <item h="1" x="8160"/>
        <item h="1" x="8161"/>
        <item h="1" x="8162"/>
        <item h="1" x="8163"/>
        <item h="1" x="8164"/>
        <item h="1" x="8165"/>
        <item h="1" x="8166"/>
        <item h="1" x="8167"/>
        <item h="1" x="8168"/>
        <item h="1" x="8169"/>
        <item h="1" x="8170"/>
        <item h="1" x="8171"/>
        <item h="1" x="8172"/>
        <item h="1" x="8173"/>
        <item h="1" x="8174"/>
        <item h="1" x="8175"/>
        <item h="1" x="8176"/>
        <item h="1" x="8177"/>
        <item h="1" x="8178"/>
        <item h="1" x="8179"/>
        <item h="1" x="8180"/>
        <item h="1" x="8181"/>
        <item h="1" x="8182"/>
        <item h="1" x="8183"/>
        <item h="1" x="8184"/>
        <item h="1" x="8185"/>
        <item h="1" x="8186"/>
        <item h="1" x="8187"/>
        <item h="1" x="8188"/>
        <item h="1" x="8189"/>
        <item h="1" x="8190"/>
        <item h="1" x="8191"/>
        <item h="1" x="8192"/>
        <item h="1" x="8193"/>
        <item h="1" x="8194"/>
        <item h="1" x="8195"/>
        <item h="1" x="8196"/>
        <item h="1" x="8197"/>
        <item h="1" x="8198"/>
        <item h="1" x="8199"/>
        <item h="1" x="8200"/>
        <item h="1" x="8201"/>
        <item h="1" x="8202"/>
        <item h="1" x="8203"/>
        <item h="1" x="8204"/>
        <item h="1" x="8205"/>
        <item h="1" x="8206"/>
        <item h="1" x="8207"/>
        <item h="1" x="8208"/>
        <item h="1" x="8209"/>
        <item h="1" x="8210"/>
        <item h="1" x="8211"/>
        <item h="1" x="8212"/>
        <item h="1" x="8213"/>
        <item h="1" x="8214"/>
        <item h="1" x="8215"/>
        <item h="1" x="8216"/>
        <item h="1" x="8217"/>
        <item h="1" x="8218"/>
        <item h="1" x="8219"/>
        <item h="1" x="8220"/>
        <item h="1" x="8221"/>
        <item h="1" x="8222"/>
        <item h="1" x="8223"/>
        <item h="1" x="8224"/>
        <item h="1" x="8225"/>
        <item h="1" x="8226"/>
        <item h="1" x="8227"/>
        <item h="1" x="8228"/>
        <item h="1" x="8229"/>
        <item h="1" x="8230"/>
        <item h="1" x="8231"/>
        <item h="1" x="8232"/>
        <item h="1" x="8233"/>
        <item h="1" x="8234"/>
        <item h="1" x="8235"/>
        <item h="1" x="8236"/>
        <item h="1" x="8237"/>
        <item h="1" x="8238"/>
        <item h="1" x="8239"/>
        <item h="1" x="8240"/>
        <item h="1" x="8241"/>
        <item h="1" x="8242"/>
        <item h="1" x="8243"/>
        <item h="1" x="8244"/>
        <item h="1" x="8245"/>
        <item h="1" x="8246"/>
        <item h="1" x="8247"/>
        <item h="1" x="8248"/>
        <item h="1" x="8249"/>
        <item h="1" x="8250"/>
        <item h="1" x="8251"/>
        <item h="1" x="8252"/>
        <item h="1" x="8253"/>
        <item h="1" x="8254"/>
        <item h="1" x="8255"/>
        <item h="1" x="8256"/>
        <item h="1" x="8257"/>
        <item h="1" x="8258"/>
        <item h="1" x="8259"/>
        <item h="1" x="8260"/>
        <item h="1" x="8261"/>
        <item h="1" x="8262"/>
        <item h="1" x="8263"/>
        <item h="1" x="8264"/>
        <item h="1" x="8265"/>
        <item h="1" x="8266"/>
        <item h="1" x="8267"/>
        <item h="1" x="8268"/>
        <item h="1" x="8269"/>
        <item h="1" x="8270"/>
        <item h="1" x="8271"/>
        <item h="1" x="8272"/>
        <item h="1" x="8273"/>
        <item h="1" x="8274"/>
        <item h="1" x="8275"/>
        <item h="1" x="8276"/>
        <item h="1" x="8277"/>
        <item h="1" x="8278"/>
        <item h="1" x="8279"/>
        <item h="1" x="8280"/>
        <item h="1" x="8281"/>
        <item h="1" x="8282"/>
        <item h="1" x="8283"/>
        <item h="1" x="8284"/>
        <item h="1" x="8285"/>
        <item h="1" x="8286"/>
        <item h="1" x="8287"/>
        <item h="1" x="8288"/>
        <item h="1" x="8289"/>
        <item h="1" x="8290"/>
        <item h="1" x="8291"/>
        <item h="1" x="8292"/>
        <item h="1" x="8293"/>
        <item h="1" x="8294"/>
        <item h="1" x="8295"/>
        <item h="1" x="8296"/>
        <item h="1" x="8297"/>
        <item h="1" x="8298"/>
        <item h="1" x="8299"/>
        <item h="1" x="8300"/>
        <item h="1" x="8301"/>
        <item h="1" x="8302"/>
        <item h="1" x="8303"/>
        <item h="1" x="8304"/>
        <item h="1" x="8305"/>
        <item h="1" x="8306"/>
        <item h="1" x="8307"/>
        <item h="1" x="8308"/>
        <item h="1" x="8309"/>
        <item h="1" x="8310"/>
        <item h="1" x="8311"/>
        <item h="1" x="8312"/>
        <item h="1" x="8313"/>
        <item h="1" x="8314"/>
        <item h="1" x="8315"/>
        <item h="1" x="8316"/>
        <item h="1" x="8317"/>
        <item h="1" x="8318"/>
        <item h="1" x="8319"/>
        <item h="1" x="8320"/>
        <item h="1" x="8321"/>
        <item h="1" x="8322"/>
        <item h="1" x="8323"/>
        <item h="1" x="8324"/>
        <item h="1" x="8325"/>
        <item h="1" x="8326"/>
        <item h="1" x="8327"/>
        <item h="1" x="8328"/>
        <item h="1" x="8329"/>
        <item h="1" x="8330"/>
        <item h="1" x="8331"/>
        <item h="1" x="8332"/>
        <item h="1" x="8333"/>
        <item h="1" x="8334"/>
        <item h="1" x="8335"/>
        <item h="1" x="8336"/>
        <item h="1" x="8337"/>
        <item h="1" x="8338"/>
        <item h="1" x="8339"/>
        <item h="1" x="8340"/>
        <item h="1" x="8341"/>
        <item h="1" x="8342"/>
        <item h="1" x="8343"/>
        <item h="1" x="8344"/>
        <item h="1" x="8345"/>
        <item h="1" x="8346"/>
        <item h="1" x="8347"/>
        <item h="1" x="8348"/>
        <item h="1" x="8349"/>
        <item h="1" x="8350"/>
        <item h="1" x="8351"/>
        <item h="1" x="8352"/>
        <item h="1" x="8353"/>
        <item h="1" x="8354"/>
        <item h="1" x="8355"/>
        <item h="1" x="8356"/>
        <item h="1" x="8357"/>
        <item h="1" x="8358"/>
        <item h="1" x="8359"/>
        <item h="1" x="8360"/>
        <item h="1" x="8361"/>
        <item h="1" x="8362"/>
        <item h="1" x="8363"/>
        <item h="1" x="8364"/>
        <item h="1" x="8365"/>
        <item h="1" x="8366"/>
        <item h="1" x="8367"/>
        <item h="1" x="8368"/>
        <item h="1" x="8369"/>
        <item h="1" x="8370"/>
        <item h="1" x="8371"/>
        <item h="1" x="8372"/>
        <item h="1" x="8373"/>
        <item h="1" x="8374"/>
        <item h="1" x="8375"/>
        <item h="1" x="8376"/>
        <item h="1" x="8377"/>
        <item h="1" x="8378"/>
        <item h="1" x="8379"/>
        <item h="1" x="8380"/>
        <item h="1" x="8381"/>
        <item h="1" x="8382"/>
        <item h="1" x="8383"/>
        <item h="1" x="8384"/>
        <item h="1" x="8385"/>
        <item h="1" x="8386"/>
        <item h="1" x="8387"/>
        <item h="1" x="8388"/>
        <item h="1" x="8389"/>
        <item h="1" x="8390"/>
        <item h="1" x="8391"/>
        <item h="1" x="8392"/>
        <item h="1" x="8393"/>
        <item h="1" x="8394"/>
        <item h="1" x="8395"/>
        <item h="1" x="8396"/>
        <item h="1" x="8397"/>
        <item h="1" x="8398"/>
        <item h="1" x="8399"/>
        <item h="1" x="8400"/>
        <item h="1" x="8401"/>
        <item h="1" x="8402"/>
        <item h="1" x="8403"/>
        <item h="1" x="8404"/>
        <item h="1" x="8405"/>
        <item h="1" x="8406"/>
        <item h="1" x="8407"/>
        <item h="1" x="8408"/>
        <item h="1" x="8409"/>
        <item h="1" x="8410"/>
        <item h="1" x="8411"/>
        <item h="1" x="8412"/>
        <item h="1" x="8413"/>
        <item h="1" x="8414"/>
        <item h="1" x="8415"/>
        <item h="1" x="8416"/>
        <item h="1" x="8417"/>
        <item h="1" x="8418"/>
        <item h="1" x="8419"/>
        <item h="1" x="8420"/>
        <item h="1" x="8421"/>
        <item h="1" x="8422"/>
        <item h="1" x="8423"/>
        <item h="1" x="8424"/>
        <item h="1" x="8425"/>
        <item h="1" x="8426"/>
        <item h="1" x="8427"/>
        <item h="1" x="8428"/>
        <item h="1" x="8429"/>
        <item h="1" x="8430"/>
        <item h="1" x="8431"/>
        <item h="1" x="8432"/>
        <item h="1" x="8433"/>
        <item h="1" x="8434"/>
        <item h="1" x="8435"/>
        <item h="1" x="8436"/>
        <item h="1" x="8437"/>
        <item h="1" x="8438"/>
        <item h="1" x="8439"/>
        <item h="1" x="8440"/>
        <item h="1" x="8441"/>
        <item h="1" x="8442"/>
        <item h="1" x="8443"/>
        <item h="1" x="8444"/>
        <item h="1" x="8445"/>
        <item h="1" x="8446"/>
        <item h="1" x="8447"/>
        <item h="1" x="8448"/>
        <item h="1" x="8449"/>
        <item h="1" x="8450"/>
        <item h="1" x="8451"/>
        <item h="1" x="8452"/>
        <item h="1" x="8453"/>
        <item h="1" x="8454"/>
        <item h="1" x="8455"/>
        <item h="1" x="8456"/>
        <item h="1" x="8457"/>
        <item h="1" x="8458"/>
        <item h="1" x="8459"/>
        <item h="1" x="8460"/>
        <item h="1" x="8461"/>
        <item h="1" x="8462"/>
        <item h="1" x="8463"/>
        <item h="1" x="8464"/>
        <item h="1" x="8465"/>
        <item h="1" x="8466"/>
        <item h="1" x="8467"/>
        <item h="1" x="8468"/>
        <item h="1" x="8469"/>
        <item h="1" x="8470"/>
        <item h="1" x="8471"/>
        <item h="1" x="8472"/>
        <item h="1" x="8473"/>
        <item h="1" x="8474"/>
        <item h="1" x="8475"/>
        <item h="1" x="8476"/>
        <item h="1" x="8477"/>
        <item h="1" x="8478"/>
        <item h="1" x="8479"/>
        <item h="1" x="8480"/>
        <item h="1" x="8481"/>
        <item h="1" x="8482"/>
        <item h="1" x="8483"/>
        <item h="1" x="8484"/>
        <item h="1" x="8485"/>
        <item h="1" x="8486"/>
        <item h="1" x="8487"/>
        <item h="1" x="8488"/>
        <item h="1" x="8489"/>
        <item h="1" x="8490"/>
        <item h="1" x="8491"/>
        <item h="1" x="8492"/>
        <item h="1" x="8493"/>
        <item h="1" x="8494"/>
        <item h="1" x="8495"/>
        <item h="1" x="8496"/>
        <item h="1" x="8497"/>
        <item h="1" x="8498"/>
        <item h="1" x="8499"/>
        <item h="1" x="8500"/>
        <item h="1" x="8501"/>
        <item h="1" x="8502"/>
        <item h="1" x="8503"/>
        <item h="1" x="8504"/>
        <item h="1" x="8505"/>
        <item h="1" x="8506"/>
        <item h="1" x="8507"/>
        <item h="1" x="8508"/>
        <item h="1" x="8509"/>
        <item h="1" x="8510"/>
        <item h="1" x="8511"/>
        <item h="1" x="8512"/>
        <item h="1" x="8513"/>
        <item h="1" x="8514"/>
        <item h="1" x="8515"/>
        <item h="1" x="8516"/>
        <item h="1" x="8517"/>
        <item h="1" x="8518"/>
        <item h="1" x="8519"/>
        <item h="1" x="8520"/>
        <item h="1" x="8521"/>
        <item h="1" x="8522"/>
        <item h="1" x="8523"/>
        <item h="1" x="8524"/>
        <item h="1" x="8525"/>
        <item h="1" x="8526"/>
        <item h="1" x="8527"/>
        <item h="1" x="8528"/>
        <item h="1" x="8529"/>
        <item h="1" x="8530"/>
        <item h="1" x="8531"/>
        <item h="1" x="8532"/>
        <item h="1" x="8533"/>
        <item h="1" x="8534"/>
        <item h="1" x="8535"/>
        <item h="1" x="8536"/>
        <item h="1" x="8537"/>
        <item h="1" x="8538"/>
        <item h="1" x="8539"/>
        <item h="1" x="8540"/>
        <item h="1" x="8541"/>
        <item h="1" x="8542"/>
        <item h="1" x="8543"/>
        <item h="1" x="8544"/>
        <item h="1" x="8545"/>
        <item h="1" x="8546"/>
        <item h="1" x="8547"/>
        <item h="1" x="8548"/>
        <item h="1" x="8549"/>
        <item h="1" x="8550"/>
        <item h="1" x="8551"/>
        <item h="1" x="8552"/>
        <item h="1" x="8553"/>
        <item h="1" x="8554"/>
        <item h="1" x="8555"/>
        <item h="1" x="8556"/>
        <item h="1" x="8557"/>
        <item h="1" x="8558"/>
        <item h="1" x="8559"/>
        <item h="1" x="8560"/>
        <item h="1" x="8561"/>
        <item h="1" x="8562"/>
        <item h="1" x="8563"/>
        <item h="1" x="8564"/>
        <item h="1" x="8565"/>
        <item h="1" x="8566"/>
        <item h="1" x="8567"/>
        <item h="1" x="8568"/>
        <item h="1" x="8569"/>
        <item h="1" x="8570"/>
        <item h="1" x="8571"/>
        <item h="1" x="8572"/>
        <item h="1" x="8573"/>
        <item h="1" x="8574"/>
        <item h="1" x="8575"/>
        <item h="1" x="8576"/>
        <item h="1" x="8577"/>
        <item h="1" x="8578"/>
        <item h="1" x="8579"/>
        <item h="1" x="8580"/>
        <item h="1" x="8581"/>
        <item h="1" x="8582"/>
        <item h="1" x="8583"/>
        <item h="1" x="8584"/>
        <item h="1" x="8585"/>
        <item h="1" x="8586"/>
        <item h="1" x="8587"/>
        <item h="1" x="8588"/>
        <item h="1" x="8589"/>
        <item h="1" x="8590"/>
        <item h="1" x="8591"/>
        <item h="1" x="8592"/>
        <item h="1" x="8593"/>
        <item h="1" x="8594"/>
        <item h="1" x="8595"/>
        <item h="1" x="8596"/>
        <item h="1" x="8597"/>
        <item h="1" x="8598"/>
        <item h="1" x="8599"/>
        <item h="1" x="8600"/>
        <item h="1" x="8601"/>
        <item h="1" x="8602"/>
        <item h="1" x="8603"/>
        <item h="1" x="8604"/>
        <item h="1" x="8605"/>
        <item h="1" x="8606"/>
        <item h="1" x="8607"/>
        <item h="1" x="8608"/>
        <item h="1" x="8609"/>
        <item h="1" x="8610"/>
        <item h="1" x="8611"/>
        <item h="1" x="8612"/>
        <item h="1" x="8613"/>
        <item h="1" x="8614"/>
        <item h="1" x="8615"/>
        <item h="1" x="8616"/>
        <item h="1" x="8617"/>
        <item h="1" x="8618"/>
        <item h="1" x="8619"/>
        <item h="1" x="8620"/>
        <item h="1" x="8621"/>
        <item h="1" x="8622"/>
        <item h="1" x="8623"/>
        <item h="1" x="8624"/>
        <item h="1" x="8625"/>
        <item h="1" x="8626"/>
        <item h="1" x="8627"/>
        <item h="1" x="8628"/>
        <item h="1" x="8629"/>
        <item h="1" x="8630"/>
        <item h="1" x="8631"/>
        <item h="1" x="8632"/>
        <item h="1" x="8633"/>
        <item h="1" x="8634"/>
        <item h="1" x="8635"/>
        <item h="1" x="8636"/>
        <item h="1" x="8637"/>
        <item h="1" x="8638"/>
        <item h="1" x="8639"/>
        <item h="1" x="8640"/>
        <item h="1" x="8641"/>
        <item h="1" x="8642"/>
        <item h="1" x="8643"/>
        <item h="1" x="8644"/>
        <item h="1" x="8645"/>
        <item h="1" x="8646"/>
        <item h="1" x="8647"/>
        <item h="1" x="8648"/>
        <item h="1" x="8649"/>
        <item h="1" x="8650"/>
        <item h="1" x="8651"/>
        <item h="1" x="8652"/>
        <item h="1" x="8653"/>
        <item h="1" x="8654"/>
        <item h="1" x="8655"/>
        <item h="1" x="8656"/>
        <item h="1" x="8657"/>
        <item h="1" x="8658"/>
        <item h="1" x="8659"/>
        <item h="1" x="8660"/>
        <item h="1" x="8661"/>
        <item h="1" x="8662"/>
        <item h="1" x="8663"/>
        <item h="1" x="8664"/>
        <item h="1" x="8665"/>
        <item h="1" x="8666"/>
        <item h="1" x="8667"/>
        <item h="1" x="8668"/>
        <item h="1" x="8669"/>
        <item h="1" x="8670"/>
        <item h="1" x="8671"/>
        <item h="1" x="8672"/>
        <item h="1" x="8673"/>
        <item h="1" x="8674"/>
        <item h="1" x="8675"/>
        <item h="1" x="8676"/>
        <item h="1" x="8677"/>
        <item h="1" x="8678"/>
        <item h="1" x="8679"/>
        <item h="1" x="8680"/>
        <item h="1" x="8681"/>
        <item h="1" x="8682"/>
        <item h="1" x="8683"/>
        <item h="1" x="8684"/>
        <item h="1" x="8685"/>
        <item h="1" x="8686"/>
        <item h="1" x="8687"/>
        <item h="1" x="8688"/>
        <item h="1" x="8689"/>
        <item h="1" x="8690"/>
        <item h="1" x="8691"/>
        <item h="1" x="8692"/>
        <item h="1" x="8693"/>
        <item h="1" x="8694"/>
        <item h="1" x="8695"/>
        <item h="1" x="8696"/>
        <item h="1" x="8697"/>
        <item h="1" x="8698"/>
        <item h="1" x="8699"/>
        <item h="1" x="8700"/>
        <item h="1" x="8701"/>
        <item h="1" x="8702"/>
        <item h="1" x="8703"/>
        <item h="1" x="8704"/>
        <item h="1" x="8705"/>
        <item h="1" x="8706"/>
        <item h="1" x="8707"/>
        <item h="1" x="8708"/>
        <item h="1" x="8709"/>
        <item h="1" x="8710"/>
        <item h="1" x="8711"/>
        <item h="1" x="8712"/>
        <item h="1" x="8713"/>
        <item h="1" x="8714"/>
        <item h="1" x="8715"/>
        <item h="1" x="8716"/>
        <item h="1" x="8717"/>
        <item h="1" x="8718"/>
        <item h="1" x="8719"/>
        <item h="1" x="8720"/>
        <item h="1" x="8721"/>
        <item h="1" x="8722"/>
        <item h="1" x="8723"/>
        <item h="1" x="8724"/>
        <item h="1" x="8725"/>
        <item h="1" x="8726"/>
        <item h="1" x="8727"/>
        <item h="1" x="8728"/>
        <item h="1" x="8729"/>
        <item h="1" x="8730"/>
        <item h="1" x="8731"/>
        <item h="1" x="8732"/>
        <item h="1" x="8733"/>
        <item h="1" x="8734"/>
        <item h="1" x="8735"/>
        <item h="1" x="8736"/>
        <item h="1" x="8737"/>
        <item h="1" x="8738"/>
        <item h="1" x="8739"/>
        <item h="1" x="8740"/>
        <item h="1" x="8741"/>
        <item h="1" x="8742"/>
        <item h="1" x="8743"/>
        <item h="1" x="8744"/>
        <item h="1" x="8745"/>
        <item h="1" x="8746"/>
        <item h="1" x="8747"/>
        <item h="1" x="8748"/>
        <item h="1" x="8749"/>
        <item h="1" x="8750"/>
        <item h="1" x="8751"/>
        <item h="1" x="8752"/>
        <item h="1" x="8753"/>
        <item h="1" x="8754"/>
        <item h="1" x="8755"/>
        <item h="1" x="8756"/>
        <item h="1" x="8757"/>
        <item h="1" x="8758"/>
        <item h="1" x="8759"/>
        <item h="1" x="8760"/>
        <item h="1" x="8761"/>
        <item h="1" x="8762"/>
        <item h="1" x="8763"/>
        <item h="1" x="8764"/>
        <item h="1" x="8765"/>
        <item h="1" x="8766"/>
        <item h="1" x="8767"/>
        <item h="1" x="8768"/>
        <item h="1" x="8769"/>
        <item h="1" x="8770"/>
        <item h="1" x="8771"/>
        <item h="1" x="8772"/>
        <item h="1" x="8773"/>
        <item h="1" x="8774"/>
        <item h="1" x="8775"/>
        <item h="1" x="8776"/>
        <item h="1" x="8777"/>
        <item h="1" x="8778"/>
        <item h="1" x="8779"/>
        <item h="1" x="8780"/>
        <item h="1" x="8781"/>
        <item h="1" x="8782"/>
        <item h="1" x="8783"/>
        <item h="1" x="8784"/>
        <item h="1" x="8785"/>
        <item h="1" x="8786"/>
        <item h="1" x="8787"/>
        <item h="1" x="8788"/>
        <item h="1" x="8789"/>
        <item h="1" x="8790"/>
        <item h="1" x="8791"/>
        <item h="1" x="8792"/>
        <item h="1" x="8793"/>
        <item h="1" x="8794"/>
        <item h="1" x="8795"/>
        <item h="1" x="8796"/>
        <item h="1" x="8797"/>
        <item h="1" x="8798"/>
        <item h="1" x="8799"/>
        <item h="1" x="8800"/>
        <item h="1" x="8801"/>
        <item h="1" x="8802"/>
        <item h="1" x="8803"/>
        <item h="1" x="8804"/>
        <item h="1" x="8805"/>
        <item h="1" x="8806"/>
        <item h="1" x="8807"/>
        <item h="1" x="8808"/>
        <item h="1" x="8809"/>
        <item h="1" x="8810"/>
        <item h="1" x="8811"/>
        <item h="1" x="8812"/>
        <item h="1" x="8813"/>
        <item h="1" x="8814"/>
        <item h="1" x="8815"/>
        <item h="1" x="8816"/>
        <item h="1" x="8817"/>
        <item h="1" x="8818"/>
        <item h="1" x="8819"/>
        <item h="1" x="8820"/>
        <item h="1" x="8821"/>
        <item h="1" x="8822"/>
        <item h="1" x="8823"/>
        <item h="1" x="8824"/>
        <item h="1" x="8825"/>
        <item h="1" x="8826"/>
        <item h="1" x="8827"/>
        <item h="1" x="8828"/>
        <item h="1" x="8829"/>
        <item h="1" x="8830"/>
        <item h="1" x="8831"/>
        <item h="1" x="8832"/>
        <item h="1" x="8833"/>
        <item h="1" x="8834"/>
        <item h="1" x="8835"/>
        <item h="1" x="8836"/>
        <item h="1" x="8837"/>
        <item h="1" x="8838"/>
        <item h="1" x="8839"/>
        <item h="1" x="8840"/>
        <item h="1" x="8841"/>
        <item h="1" x="8842"/>
        <item h="1" x="8843"/>
        <item h="1" x="8844"/>
        <item h="1" x="8845"/>
        <item h="1" x="8846"/>
        <item h="1" x="8847"/>
        <item h="1" x="8848"/>
        <item h="1" x="8849"/>
        <item h="1" x="8850"/>
        <item h="1" x="8851"/>
        <item h="1" x="8852"/>
        <item h="1" x="8853"/>
        <item h="1" x="8854"/>
        <item h="1" x="8855"/>
        <item h="1" x="8856"/>
        <item h="1" x="8857"/>
        <item h="1" x="8858"/>
        <item h="1" x="8859"/>
        <item h="1" x="8860"/>
        <item h="1" x="8861"/>
        <item h="1" x="8862"/>
        <item h="1" x="8863"/>
        <item h="1" x="8864"/>
        <item h="1" x="8865"/>
        <item h="1" x="8866"/>
        <item h="1" x="8867"/>
        <item h="1" x="8868"/>
        <item h="1" x="8869"/>
        <item h="1" x="8870"/>
        <item h="1" x="8871"/>
        <item h="1" x="8872"/>
        <item h="1" x="8873"/>
        <item h="1" x="8874"/>
        <item h="1" x="8875"/>
        <item h="1" x="8876"/>
        <item h="1" x="8877"/>
        <item h="1" x="8878"/>
        <item h="1" x="8879"/>
        <item h="1" x="8880"/>
        <item h="1" x="8881"/>
        <item h="1" x="8882"/>
        <item h="1" x="8883"/>
        <item h="1" x="8884"/>
        <item h="1" x="8885"/>
        <item h="1" x="8886"/>
        <item h="1" x="8887"/>
        <item h="1" x="8888"/>
        <item h="1" x="8889"/>
        <item h="1" x="8890"/>
        <item h="1" x="8891"/>
        <item h="1" x="8892"/>
        <item h="1" x="8893"/>
        <item h="1" x="8894"/>
        <item h="1" x="8895"/>
        <item h="1" x="8896"/>
        <item h="1" x="8897"/>
        <item h="1" x="8898"/>
        <item h="1" x="8899"/>
        <item h="1" x="8900"/>
        <item h="1" x="8901"/>
        <item h="1" x="8902"/>
        <item h="1" x="8903"/>
        <item h="1" x="8904"/>
        <item h="1" x="8905"/>
        <item h="1" x="8906"/>
        <item h="1" x="8907"/>
        <item h="1" x="8908"/>
        <item h="1" x="8909"/>
        <item h="1" x="8910"/>
        <item h="1" x="8911"/>
        <item h="1" x="8912"/>
        <item h="1" x="8913"/>
        <item h="1" x="8914"/>
        <item h="1" x="8915"/>
        <item h="1" x="8916"/>
        <item h="1" x="8917"/>
        <item h="1" x="8918"/>
        <item h="1" x="8919"/>
        <item h="1" x="8920"/>
        <item h="1" x="8921"/>
        <item h="1" x="8922"/>
        <item h="1" x="8923"/>
        <item h="1" x="8924"/>
        <item h="1" x="8925"/>
        <item h="1" x="8926"/>
        <item h="1" x="8927"/>
        <item h="1" x="8928"/>
        <item h="1" x="8929"/>
        <item h="1" x="8930"/>
        <item h="1" x="8931"/>
        <item h="1" x="8932"/>
        <item h="1" x="8933"/>
        <item h="1" x="8934"/>
        <item h="1" x="8935"/>
        <item h="1" x="8936"/>
        <item h="1" x="8937"/>
        <item h="1" x="8938"/>
        <item h="1" x="8939"/>
        <item h="1" x="8940"/>
        <item h="1" x="8941"/>
        <item h="1" x="8942"/>
        <item h="1" x="8943"/>
        <item h="1" x="8944"/>
        <item h="1" x="8945"/>
        <item h="1" x="8946"/>
        <item h="1" x="8947"/>
        <item h="1" x="8948"/>
        <item h="1" x="8949"/>
        <item h="1" x="8950"/>
        <item h="1" x="8951"/>
        <item h="1" x="8952"/>
        <item h="1" x="8953"/>
        <item h="1" x="8954"/>
        <item h="1" x="8955"/>
        <item h="1" x="8956"/>
        <item h="1" x="8957"/>
        <item h="1" x="8958"/>
        <item h="1" x="8959"/>
        <item h="1" x="8960"/>
        <item h="1" x="8961"/>
        <item h="1" x="8962"/>
        <item h="1" x="8963"/>
        <item h="1" x="8964"/>
        <item h="1" x="8965"/>
        <item h="1" x="8966"/>
        <item h="1" x="8967"/>
        <item h="1" x="8968"/>
        <item h="1" x="8969"/>
        <item h="1" x="8970"/>
        <item h="1" x="8971"/>
        <item h="1" x="8972"/>
        <item h="1" x="8973"/>
        <item h="1" x="8974"/>
        <item h="1" x="8975"/>
        <item h="1" x="8976"/>
        <item h="1" x="8977"/>
        <item h="1" x="8978"/>
        <item h="1" x="8979"/>
        <item h="1" x="8980"/>
        <item h="1" x="8981"/>
        <item h="1" x="8982"/>
        <item h="1" x="8983"/>
        <item h="1" x="8984"/>
        <item h="1" x="8985"/>
        <item h="1" x="8986"/>
        <item h="1" x="8987"/>
        <item h="1" x="8988"/>
        <item h="1" x="8989"/>
        <item h="1" x="8990"/>
        <item h="1" x="8991"/>
        <item h="1" x="8992"/>
        <item h="1" x="8993"/>
        <item h="1" x="8994"/>
        <item h="1" x="8995"/>
        <item h="1" x="8996"/>
        <item h="1" x="8997"/>
        <item h="1" x="8998"/>
        <item h="1" x="8999"/>
        <item h="1" x="9000"/>
        <item h="1" x="9001"/>
        <item h="1" x="9002"/>
        <item h="1" x="9003"/>
        <item h="1" x="9004"/>
        <item h="1" x="9005"/>
        <item h="1" x="9006"/>
        <item h="1" x="9007"/>
        <item h="1" x="9008"/>
        <item h="1" x="9009"/>
        <item h="1" x="9010"/>
        <item h="1" x="9011"/>
        <item h="1" x="9012"/>
        <item h="1" x="9013"/>
        <item h="1" x="9014"/>
        <item h="1" x="9015"/>
        <item h="1" x="9016"/>
        <item h="1" x="9017"/>
        <item h="1" x="9018"/>
        <item h="1" x="9019"/>
        <item h="1" x="9020"/>
        <item h="1" x="9021"/>
        <item h="1" x="9022"/>
        <item h="1" x="9023"/>
        <item h="1" x="9024"/>
        <item h="1" x="9025"/>
        <item h="1" x="9026"/>
        <item h="1" x="9027"/>
        <item h="1" x="9028"/>
        <item h="1" x="9029"/>
        <item h="1" x="9030"/>
        <item h="1" x="9031"/>
        <item h="1" x="9032"/>
        <item h="1" x="9033"/>
        <item h="1" x="9034"/>
        <item h="1" x="9035"/>
        <item h="1" x="9036"/>
        <item h="1" x="9037"/>
        <item h="1" x="9038"/>
        <item h="1" x="9039"/>
        <item h="1" x="9040"/>
        <item h="1" x="9041"/>
        <item h="1" x="9042"/>
        <item h="1" x="9043"/>
        <item h="1" x="9044"/>
        <item h="1" x="9045"/>
        <item h="1" x="9046"/>
        <item h="1" x="9047"/>
        <item h="1" x="9048"/>
        <item h="1" x="9049"/>
        <item h="1" x="9050"/>
        <item h="1" x="9051"/>
        <item h="1" x="9052"/>
        <item h="1" x="9053"/>
        <item h="1" x="9054"/>
        <item h="1" x="9055"/>
        <item h="1" x="9056"/>
        <item h="1" x="9057"/>
        <item h="1" x="9058"/>
        <item h="1" x="9059"/>
        <item h="1" x="9060"/>
        <item h="1" x="9061"/>
        <item h="1" x="9062"/>
        <item h="1" x="9063"/>
        <item h="1" x="9064"/>
        <item h="1" x="9065"/>
        <item h="1" x="9066"/>
        <item h="1" x="9067"/>
        <item h="1" x="9068"/>
        <item h="1" x="9069"/>
        <item h="1" x="9070"/>
        <item h="1" x="9071"/>
        <item h="1" x="9072"/>
        <item h="1" x="9073"/>
        <item h="1" x="9074"/>
        <item h="1" x="9075"/>
        <item h="1" x="9076"/>
        <item h="1" x="9077"/>
        <item h="1" x="9078"/>
        <item h="1" x="9079"/>
        <item h="1" x="9080"/>
        <item h="1" x="9081"/>
        <item h="1" x="9082"/>
        <item h="1" x="9083"/>
        <item h="1" x="9084"/>
        <item h="1" x="9085"/>
        <item h="1" x="9086"/>
        <item h="1" x="9087"/>
        <item h="1" x="9088"/>
        <item h="1" x="9089"/>
        <item h="1" x="9090"/>
        <item h="1" x="9091"/>
        <item h="1" x="9092"/>
        <item h="1" x="9093"/>
        <item h="1" x="9094"/>
        <item h="1" x="9095"/>
        <item h="1" x="9096"/>
        <item h="1" x="9097"/>
        <item h="1" x="9098"/>
        <item h="1" x="9099"/>
        <item h="1" x="9100"/>
        <item h="1" x="9101"/>
        <item h="1" x="9102"/>
        <item h="1" x="9103"/>
        <item h="1" x="9104"/>
        <item h="1" x="9105"/>
        <item h="1" x="9106"/>
        <item h="1" x="9107"/>
        <item h="1" x="9108"/>
        <item h="1" x="9109"/>
        <item h="1" x="9110"/>
        <item h="1" x="9111"/>
        <item h="1" x="9112"/>
        <item h="1" x="9113"/>
        <item h="1" x="9114"/>
        <item h="1" x="9115"/>
        <item h="1" x="9116"/>
        <item h="1" x="9117"/>
        <item h="1" x="9118"/>
        <item h="1" x="9119"/>
        <item h="1" x="9120"/>
        <item h="1" x="9121"/>
        <item h="1" x="9122"/>
        <item h="1" x="9123"/>
        <item h="1" x="9124"/>
        <item h="1" x="9125"/>
        <item h="1" x="9126"/>
        <item h="1" x="9127"/>
        <item h="1" x="9128"/>
        <item h="1" x="9129"/>
        <item h="1" x="9130"/>
        <item h="1" x="9131"/>
        <item h="1" x="9132"/>
        <item h="1" x="9133"/>
        <item h="1" x="9134"/>
        <item h="1" x="9135"/>
        <item h="1" x="9136"/>
        <item h="1" x="9137"/>
        <item h="1" x="9138"/>
        <item h="1" x="9139"/>
        <item h="1" x="9140"/>
        <item h="1" x="9141"/>
        <item h="1" x="9142"/>
        <item h="1" x="9143"/>
        <item h="1" x="9144"/>
        <item h="1" x="9145"/>
        <item h="1" x="9146"/>
        <item h="1" x="9147"/>
        <item h="1" x="9148"/>
        <item h="1" x="9149"/>
        <item h="1" x="9150"/>
        <item h="1" x="9151"/>
        <item h="1" x="9152"/>
        <item h="1" x="9153"/>
        <item h="1" x="9154"/>
        <item h="1" x="9155"/>
        <item h="1" x="9156"/>
        <item h="1" x="9157"/>
        <item h="1" x="9158"/>
        <item h="1" x="9159"/>
        <item h="1" x="9160"/>
        <item h="1" x="9161"/>
        <item h="1" x="9162"/>
        <item h="1" x="9163"/>
        <item h="1" x="9164"/>
        <item h="1" x="9165"/>
        <item h="1" x="9166"/>
        <item h="1" x="9167"/>
        <item h="1" x="9168"/>
        <item h="1" x="9169"/>
        <item h="1" x="9170"/>
        <item h="1" x="9171"/>
        <item h="1" x="9172"/>
        <item h="1" x="9173"/>
        <item h="1" x="9174"/>
        <item h="1" x="9175"/>
        <item h="1" x="9176"/>
        <item h="1" x="9177"/>
        <item h="1" x="9178"/>
        <item h="1" x="9179"/>
        <item h="1" x="9180"/>
        <item h="1" x="9181"/>
        <item h="1" x="9182"/>
        <item h="1" x="9183"/>
        <item h="1" x="9184"/>
        <item h="1" x="9185"/>
        <item h="1" x="9186"/>
        <item h="1" x="9187"/>
        <item h="1" x="9188"/>
        <item h="1" x="9189"/>
        <item h="1" x="9190"/>
        <item h="1" x="9191"/>
        <item h="1" x="9192"/>
        <item h="1" x="9193"/>
        <item h="1" x="9194"/>
        <item h="1" x="9195"/>
        <item h="1" x="9196"/>
        <item h="1" x="9197"/>
        <item h="1" x="9198"/>
        <item h="1" x="9199"/>
        <item h="1" x="9200"/>
        <item h="1" x="9201"/>
        <item h="1" x="9202"/>
        <item h="1" x="9203"/>
        <item h="1" x="9204"/>
        <item h="1" x="9205"/>
        <item h="1" x="9206"/>
        <item h="1" x="9207"/>
        <item h="1" x="9208"/>
        <item h="1" x="9209"/>
        <item h="1" x="9210"/>
        <item h="1" x="9211"/>
        <item h="1" x="9212"/>
        <item h="1" x="9213"/>
        <item h="1" x="9214"/>
        <item h="1" x="9215"/>
        <item h="1" x="9216"/>
        <item h="1" x="9217"/>
        <item h="1" x="9218"/>
        <item h="1" x="9219"/>
        <item h="1" x="9220"/>
        <item h="1" x="9221"/>
        <item h="1" x="9222"/>
        <item h="1" x="9223"/>
        <item h="1" x="9224"/>
        <item h="1" x="9225"/>
        <item h="1" x="9226"/>
        <item h="1" x="9227"/>
        <item h="1" x="9228"/>
        <item h="1" x="9229"/>
        <item h="1" x="9230"/>
        <item h="1" x="9231"/>
        <item h="1" x="9232"/>
        <item h="1" x="9233"/>
        <item h="1" x="9234"/>
        <item h="1" x="9235"/>
        <item h="1" x="9236"/>
        <item h="1" x="9237"/>
        <item h="1" x="9238"/>
        <item h="1" x="9239"/>
        <item h="1" x="9240"/>
        <item h="1" x="9241"/>
        <item h="1" x="9242"/>
        <item h="1" x="9243"/>
        <item h="1" x="9244"/>
        <item h="1" x="9245"/>
        <item h="1" x="9246"/>
        <item h="1" x="9247"/>
        <item h="1" x="9248"/>
        <item h="1" x="9249"/>
        <item h="1" x="9250"/>
        <item h="1" x="9251"/>
        <item h="1" x="9252"/>
        <item h="1" x="9253"/>
        <item h="1" x="9254"/>
        <item h="1" x="9255"/>
        <item h="1" x="9256"/>
        <item h="1" x="9257"/>
        <item h="1" x="9258"/>
        <item h="1" x="9259"/>
        <item h="1" x="9260"/>
        <item h="1" x="9261"/>
        <item h="1" x="9262"/>
        <item h="1" x="9263"/>
        <item h="1" x="9264"/>
        <item h="1" x="9265"/>
        <item h="1" x="9266"/>
        <item h="1" x="9267"/>
        <item h="1" x="9268"/>
        <item h="1" x="9269"/>
        <item h="1" x="9270"/>
        <item h="1" x="9271"/>
        <item h="1" x="9272"/>
        <item h="1" x="9273"/>
        <item h="1" x="9274"/>
        <item h="1" x="9275"/>
        <item h="1" x="9276"/>
        <item h="1" x="9277"/>
        <item h="1" x="9278"/>
        <item h="1" x="9279"/>
        <item h="1" x="9280"/>
        <item h="1" x="9281"/>
        <item h="1" x="9282"/>
        <item h="1" x="9283"/>
        <item h="1" x="9284"/>
        <item h="1" x="9285"/>
        <item h="1" x="9286"/>
        <item h="1" x="9287"/>
        <item h="1" x="9288"/>
        <item h="1" x="9289"/>
        <item h="1" x="9290"/>
        <item h="1" x="9291"/>
        <item h="1" x="9292"/>
        <item h="1" x="9293"/>
        <item h="1" x="9294"/>
        <item h="1" x="9295"/>
        <item h="1" x="9296"/>
        <item h="1" x="9297"/>
        <item h="1" x="9298"/>
        <item h="1" x="9299"/>
        <item h="1" x="9300"/>
        <item h="1" x="9301"/>
        <item h="1" x="9302"/>
        <item h="1" x="9303"/>
        <item h="1" x="9304"/>
        <item h="1" x="9305"/>
        <item h="1" x="9306"/>
        <item h="1" x="9307"/>
        <item h="1" x="9308"/>
        <item h="1" x="9309"/>
        <item h="1" x="9310"/>
        <item h="1" x="9311"/>
        <item h="1" x="9312"/>
        <item h="1" x="9313"/>
        <item h="1" x="9314"/>
        <item h="1" x="9315"/>
        <item h="1" x="9316"/>
        <item h="1" x="9317"/>
        <item h="1" x="9318"/>
        <item h="1" x="9319"/>
        <item h="1" x="9320"/>
        <item h="1" x="9321"/>
        <item h="1" x="9322"/>
        <item h="1" x="9323"/>
        <item h="1" x="9324"/>
        <item h="1" x="9325"/>
        <item h="1" x="9326"/>
        <item h="1" x="9327"/>
        <item h="1" x="9328"/>
        <item h="1" x="9329"/>
        <item h="1" x="9330"/>
        <item h="1" x="9331"/>
        <item h="1" x="9332"/>
        <item h="1" x="9333"/>
        <item h="1" x="9334"/>
        <item h="1" x="9335"/>
        <item h="1" x="9336"/>
        <item h="1" x="9337"/>
        <item h="1" x="9338"/>
        <item h="1" x="9339"/>
        <item h="1" x="9340"/>
        <item h="1" x="9341"/>
        <item h="1" x="9342"/>
        <item h="1" x="9343"/>
        <item h="1" x="9344"/>
        <item h="1" x="9345"/>
        <item h="1" x="9346"/>
        <item h="1" x="9347"/>
        <item h="1" x="9348"/>
        <item h="1" x="9349"/>
        <item h="1" x="9350"/>
        <item h="1" x="9351"/>
        <item h="1" x="9352"/>
        <item h="1" x="9353"/>
        <item h="1" x="9354"/>
        <item h="1" x="9355"/>
        <item h="1" x="9356"/>
        <item h="1" x="9357"/>
        <item h="1" x="9358"/>
        <item h="1" x="9359"/>
        <item h="1" x="9360"/>
        <item h="1" x="9361"/>
        <item h="1" x="9362"/>
        <item h="1" x="9363"/>
        <item h="1" x="9364"/>
        <item h="1" x="9365"/>
        <item h="1" x="9366"/>
        <item h="1" x="9367"/>
        <item h="1" x="9368"/>
        <item h="1" x="9369"/>
        <item h="1" x="9370"/>
        <item h="1" x="9371"/>
        <item h="1" x="9372"/>
        <item h="1" x="9373"/>
        <item h="1" x="9374"/>
        <item h="1" x="9375"/>
        <item h="1" x="9376"/>
        <item h="1" x="9377"/>
        <item h="1" x="9378"/>
        <item h="1" x="9379"/>
        <item h="1" x="9380"/>
        <item h="1" x="9381"/>
        <item h="1" x="9382"/>
        <item h="1" x="9383"/>
        <item h="1" x="9384"/>
        <item h="1" x="9385"/>
        <item h="1" x="9386"/>
        <item h="1" x="9387"/>
        <item h="1" x="9388"/>
        <item h="1" x="9389"/>
        <item h="1" x="9390"/>
        <item h="1" x="9391"/>
        <item h="1" x="9392"/>
        <item h="1" x="9393"/>
        <item h="1" x="9394"/>
        <item h="1" x="9395"/>
        <item h="1" x="9396"/>
        <item h="1" x="9397"/>
        <item h="1" x="9398"/>
        <item h="1" x="9399"/>
        <item h="1" x="9400"/>
        <item h="1" x="9401"/>
        <item h="1" x="9402"/>
        <item h="1" x="9403"/>
        <item h="1" x="9404"/>
        <item h="1" x="9405"/>
        <item h="1" x="9406"/>
        <item h="1" x="9407"/>
        <item h="1" x="9408"/>
        <item h="1" x="9409"/>
        <item h="1" x="9410"/>
        <item h="1" x="9411"/>
        <item h="1" x="9412"/>
        <item h="1" x="9413"/>
        <item h="1" x="9414"/>
        <item h="1" x="9415"/>
        <item h="1" x="9416"/>
        <item h="1" x="9417"/>
        <item h="1" x="9418"/>
        <item h="1" x="9419"/>
        <item h="1" x="9420"/>
        <item h="1" x="9421"/>
        <item h="1" x="9422"/>
        <item h="1" x="9423"/>
        <item h="1" x="9424"/>
        <item h="1" x="9425"/>
        <item h="1" x="9426"/>
        <item h="1" x="9427"/>
        <item h="1" x="9428"/>
        <item h="1" x="9429"/>
        <item h="1" x="9430"/>
        <item h="1" x="9431"/>
        <item h="1" x="9432"/>
        <item h="1" x="9433"/>
        <item h="1" x="9434"/>
        <item h="1" x="9435"/>
        <item h="1" x="9436"/>
        <item h="1" x="9437"/>
        <item h="1" x="9438"/>
        <item h="1" x="9439"/>
        <item h="1" x="9440"/>
        <item h="1" x="9441"/>
        <item h="1" x="9442"/>
        <item h="1" x="9443"/>
        <item h="1" x="9444"/>
        <item h="1" x="9445"/>
        <item h="1" x="9446"/>
        <item h="1" x="9447"/>
        <item h="1" x="9448"/>
        <item h="1" x="9449"/>
        <item h="1" x="9450"/>
        <item h="1" x="9451"/>
        <item h="1" x="9452"/>
        <item h="1" x="9453"/>
        <item h="1" x="9454"/>
        <item h="1" x="9455"/>
        <item h="1" x="9456"/>
        <item h="1" x="9457"/>
        <item h="1" x="9458"/>
        <item h="1" x="9459"/>
        <item h="1" x="9460"/>
        <item h="1" x="9461"/>
        <item h="1" x="9462"/>
        <item h="1" x="9463"/>
        <item h="1" x="9464"/>
        <item h="1" x="9465"/>
        <item h="1" x="9466"/>
        <item h="1" x="9467"/>
        <item h="1" x="9468"/>
        <item h="1" x="9469"/>
        <item h="1" x="9470"/>
        <item h="1" x="9471"/>
        <item h="1" x="9472"/>
        <item h="1" x="9473"/>
        <item h="1" x="9474"/>
        <item h="1" x="9475"/>
        <item h="1" x="9476"/>
        <item h="1" x="9477"/>
        <item h="1" x="9478"/>
        <item h="1" x="9479"/>
        <item h="1" x="9480"/>
        <item h="1" x="9481"/>
        <item h="1" x="9482"/>
        <item h="1" x="9483"/>
        <item h="1" x="9484"/>
        <item h="1" x="9485"/>
        <item h="1" x="9486"/>
        <item h="1" x="9487"/>
        <item h="1" x="9488"/>
        <item h="1" x="9489"/>
        <item h="1" x="9490"/>
        <item h="1" x="9491"/>
        <item h="1" x="9492"/>
        <item h="1" x="9493"/>
        <item h="1" x="9494"/>
        <item h="1" x="9495"/>
        <item h="1" x="9496"/>
        <item h="1" x="9497"/>
        <item h="1" x="9498"/>
        <item h="1" x="9499"/>
        <item h="1" x="9500"/>
        <item h="1" x="9501"/>
        <item h="1" x="9502"/>
        <item h="1" x="9503"/>
        <item h="1" x="9504"/>
        <item h="1" x="9505"/>
        <item h="1" x="9506"/>
        <item h="1" x="9507"/>
        <item h="1" x="9508"/>
        <item h="1" x="9509"/>
        <item h="1" x="9510"/>
        <item h="1" x="9511"/>
        <item h="1" x="9512"/>
        <item h="1" x="9513"/>
        <item h="1" x="9514"/>
        <item h="1" x="9515"/>
        <item h="1" x="9516"/>
        <item h="1" x="9517"/>
        <item h="1" x="9518"/>
        <item h="1" x="9519"/>
        <item h="1" x="9520"/>
        <item h="1" x="9521"/>
        <item h="1" x="9522"/>
        <item h="1" x="9523"/>
        <item h="1" x="9524"/>
        <item h="1" x="9525"/>
        <item h="1" x="9526"/>
        <item h="1" x="9527"/>
        <item h="1" x="9528"/>
        <item h="1" x="9529"/>
        <item h="1" x="9530"/>
        <item h="1" x="9531"/>
        <item h="1" x="9532"/>
        <item h="1" x="9533"/>
        <item h="1" x="9534"/>
        <item h="1" x="9535"/>
        <item h="1" x="9536"/>
        <item h="1" x="9537"/>
        <item h="1" x="9538"/>
        <item h="1" x="9539"/>
        <item h="1" x="9540"/>
        <item h="1" x="9541"/>
        <item h="1" x="9542"/>
        <item h="1" x="9543"/>
        <item h="1" x="9544"/>
        <item h="1" x="9545"/>
        <item h="1" x="9546"/>
        <item h="1" x="9547"/>
        <item h="1" x="9548"/>
        <item h="1" x="9549"/>
        <item h="1" x="9550"/>
        <item h="1" x="9551"/>
        <item h="1" x="9552"/>
        <item h="1" x="9553"/>
        <item h="1" x="9554"/>
        <item h="1" x="9555"/>
        <item h="1" x="9556"/>
        <item h="1" x="9557"/>
        <item h="1" x="9558"/>
        <item h="1" x="9559"/>
        <item h="1" x="9560"/>
        <item h="1" x="9561"/>
        <item h="1" x="9562"/>
        <item h="1" x="9563"/>
        <item h="1" x="9564"/>
        <item h="1" x="9565"/>
        <item h="1" x="9566"/>
        <item h="1" x="9567"/>
        <item h="1" x="9568"/>
        <item h="1" x="9569"/>
        <item h="1" x="9570"/>
        <item h="1" x="9571"/>
        <item h="1" x="9572"/>
        <item h="1" x="9573"/>
        <item h="1" x="9574"/>
        <item h="1" x="9575"/>
        <item h="1" x="9576"/>
        <item h="1" x="9577"/>
        <item h="1" x="9578"/>
        <item h="1" x="9579"/>
        <item h="1" x="9580"/>
        <item h="1" x="9581"/>
        <item h="1" x="9582"/>
        <item h="1" x="9583"/>
        <item h="1" x="9584"/>
        <item h="1" x="9585"/>
        <item h="1" x="9586"/>
        <item h="1" x="9587"/>
        <item h="1" x="9588"/>
        <item h="1" x="9589"/>
        <item h="1" x="9590"/>
        <item h="1" x="9591"/>
        <item h="1" x="9592"/>
        <item h="1" x="9593"/>
        <item h="1" x="9594"/>
        <item h="1" x="9595"/>
        <item h="1" x="9596"/>
        <item h="1" x="9597"/>
        <item h="1" x="9598"/>
        <item h="1" x="9599"/>
        <item h="1" x="9600"/>
        <item h="1" x="9601"/>
        <item h="1" x="9602"/>
        <item h="1" x="9603"/>
        <item h="1" x="9604"/>
        <item h="1" x="9605"/>
        <item h="1" x="9606"/>
        <item h="1" x="9607"/>
        <item h="1" x="9608"/>
        <item h="1" x="9609"/>
        <item h="1" x="9610"/>
        <item h="1" x="9611"/>
        <item h="1" x="9612"/>
        <item h="1" x="9613"/>
        <item h="1" x="9614"/>
        <item h="1" x="9615"/>
        <item h="1" x="9616"/>
        <item h="1" x="9617"/>
        <item h="1" x="9618"/>
        <item h="1" x="9619"/>
        <item h="1" x="9620"/>
        <item h="1" x="9621"/>
        <item h="1" x="9622"/>
        <item h="1" x="9623"/>
        <item h="1" x="9624"/>
        <item h="1" x="9625"/>
        <item h="1" x="9626"/>
        <item h="1" x="9627"/>
        <item h="1" x="9628"/>
        <item h="1" x="9629"/>
        <item h="1" x="9630"/>
        <item h="1" x="9631"/>
        <item h="1" x="9632"/>
        <item h="1" x="9633"/>
        <item h="1" x="9634"/>
        <item h="1" x="9635"/>
        <item h="1" x="9636"/>
        <item h="1" x="9637"/>
        <item h="1" x="9638"/>
        <item h="1" x="9639"/>
        <item h="1" x="9640"/>
        <item h="1" x="9641"/>
        <item h="1" x="9642"/>
        <item h="1" x="9643"/>
        <item h="1" x="9644"/>
        <item h="1" x="9645"/>
        <item h="1" x="9646"/>
        <item h="1" x="9647"/>
        <item h="1" x="9648"/>
        <item h="1" x="9649"/>
        <item h="1" x="9650"/>
        <item h="1" x="9651"/>
        <item h="1" x="9652"/>
        <item h="1" x="9653"/>
        <item h="1" x="9654"/>
        <item h="1" x="9655"/>
        <item h="1" x="9656"/>
        <item h="1" x="9657"/>
        <item h="1" x="9658"/>
        <item h="1" x="9659"/>
        <item h="1" x="9660"/>
        <item h="1" x="9661"/>
        <item h="1" x="9662"/>
        <item h="1" x="9663"/>
        <item h="1" x="9664"/>
        <item h="1" x="9665"/>
        <item h="1" x="9666"/>
        <item h="1" x="9667"/>
        <item h="1" x="9668"/>
        <item h="1" x="9669"/>
        <item h="1" x="9670"/>
        <item h="1" x="9671"/>
        <item h="1" x="9672"/>
        <item h="1" x="9673"/>
        <item h="1" x="9674"/>
        <item h="1" x="9675"/>
        <item h="1" x="9676"/>
        <item h="1" x="9677"/>
        <item h="1" x="9678"/>
        <item h="1" x="9679"/>
        <item h="1" x="9680"/>
        <item h="1" x="9681"/>
        <item h="1" x="9682"/>
        <item h="1" x="9683"/>
        <item h="1" x="9684"/>
        <item h="1" x="9685"/>
        <item h="1" x="9686"/>
        <item h="1" x="9687"/>
        <item h="1" x="9688"/>
        <item h="1" x="9689"/>
        <item h="1" x="9690"/>
        <item h="1" x="9691"/>
        <item h="1" x="9692"/>
        <item h="1" x="9693"/>
        <item h="1" x="9694"/>
        <item h="1" x="9695"/>
        <item h="1" x="9696"/>
        <item h="1" x="9697"/>
        <item h="1" x="9698"/>
        <item h="1" x="9699"/>
        <item h="1" x="9700"/>
        <item h="1" x="9701"/>
        <item h="1" x="9702"/>
        <item h="1" x="9703"/>
        <item h="1" x="9704"/>
        <item h="1" x="9705"/>
        <item h="1" x="9706"/>
        <item h="1" x="9707"/>
        <item h="1" x="9708"/>
        <item h="1" x="9709"/>
        <item h="1" x="9710"/>
        <item h="1" x="9711"/>
        <item h="1" x="9712"/>
        <item h="1" x="9713"/>
        <item h="1" x="9714"/>
        <item h="1" x="9715"/>
        <item h="1" x="9716"/>
        <item h="1" x="9717"/>
        <item h="1" x="9718"/>
        <item h="1" x="9719"/>
        <item h="1" x="9720"/>
        <item h="1" x="9721"/>
        <item h="1" x="9722"/>
        <item h="1" x="9723"/>
        <item h="1" x="9724"/>
        <item h="1" x="9725"/>
        <item h="1" x="9726"/>
        <item h="1" x="9727"/>
        <item h="1" x="9728"/>
        <item h="1" x="9729"/>
        <item h="1" x="9730"/>
        <item h="1" x="9731"/>
        <item h="1" x="9732"/>
        <item h="1" x="9733"/>
        <item h="1" x="9734"/>
        <item h="1" x="9735"/>
        <item h="1" x="9736"/>
        <item h="1" x="9737"/>
        <item h="1" x="9738"/>
        <item h="1" x="9739"/>
        <item h="1" x="9740"/>
        <item h="1" x="9741"/>
        <item h="1" x="9742"/>
        <item h="1" x="9743"/>
        <item h="1" x="9744"/>
        <item h="1" x="9745"/>
        <item h="1" x="9746"/>
        <item h="1" x="9747"/>
        <item h="1" x="9748"/>
        <item h="1" x="9749"/>
        <item h="1" x="9750"/>
        <item h="1" x="9751"/>
        <item h="1" x="9752"/>
        <item h="1" x="9753"/>
        <item h="1" x="9754"/>
        <item h="1" x="9755"/>
        <item h="1" x="9756"/>
        <item h="1" x="9757"/>
        <item h="1" x="9758"/>
        <item h="1" x="9759"/>
        <item h="1" x="9760"/>
        <item h="1" x="9761"/>
        <item h="1" x="9762"/>
        <item h="1" x="9763"/>
        <item h="1" x="9764"/>
        <item h="1" x="9765"/>
        <item h="1" x="9766"/>
        <item h="1" x="9767"/>
        <item h="1" x="9768"/>
        <item h="1" x="9769"/>
        <item h="1" x="9770"/>
        <item h="1" x="9771"/>
        <item h="1" x="9772"/>
        <item h="1" x="9773"/>
        <item h="1" x="9774"/>
        <item h="1" x="9775"/>
        <item h="1" x="9776"/>
        <item h="1" x="9777"/>
        <item h="1" x="9778"/>
        <item h="1" x="9779"/>
        <item h="1" x="9780"/>
        <item h="1" x="9781"/>
        <item h="1" x="9782"/>
        <item h="1" x="9783"/>
        <item h="1" x="9784"/>
        <item h="1" x="9785"/>
        <item h="1" x="9786"/>
        <item h="1" x="9787"/>
        <item h="1" x="9788"/>
        <item h="1" x="9789"/>
        <item h="1" x="9790"/>
        <item h="1" x="9791"/>
        <item h="1" x="9792"/>
        <item h="1" x="9793"/>
        <item h="1" x="9794"/>
        <item h="1" x="9795"/>
        <item h="1" x="9796"/>
        <item h="1" x="9797"/>
        <item h="1" x="9798"/>
        <item h="1" x="9799"/>
        <item h="1" x="9800"/>
        <item h="1" x="9801"/>
        <item h="1" x="9802"/>
        <item h="1" x="9803"/>
        <item h="1" x="9804"/>
        <item h="1" x="9805"/>
        <item h="1" x="9806"/>
        <item h="1" x="9807"/>
        <item h="1" x="9808"/>
        <item h="1" x="9809"/>
        <item h="1" x="9810"/>
        <item h="1" x="9811"/>
        <item h="1" x="9812"/>
        <item h="1" x="9813"/>
        <item h="1" x="9814"/>
        <item h="1" x="9815"/>
        <item h="1" x="9816"/>
        <item h="1" x="9817"/>
        <item h="1" x="9818"/>
        <item h="1" x="9819"/>
        <item h="1" x="9820"/>
        <item h="1" x="9821"/>
        <item h="1" x="9822"/>
        <item h="1" x="9823"/>
        <item h="1" x="9824"/>
        <item h="1" x="9825"/>
        <item h="1" x="9826"/>
        <item h="1" x="9827"/>
        <item h="1" x="9828"/>
        <item h="1" x="9829"/>
        <item h="1" x="9830"/>
        <item h="1" x="9831"/>
        <item h="1" x="9832"/>
        <item h="1" x="9833"/>
        <item h="1" x="9834"/>
        <item h="1" x="9835"/>
        <item h="1" x="9836"/>
        <item h="1" x="9837"/>
        <item h="1" x="9838"/>
        <item h="1" x="9839"/>
        <item h="1" x="9840"/>
        <item h="1" x="9841"/>
        <item h="1" x="9842"/>
        <item h="1" x="9843"/>
        <item h="1" x="9844"/>
        <item h="1" x="9845"/>
        <item h="1" x="9846"/>
        <item h="1" x="9847"/>
        <item h="1" x="9848"/>
        <item h="1" x="9849"/>
        <item h="1" x="9850"/>
        <item h="1" x="9851"/>
        <item h="1" x="9852"/>
        <item h="1" x="9853"/>
        <item h="1" x="9854"/>
        <item h="1" x="9855"/>
        <item h="1" x="9856"/>
        <item h="1" x="9857"/>
        <item h="1" x="9858"/>
        <item h="1" x="9859"/>
        <item h="1" x="9860"/>
        <item h="1" x="9861"/>
        <item h="1" x="9862"/>
        <item h="1" x="9863"/>
        <item h="1" x="9864"/>
        <item h="1" x="9865"/>
        <item h="1" x="9866"/>
        <item h="1" x="9867"/>
        <item h="1" x="9868"/>
        <item h="1" x="9869"/>
        <item h="1" x="9870"/>
        <item h="1" x="9871"/>
        <item h="1" x="9872"/>
        <item h="1" x="9873"/>
        <item h="1" x="9874"/>
        <item h="1" x="9875"/>
        <item h="1" x="9876"/>
        <item h="1" x="9877"/>
        <item h="1" x="9878"/>
        <item h="1" x="9879"/>
        <item h="1" x="9880"/>
        <item h="1" x="9881"/>
        <item h="1" x="9882"/>
        <item h="1" x="9883"/>
        <item h="1" x="9884"/>
        <item h="1" x="9885"/>
        <item h="1" x="9886"/>
        <item h="1" x="9887"/>
        <item h="1" x="9888"/>
        <item h="1" x="9889"/>
        <item h="1" x="9890"/>
        <item h="1" x="9891"/>
        <item h="1" x="9892"/>
        <item h="1" x="9893"/>
        <item h="1" x="9894"/>
        <item h="1" x="9895"/>
        <item h="1" x="9896"/>
        <item h="1" x="9897"/>
        <item h="1" x="9898"/>
        <item h="1" x="9899"/>
        <item h="1" x="9900"/>
        <item h="1" x="9901"/>
        <item h="1" x="9902"/>
        <item h="1" x="9903"/>
        <item h="1" x="9904"/>
        <item h="1" x="9905"/>
        <item h="1" x="9906"/>
        <item h="1" x="9907"/>
        <item h="1" x="9908"/>
        <item h="1" x="9909"/>
        <item h="1" x="9910"/>
        <item h="1" x="9911"/>
        <item h="1" x="9912"/>
        <item h="1" x="9913"/>
        <item h="1" x="9914"/>
        <item h="1" x="9915"/>
        <item h="1" x="9916"/>
        <item h="1" x="9917"/>
        <item h="1" x="9918"/>
        <item h="1" x="9919"/>
        <item h="1" x="9920"/>
        <item h="1" x="9921"/>
        <item h="1" x="9922"/>
        <item h="1" x="9923"/>
        <item h="1" x="9924"/>
        <item h="1" x="9925"/>
        <item h="1" x="9926"/>
        <item h="1" x="9927"/>
        <item h="1" x="9928"/>
        <item h="1" x="9929"/>
        <item h="1" x="9930"/>
        <item h="1" x="9931"/>
        <item h="1" x="9932"/>
        <item h="1" x="9933"/>
        <item h="1" x="9934"/>
        <item h="1" x="9935"/>
        <item h="1" x="9936"/>
        <item h="1" x="9937"/>
        <item h="1" x="9938"/>
        <item h="1" x="9939"/>
        <item h="1" x="9940"/>
        <item h="1" x="9941"/>
        <item h="1" x="9942"/>
        <item h="1" x="9943"/>
        <item h="1" x="9944"/>
        <item h="1" x="9945"/>
        <item h="1" x="9946"/>
        <item h="1" x="9947"/>
        <item h="1" x="9948"/>
        <item h="1" x="9949"/>
        <item h="1" x="9950"/>
        <item h="1" x="9951"/>
        <item h="1" x="9952"/>
        <item h="1" x="9953"/>
        <item h="1" x="9954"/>
        <item h="1" x="9955"/>
        <item h="1" x="9956"/>
        <item h="1" x="9957"/>
        <item h="1" x="9958"/>
        <item h="1" x="9959"/>
        <item h="1" x="9960"/>
        <item h="1" x="9961"/>
        <item h="1" x="9962"/>
        <item h="1" x="9963"/>
        <item h="1" x="9964"/>
        <item h="1" x="9965"/>
        <item h="1" x="9966"/>
        <item h="1" x="9967"/>
        <item h="1" x="9968"/>
        <item h="1" x="9969"/>
        <item h="1" x="9970"/>
        <item h="1" x="9971"/>
        <item h="1" x="9972"/>
        <item h="1" x="9973"/>
        <item h="1" x="9974"/>
        <item h="1" x="9975"/>
        <item h="1" x="9976"/>
        <item h="1" x="9977"/>
        <item h="1" x="9978"/>
        <item h="1" x="9979"/>
        <item h="1" x="9980"/>
        <item h="1" x="9981"/>
        <item h="1" x="9982"/>
        <item h="1" x="9983"/>
        <item h="1" x="9984"/>
        <item h="1" x="9985"/>
        <item h="1" x="9986"/>
        <item h="1" x="9987"/>
        <item h="1" x="9988"/>
        <item h="1" x="9989"/>
        <item h="1" x="9990"/>
        <item h="1" x="9991"/>
        <item h="1" x="9992"/>
        <item h="1" x="9993"/>
        <item h="1" x="9994"/>
        <item h="1" x="9995"/>
        <item h="1" x="9996"/>
        <item h="1" x="9997"/>
        <item h="1" x="9998"/>
        <item h="1" x="9999"/>
        <item h="1" x="10000"/>
        <item h="1" x="10001"/>
        <item h="1" x="10002"/>
        <item h="1" x="10003"/>
        <item h="1" x="10004"/>
        <item h="1" x="10005"/>
        <item h="1" x="10006"/>
        <item h="1" x="10007"/>
        <item h="1" x="10008"/>
        <item h="1" x="10009"/>
        <item h="1" x="10010"/>
        <item h="1" x="10011"/>
        <item h="1" x="10012"/>
        <item h="1" x="10013"/>
        <item h="1" x="10014"/>
        <item h="1" x="10015"/>
        <item h="1" x="10016"/>
        <item h="1" x="10017"/>
        <item h="1" x="10018"/>
        <item h="1" x="10019"/>
        <item h="1" x="10020"/>
        <item h="1" x="10021"/>
        <item h="1" x="10022"/>
        <item h="1" x="10023"/>
        <item h="1" x="10024"/>
        <item h="1" x="10025"/>
        <item h="1" x="10026"/>
        <item h="1" x="10027"/>
        <item h="1" x="10028"/>
        <item h="1" x="10029"/>
        <item h="1" x="10030"/>
        <item h="1" x="10031"/>
        <item h="1" x="10032"/>
        <item h="1" x="10033"/>
        <item h="1" x="10034"/>
        <item h="1" x="10035"/>
        <item h="1" x="10036"/>
        <item h="1" x="10037"/>
        <item h="1" x="10038"/>
        <item h="1" x="10039"/>
        <item h="1" x="10040"/>
        <item h="1" x="10041"/>
        <item h="1" x="10042"/>
        <item h="1" x="10043"/>
        <item h="1" x="10044"/>
        <item h="1" x="10045"/>
        <item h="1" x="10046"/>
        <item h="1" x="10047"/>
        <item h="1" x="10048"/>
        <item h="1" x="10049"/>
        <item h="1" x="10050"/>
        <item h="1" x="10051"/>
        <item h="1" x="10052"/>
        <item h="1" x="10053"/>
        <item h="1" x="10054"/>
        <item h="1" x="10055"/>
        <item h="1" x="10056"/>
        <item h="1" x="10057"/>
        <item h="1" x="10058"/>
        <item h="1" x="10059"/>
        <item h="1" x="10060"/>
        <item h="1" x="10061"/>
        <item h="1" x="10062"/>
        <item h="1" x="10063"/>
        <item h="1" x="10064"/>
        <item h="1" x="10065"/>
        <item h="1" x="10066"/>
        <item h="1" x="10067"/>
        <item h="1" x="10068"/>
        <item h="1" x="10069"/>
        <item h="1" x="10070"/>
        <item h="1" x="10071"/>
        <item h="1" x="10072"/>
        <item h="1" x="10073"/>
        <item h="1" x="10074"/>
        <item h="1" x="10075"/>
        <item h="1" x="10076"/>
        <item h="1" x="10077"/>
        <item h="1" x="10078"/>
        <item h="1" x="10079"/>
        <item h="1" x="10080"/>
        <item h="1" x="10081"/>
        <item h="1" x="10082"/>
        <item h="1" x="10083"/>
        <item h="1" x="10084"/>
        <item h="1" x="10085"/>
        <item h="1" x="10086"/>
        <item h="1" x="10087"/>
        <item h="1" x="10088"/>
        <item h="1" x="10089"/>
        <item h="1" x="10090"/>
        <item h="1" x="10091"/>
        <item h="1" x="10092"/>
        <item h="1" x="10093"/>
        <item h="1" x="10094"/>
        <item h="1" x="10095"/>
        <item h="1" x="10096"/>
        <item h="1" x="10097"/>
        <item h="1" x="10098"/>
        <item h="1" x="10099"/>
        <item h="1" x="10100"/>
        <item h="1" x="10101"/>
        <item h="1" x="10102"/>
        <item h="1" x="10103"/>
        <item h="1" x="10104"/>
        <item h="1" x="10105"/>
        <item h="1" x="10106"/>
        <item h="1" x="10107"/>
        <item h="1" x="10108"/>
        <item h="1" x="10109"/>
        <item h="1" x="10110"/>
        <item h="1" x="10111"/>
        <item h="1" x="10112"/>
        <item h="1" x="10113"/>
        <item h="1" x="10114"/>
        <item h="1" x="10115"/>
        <item h="1" x="10116"/>
        <item h="1" x="10117"/>
        <item h="1" x="10118"/>
        <item h="1" x="10119"/>
        <item h="1" x="10120"/>
        <item h="1" x="10121"/>
        <item h="1" x="10122"/>
        <item h="1" x="10123"/>
        <item h="1" x="10124"/>
        <item h="1" x="10125"/>
        <item h="1" x="10126"/>
        <item h="1" x="10127"/>
        <item h="1" x="10128"/>
        <item h="1" x="10129"/>
        <item h="1" x="10130"/>
        <item h="1" x="10131"/>
        <item h="1" x="10132"/>
        <item h="1" x="10133"/>
        <item h="1" x="10134"/>
        <item h="1" x="10135"/>
        <item h="1" x="10136"/>
        <item h="1" x="10137"/>
        <item h="1" x="10138"/>
        <item h="1" x="10139"/>
        <item h="1" x="10140"/>
        <item h="1" x="10141"/>
        <item h="1" x="10142"/>
        <item h="1" x="10143"/>
        <item h="1" x="10144"/>
        <item h="1" x="10145"/>
        <item h="1" x="10146"/>
        <item h="1" x="10147"/>
        <item h="1" x="10148"/>
        <item h="1" x="10149"/>
        <item h="1" x="10150"/>
        <item h="1" x="10151"/>
        <item h="1" x="10152"/>
        <item h="1" x="10153"/>
        <item h="1" x="10154"/>
        <item h="1" x="10155"/>
        <item h="1" x="10156"/>
        <item h="1" x="10157"/>
        <item h="1" x="10158"/>
        <item h="1" x="10159"/>
        <item h="1" x="10160"/>
        <item h="1" x="10161"/>
        <item h="1" x="10162"/>
        <item h="1" x="10163"/>
        <item h="1" x="10164"/>
        <item h="1" x="10165"/>
        <item h="1" x="10166"/>
        <item h="1" x="10167"/>
        <item h="1" x="10168"/>
        <item h="1" x="10169"/>
        <item h="1" x="10170"/>
        <item h="1" x="10171"/>
        <item h="1" x="10172"/>
        <item h="1" x="10173"/>
        <item h="1" x="10174"/>
        <item h="1" x="10175"/>
        <item h="1" x="10176"/>
        <item h="1" x="10177"/>
        <item h="1" x="10178"/>
        <item h="1" x="10179"/>
        <item h="1" x="10180"/>
        <item h="1" x="10181"/>
        <item h="1" x="10182"/>
        <item h="1" x="10183"/>
        <item h="1" x="10184"/>
        <item h="1" x="10185"/>
        <item h="1" x="10186"/>
        <item h="1" x="10187"/>
        <item h="1" x="10188"/>
        <item h="1" x="10189"/>
        <item h="1" x="10190"/>
        <item h="1" x="10191"/>
        <item h="1" x="10192"/>
        <item h="1" x="10193"/>
        <item h="1" x="10194"/>
        <item h="1" x="10195"/>
        <item h="1" x="10196"/>
        <item h="1" x="10197"/>
        <item h="1" x="10198"/>
        <item h="1" x="10199"/>
        <item h="1" x="10200"/>
        <item h="1" x="10201"/>
        <item h="1" x="10202"/>
        <item h="1" x="10203"/>
        <item h="1" x="10204"/>
        <item h="1" x="10205"/>
        <item h="1" x="10206"/>
        <item h="1" x="10207"/>
        <item h="1" x="10208"/>
        <item h="1" x="10209"/>
        <item h="1" x="10210"/>
        <item h="1" x="10211"/>
        <item h="1" x="10212"/>
        <item h="1" x="10213"/>
        <item h="1" x="10214"/>
        <item h="1" x="10215"/>
        <item h="1" x="10216"/>
        <item h="1" x="10217"/>
        <item h="1" x="10218"/>
        <item h="1" x="10219"/>
        <item h="1" x="10220"/>
        <item h="1" x="10221"/>
        <item h="1" x="10222"/>
        <item h="1" x="10223"/>
        <item h="1" x="10224"/>
        <item h="1" x="10225"/>
        <item h="1" x="10226"/>
        <item h="1" x="10227"/>
        <item h="1" x="10228"/>
        <item h="1" x="10229"/>
        <item h="1" x="10230"/>
        <item h="1" x="10231"/>
        <item h="1" x="10232"/>
        <item h="1" x="10233"/>
        <item h="1" x="10234"/>
        <item h="1" x="10235"/>
        <item h="1" x="10236"/>
        <item h="1" x="10237"/>
        <item h="1" x="10238"/>
        <item h="1" x="10239"/>
        <item h="1" x="10240"/>
        <item h="1" x="10241"/>
        <item h="1" x="10242"/>
        <item h="1" x="10243"/>
        <item h="1" x="10244"/>
        <item h="1" x="10245"/>
        <item h="1" x="10246"/>
        <item h="1" x="10247"/>
        <item h="1" x="10248"/>
        <item h="1" x="10249"/>
        <item h="1" x="10250"/>
        <item h="1" x="10251"/>
        <item h="1" x="10252"/>
        <item h="1" x="10253"/>
        <item h="1" x="10254"/>
        <item h="1" x="10255"/>
        <item h="1" x="10256"/>
        <item h="1" x="10257"/>
        <item h="1" x="10258"/>
        <item h="1" x="10259"/>
        <item h="1" x="10260"/>
        <item h="1" x="10261"/>
        <item h="1" x="10262"/>
        <item h="1" x="10263"/>
        <item h="1" x="10264"/>
        <item h="1" x="10265"/>
        <item h="1" x="10266"/>
        <item h="1" x="10267"/>
        <item h="1" x="10268"/>
        <item h="1" x="10269"/>
        <item h="1" x="10270"/>
        <item h="1" x="10271"/>
        <item h="1" x="10272"/>
        <item h="1" x="10273"/>
        <item h="1" x="10274"/>
        <item h="1" x="10275"/>
        <item h="1" x="10276"/>
        <item h="1" x="10277"/>
        <item h="1" x="10278"/>
        <item h="1" x="10279"/>
        <item h="1" x="10280"/>
        <item h="1" x="10281"/>
        <item h="1" x="10282"/>
        <item h="1" x="10283"/>
        <item h="1" x="10284"/>
        <item h="1" x="10285"/>
        <item h="1" x="10286"/>
        <item h="1" x="10287"/>
        <item h="1" x="10288"/>
        <item h="1" x="10289"/>
        <item h="1" x="10290"/>
        <item h="1" x="10291"/>
        <item h="1" x="10292"/>
        <item h="1" x="10293"/>
        <item h="1" x="10294"/>
        <item h="1" x="10295"/>
        <item h="1" x="10296"/>
        <item h="1" x="10297"/>
        <item h="1" x="10298"/>
        <item h="1" x="10299"/>
        <item h="1" x="10300"/>
        <item h="1" x="10301"/>
        <item h="1" x="10302"/>
        <item h="1" x="10303"/>
        <item h="1" x="10304"/>
        <item h="1" x="10305"/>
        <item h="1" x="10306"/>
        <item h="1" x="10307"/>
        <item h="1" x="10308"/>
        <item h="1" x="10309"/>
        <item h="1" x="10310"/>
        <item h="1" x="10311"/>
        <item h="1" x="10312"/>
        <item h="1" x="10313"/>
        <item h="1" x="10314"/>
        <item h="1" x="10315"/>
        <item h="1" x="10316"/>
        <item h="1" x="10317"/>
        <item h="1" x="10318"/>
        <item h="1" x="10319"/>
        <item h="1" x="10320"/>
        <item h="1" x="10321"/>
        <item h="1" x="10322"/>
        <item h="1" x="10323"/>
        <item h="1" x="10324"/>
        <item h="1" x="10325"/>
        <item h="1" x="10326"/>
        <item h="1" x="10327"/>
        <item h="1" x="10328"/>
        <item h="1" x="10329"/>
        <item h="1" x="10330"/>
        <item h="1" x="10331"/>
        <item h="1" x="10332"/>
        <item h="1" x="10333"/>
        <item h="1" x="10334"/>
        <item h="1" x="10335"/>
        <item h="1" x="10336"/>
        <item h="1" x="10337"/>
        <item h="1" x="10338"/>
        <item h="1" x="10339"/>
        <item h="1" x="10340"/>
        <item h="1" x="10341"/>
        <item h="1" x="10342"/>
        <item h="1" x="10343"/>
        <item h="1" x="10344"/>
        <item h="1" x="10345"/>
        <item h="1" x="10346"/>
        <item h="1" x="10347"/>
        <item h="1" x="10348"/>
        <item h="1" x="10349"/>
        <item h="1" x="10350"/>
        <item h="1" x="10351"/>
        <item h="1" x="10352"/>
        <item h="1" x="10353"/>
        <item h="1" x="10354"/>
        <item h="1" x="10355"/>
        <item h="1" x="10356"/>
        <item h="1" x="10357"/>
        <item h="1" x="10358"/>
        <item h="1" x="10359"/>
        <item h="1" x="10360"/>
        <item h="1" x="10361"/>
        <item h="1" x="10362"/>
        <item h="1" x="10363"/>
        <item h="1" x="10364"/>
        <item h="1" x="10365"/>
        <item h="1" x="10366"/>
        <item h="1" x="10367"/>
        <item h="1" x="10368"/>
        <item h="1" x="10369"/>
        <item h="1" x="10370"/>
        <item h="1" x="10371"/>
        <item h="1" x="10372"/>
        <item h="1" x="10373"/>
        <item h="1" x="10374"/>
        <item h="1" x="10375"/>
        <item h="1" x="10376"/>
        <item h="1" x="10377"/>
        <item h="1" x="10378"/>
        <item h="1" x="10379"/>
        <item h="1" x="10380"/>
        <item h="1" x="10381"/>
        <item h="1" x="10382"/>
        <item h="1" x="10383"/>
        <item h="1" x="10384"/>
        <item h="1" x="10385"/>
        <item h="1" x="10386"/>
        <item h="1" x="10387"/>
        <item h="1" x="10388"/>
        <item h="1" x="10389"/>
        <item h="1" x="10390"/>
        <item h="1" x="10391"/>
        <item h="1" x="10392"/>
        <item h="1" x="10393"/>
        <item h="1" x="10394"/>
        <item h="1" x="10395"/>
        <item h="1" x="10396"/>
        <item h="1" x="10397"/>
        <item h="1" x="10398"/>
        <item h="1" x="10399"/>
        <item h="1" x="10400"/>
        <item h="1" x="10401"/>
        <item h="1" x="10402"/>
        <item h="1" x="10403"/>
        <item h="1" x="10404"/>
        <item h="1" x="10405"/>
        <item h="1" x="10406"/>
        <item h="1" x="10407"/>
        <item h="1" x="10408"/>
        <item h="1" x="10409"/>
        <item h="1" x="10410"/>
        <item h="1" x="10411"/>
        <item h="1" x="10412"/>
        <item h="1" x="10413"/>
        <item h="1" x="10414"/>
        <item h="1" x="10415"/>
        <item h="1" x="10416"/>
        <item h="1" x="10417"/>
        <item h="1" x="10418"/>
        <item h="1" x="10419"/>
        <item h="1" x="10420"/>
        <item h="1" x="10421"/>
        <item h="1" x="10422"/>
        <item h="1" x="10423"/>
        <item h="1" x="10424"/>
        <item h="1" x="10425"/>
        <item h="1" x="10426"/>
        <item h="1" x="10427"/>
        <item h="1" x="10428"/>
        <item h="1" x="10429"/>
        <item h="1" x="10430"/>
        <item h="1" x="10431"/>
        <item h="1" x="10432"/>
        <item h="1" x="10433"/>
        <item h="1" x="10434"/>
        <item h="1" x="10435"/>
        <item h="1" x="10436"/>
        <item h="1" x="10437"/>
        <item h="1" x="10438"/>
        <item h="1" x="10439"/>
        <item h="1" x="10440"/>
        <item h="1" x="10441"/>
        <item h="1" x="10442"/>
        <item h="1" x="10443"/>
        <item h="1" x="10444"/>
        <item h="1" x="10445"/>
        <item h="1" x="10446"/>
        <item h="1" x="10447"/>
        <item h="1" x="10448"/>
        <item h="1" x="10449"/>
        <item h="1" x="10450"/>
        <item h="1" x="10451"/>
        <item h="1" x="10452"/>
        <item h="1" x="10453"/>
        <item h="1" x="10454"/>
        <item h="1" x="10455"/>
        <item h="1" x="10456"/>
        <item h="1" x="10457"/>
        <item h="1" x="10458"/>
        <item h="1" x="10459"/>
        <item h="1" x="10460"/>
        <item h="1" x="10461"/>
        <item h="1" x="10462"/>
        <item h="1" x="10463"/>
        <item h="1" x="10464"/>
        <item h="1" x="10465"/>
        <item h="1" x="10466"/>
        <item h="1" x="10467"/>
        <item h="1" x="10468"/>
        <item h="1" x="10469"/>
        <item h="1" x="10470"/>
        <item h="1" x="10471"/>
        <item h="1" x="10472"/>
        <item h="1" x="10473"/>
        <item h="1" x="10474"/>
        <item h="1" x="10475"/>
        <item h="1" x="10476"/>
        <item h="1" x="10477"/>
        <item h="1" x="10478"/>
        <item h="1" x="10479"/>
        <item h="1" x="10480"/>
        <item h="1" x="10481"/>
        <item h="1" x="10482"/>
        <item h="1" x="10483"/>
        <item h="1" x="10484"/>
        <item h="1" x="10485"/>
        <item h="1" x="10486"/>
        <item h="1" x="10487"/>
        <item h="1" x="10488"/>
        <item h="1" x="10489"/>
        <item h="1" x="10490"/>
        <item h="1" x="10491"/>
        <item h="1" x="10492"/>
        <item h="1" x="10493"/>
        <item h="1" x="10494"/>
        <item h="1" x="10495"/>
        <item h="1" x="10496"/>
        <item h="1" x="10497"/>
        <item h="1" x="10498"/>
        <item h="1" x="10499"/>
        <item h="1" x="10500"/>
        <item h="1" x="10501"/>
        <item h="1" x="10502"/>
        <item h="1" x="10503"/>
        <item h="1" x="10504"/>
        <item h="1" x="10505"/>
        <item h="1" x="10506"/>
        <item h="1" x="10507"/>
        <item h="1" x="10508"/>
        <item h="1" x="10509"/>
        <item h="1" x="10510"/>
        <item h="1" x="10511"/>
        <item h="1" x="10512"/>
        <item h="1" x="10513"/>
        <item h="1" x="10514"/>
        <item h="1" x="10515"/>
        <item h="1" x="10516"/>
        <item h="1" x="10517"/>
        <item h="1" x="10518"/>
        <item h="1" x="10519"/>
        <item h="1" x="10520"/>
        <item h="1" x="10521"/>
        <item h="1" x="10522"/>
        <item h="1" x="10523"/>
        <item h="1" x="10524"/>
        <item h="1" x="10525"/>
        <item h="1" x="10526"/>
        <item h="1" x="10527"/>
        <item h="1" x="10528"/>
        <item h="1" x="10529"/>
        <item h="1" x="10530"/>
        <item h="1" x="10531"/>
        <item h="1" x="10532"/>
        <item h="1" x="10533"/>
        <item h="1" x="10534"/>
        <item h="1" x="10535"/>
        <item h="1" x="10536"/>
        <item h="1" x="10537"/>
        <item h="1" x="10538"/>
        <item h="1" x="10539"/>
        <item h="1" x="10540"/>
        <item h="1" x="10541"/>
        <item h="1" x="10542"/>
        <item h="1" x="10543"/>
        <item h="1" x="10544"/>
        <item h="1" x="10545"/>
        <item h="1" x="10546"/>
        <item h="1" x="10547"/>
        <item h="1" x="10548"/>
        <item h="1" x="10549"/>
        <item h="1" x="10550"/>
        <item h="1" x="10551"/>
        <item h="1" x="10552"/>
        <item h="1" x="10553"/>
        <item h="1" x="10554"/>
        <item h="1" x="10555"/>
        <item h="1" x="10556"/>
        <item h="1" x="10557"/>
        <item h="1" x="10558"/>
        <item h="1" x="10559"/>
        <item h="1" x="10560"/>
        <item h="1" x="10561"/>
        <item h="1" x="10562"/>
        <item h="1" x="10563"/>
        <item h="1" x="10564"/>
        <item h="1" x="10565"/>
        <item h="1" x="10566"/>
        <item h="1" x="10567"/>
        <item h="1" x="10568"/>
        <item h="1" x="10569"/>
        <item h="1" x="10570"/>
        <item h="1" x="10571"/>
        <item h="1" x="10572"/>
        <item h="1" x="10573"/>
        <item h="1" x="10574"/>
        <item h="1" x="10575"/>
        <item h="1" x="10576"/>
        <item h="1" x="10577"/>
        <item h="1" x="10578"/>
        <item h="1" x="10579"/>
        <item h="1" x="10580"/>
        <item h="1" x="10581"/>
        <item h="1" x="10582"/>
        <item h="1" x="10583"/>
        <item h="1" x="10584"/>
        <item h="1" x="10585"/>
        <item h="1" x="10586"/>
        <item h="1" x="10587"/>
        <item h="1" x="10588"/>
        <item h="1" x="10589"/>
        <item h="1" x="10590"/>
        <item h="1" x="10591"/>
        <item h="1" x="10592"/>
        <item h="1" x="10593"/>
        <item h="1" x="10594"/>
        <item h="1" x="10595"/>
        <item h="1" x="10596"/>
        <item h="1" x="10597"/>
        <item h="1" x="10598"/>
        <item h="1" x="10599"/>
        <item h="1" x="10600"/>
        <item h="1" x="10601"/>
        <item h="1" x="10602"/>
        <item h="1" x="10603"/>
        <item h="1" x="10604"/>
        <item h="1" x="10605"/>
        <item h="1" x="10606"/>
        <item h="1" x="10607"/>
        <item h="1" x="10608"/>
        <item h="1" x="10609"/>
        <item h="1" x="10610"/>
        <item h="1" x="10611"/>
        <item h="1" x="10612"/>
        <item h="1" x="10613"/>
        <item h="1" x="10614"/>
        <item h="1" x="10615"/>
        <item h="1" x="10616"/>
        <item h="1" x="10617"/>
        <item h="1" x="10618"/>
        <item h="1" x="10619"/>
        <item h="1" x="10620"/>
        <item h="1" x="10621"/>
        <item h="1" x="10622"/>
        <item h="1" x="10623"/>
        <item h="1" x="10624"/>
        <item h="1" x="10625"/>
        <item h="1" x="10626"/>
        <item h="1" x="10627"/>
        <item h="1" x="10628"/>
        <item h="1" x="10629"/>
        <item h="1" x="10630"/>
        <item h="1" x="10631"/>
        <item h="1" x="10632"/>
        <item h="1" x="10633"/>
        <item h="1" x="10634"/>
        <item h="1" x="10635"/>
        <item h="1" x="10636"/>
        <item h="1" x="10637"/>
        <item h="1" x="10638"/>
        <item h="1" x="10639"/>
        <item h="1" x="10640"/>
        <item h="1" x="10641"/>
        <item h="1" x="10642"/>
        <item h="1" x="10643"/>
        <item h="1" x="10644"/>
        <item h="1" x="10645"/>
        <item h="1" x="10646"/>
        <item h="1" x="10647"/>
        <item h="1" x="10648"/>
        <item h="1" x="10649"/>
        <item h="1" x="10650"/>
        <item h="1" x="10651"/>
        <item h="1" x="10652"/>
        <item h="1" x="10653"/>
        <item h="1" x="10654"/>
        <item h="1" x="10655"/>
        <item h="1" x="10656"/>
        <item h="1" x="10657"/>
        <item h="1" x="10658"/>
        <item h="1" x="10659"/>
        <item h="1" x="10660"/>
        <item h="1" x="10661"/>
        <item h="1" x="10662"/>
        <item h="1" x="10663"/>
        <item h="1" x="10664"/>
        <item h="1" x="10665"/>
        <item h="1" x="10666"/>
        <item h="1" x="10667"/>
        <item h="1" x="10668"/>
        <item h="1" x="10669"/>
        <item h="1" x="10670"/>
        <item h="1" x="10671"/>
        <item h="1" x="10672"/>
        <item h="1" x="10673"/>
        <item h="1" x="10674"/>
        <item h="1" x="10675"/>
        <item h="1" x="10676"/>
        <item h="1" x="10677"/>
        <item h="1" x="10678"/>
        <item h="1" x="10679"/>
        <item h="1" x="10680"/>
        <item h="1" x="10681"/>
        <item h="1" x="10682"/>
        <item h="1" x="10683"/>
        <item h="1" x="10684"/>
        <item h="1" x="10685"/>
        <item h="1" x="10686"/>
        <item h="1" x="10687"/>
        <item h="1" x="10688"/>
        <item h="1" x="10689"/>
        <item h="1" x="10690"/>
        <item h="1" x="10691"/>
        <item h="1" x="10692"/>
        <item h="1" x="10693"/>
        <item h="1" x="10694"/>
        <item h="1" x="10695"/>
        <item h="1" x="10696"/>
        <item h="1" x="10697"/>
        <item h="1" x="10698"/>
        <item h="1" x="10699"/>
        <item h="1" x="10700"/>
        <item h="1" x="10701"/>
        <item h="1" x="10702"/>
        <item h="1" x="10703"/>
        <item h="1" x="10704"/>
        <item h="1" x="10705"/>
        <item h="1" x="10706"/>
        <item h="1" x="10707"/>
        <item h="1" x="10708"/>
        <item h="1" x="10709"/>
        <item h="1" x="10710"/>
        <item h="1" x="10711"/>
        <item h="1" x="10712"/>
        <item h="1" x="10713"/>
        <item h="1" x="10714"/>
        <item h="1" x="10715"/>
        <item h="1" x="10716"/>
        <item h="1" x="10717"/>
        <item h="1" x="10718"/>
        <item h="1" x="10719"/>
        <item h="1" x="10720"/>
        <item h="1" x="10721"/>
        <item h="1" x="10722"/>
        <item h="1" x="10723"/>
        <item h="1" x="10724"/>
        <item h="1" x="10725"/>
        <item h="1" x="10726"/>
        <item h="1" x="10727"/>
        <item h="1" x="10728"/>
        <item h="1" x="10729"/>
        <item h="1" x="10730"/>
        <item h="1" x="10731"/>
        <item h="1" x="10732"/>
        <item h="1" x="10733"/>
        <item h="1" x="10734"/>
        <item h="1" x="10735"/>
        <item h="1" x="10736"/>
        <item h="1" x="10737"/>
        <item h="1" x="10738"/>
        <item h="1" x="10739"/>
        <item h="1" x="10740"/>
        <item h="1" x="10741"/>
        <item h="1" x="10742"/>
        <item h="1" x="10743"/>
        <item h="1" x="10744"/>
        <item h="1" x="10745"/>
        <item h="1" x="10746"/>
        <item h="1" x="10747"/>
        <item h="1" x="10748"/>
        <item h="1" x="10749"/>
        <item h="1" x="10750"/>
        <item h="1" x="10751"/>
        <item h="1" x="10752"/>
        <item h="1" x="10753"/>
        <item h="1" x="10754"/>
        <item h="1" x="10755"/>
        <item h="1" x="10756"/>
        <item h="1" x="10757"/>
        <item h="1" x="10758"/>
        <item h="1" x="10759"/>
        <item h="1" x="10760"/>
        <item h="1" x="10761"/>
        <item h="1" x="10762"/>
        <item h="1" x="10763"/>
        <item h="1" x="10764"/>
        <item h="1" x="10765"/>
        <item h="1" x="10766"/>
        <item h="1" x="10767"/>
        <item h="1" x="10768"/>
        <item h="1" x="10769"/>
        <item h="1" x="10770"/>
        <item h="1" x="10771"/>
        <item h="1" x="10772"/>
        <item h="1" x="10773"/>
        <item h="1" x="10774"/>
        <item h="1" x="10775"/>
        <item h="1" x="10776"/>
        <item h="1" x="10777"/>
        <item h="1" x="10778"/>
        <item h="1" x="10779"/>
        <item h="1" x="10780"/>
        <item h="1" x="10781"/>
        <item h="1" x="10782"/>
        <item h="1" x="10783"/>
        <item h="1" x="10784"/>
        <item h="1" x="10785"/>
        <item h="1" x="10786"/>
        <item h="1" x="10787"/>
        <item h="1" x="10788"/>
        <item h="1" x="10789"/>
        <item h="1" x="10790"/>
        <item h="1" x="10791"/>
        <item h="1" x="10792"/>
        <item h="1" x="10793"/>
        <item h="1" x="10794"/>
        <item h="1" x="10795"/>
        <item h="1" x="10796"/>
        <item h="1" x="10797"/>
        <item h="1" x="10798"/>
        <item h="1" x="10799"/>
        <item h="1" x="10800"/>
        <item h="1" x="10801"/>
        <item h="1" x="10802"/>
        <item h="1" x="10803"/>
        <item h="1" x="10804"/>
        <item h="1" x="10805"/>
        <item h="1" x="10806"/>
        <item h="1" x="10807"/>
        <item h="1" x="10808"/>
        <item h="1" x="10809"/>
        <item h="1" x="10810"/>
        <item h="1" x="10811"/>
        <item h="1" x="10812"/>
        <item h="1" x="10813"/>
        <item h="1" x="10814"/>
        <item h="1" x="10815"/>
        <item h="1" x="10816"/>
        <item h="1" x="10817"/>
        <item h="1" x="10818"/>
        <item h="1" x="10819"/>
        <item h="1" x="10820"/>
        <item h="1" x="10821"/>
        <item h="1" x="10822"/>
        <item h="1" x="10823"/>
        <item h="1" x="10824"/>
        <item h="1" x="10825"/>
        <item h="1" x="10826"/>
        <item h="1" x="10827"/>
        <item h="1" x="10828"/>
        <item h="1" x="10829"/>
        <item h="1" x="10830"/>
        <item h="1" x="10831"/>
        <item h="1" x="10832"/>
        <item h="1" x="10833"/>
        <item h="1" x="10834"/>
        <item h="1" x="10835"/>
        <item h="1" x="10836"/>
        <item h="1" x="10837"/>
        <item h="1" x="10838"/>
        <item h="1" x="10839"/>
        <item h="1" x="10840"/>
        <item h="1" x="10841"/>
        <item h="1" x="10842"/>
        <item h="1" x="10843"/>
        <item h="1" x="10844"/>
        <item h="1" x="10845"/>
        <item h="1" x="10846"/>
        <item h="1" x="10847"/>
        <item h="1" x="10848"/>
        <item h="1" x="10849"/>
        <item h="1" x="10850"/>
        <item h="1" x="10851"/>
        <item h="1" x="10852"/>
        <item h="1" x="10853"/>
        <item h="1" x="10854"/>
        <item h="1" x="10855"/>
        <item h="1" x="10856"/>
        <item h="1" x="10857"/>
        <item h="1" x="10858"/>
        <item h="1" x="10859"/>
        <item h="1" x="10860"/>
        <item h="1" x="10861"/>
        <item h="1" x="10862"/>
        <item h="1" x="10863"/>
        <item h="1" x="10864"/>
        <item h="1" x="10865"/>
        <item h="1" x="10866"/>
        <item h="1" x="10867"/>
        <item h="1" x="10868"/>
        <item h="1" x="10869"/>
        <item h="1" x="10870"/>
        <item h="1" x="10871"/>
        <item h="1" x="10872"/>
        <item h="1" x="10873"/>
        <item h="1" x="10874"/>
        <item h="1" x="10875"/>
        <item h="1" x="10876"/>
        <item h="1" x="10877"/>
        <item h="1" x="10878"/>
        <item h="1" x="10879"/>
        <item h="1" x="10880"/>
        <item h="1" x="10881"/>
        <item h="1" x="10882"/>
        <item h="1" x="10883"/>
        <item h="1" x="10884"/>
        <item h="1" x="10885"/>
        <item h="1" x="10886"/>
        <item h="1" x="10887"/>
        <item h="1" x="10888"/>
        <item h="1" x="10889"/>
        <item h="1" x="10890"/>
        <item h="1" x="10891"/>
        <item h="1" x="10892"/>
        <item h="1" x="10893"/>
        <item h="1" x="10894"/>
        <item h="1" x="10895"/>
        <item h="1" x="10896"/>
        <item h="1" x="10897"/>
        <item h="1" x="10898"/>
        <item h="1" x="10899"/>
        <item h="1" x="10900"/>
        <item h="1" x="10901"/>
        <item h="1" x="10902"/>
        <item h="1" x="10903"/>
        <item h="1" x="10904"/>
        <item h="1" x="10905"/>
        <item h="1" x="10906"/>
        <item h="1" x="10907"/>
        <item h="1" x="10908"/>
        <item h="1" x="10909"/>
        <item h="1" x="10910"/>
        <item h="1" x="10911"/>
        <item h="1" x="10912"/>
        <item h="1" x="10913"/>
        <item h="1" x="10914"/>
        <item h="1" x="10915"/>
        <item h="1" x="10916"/>
        <item h="1" x="10917"/>
        <item h="1" x="10918"/>
        <item h="1" x="10919"/>
        <item h="1" x="10920"/>
        <item h="1" x="10921"/>
        <item h="1" x="10922"/>
        <item h="1" x="10923"/>
        <item h="1" x="10924"/>
        <item h="1" x="10925"/>
        <item h="1" x="10926"/>
        <item h="1" x="10927"/>
        <item h="1" x="10928"/>
        <item h="1" x="10929"/>
        <item h="1" x="10930"/>
        <item h="1" x="10931"/>
        <item h="1" x="10932"/>
        <item h="1" x="10933"/>
        <item h="1" x="10934"/>
        <item h="1" x="10935"/>
        <item h="1" x="10936"/>
        <item h="1" x="10937"/>
        <item h="1" x="10938"/>
        <item h="1" x="10939"/>
        <item h="1" x="10940"/>
        <item h="1" x="10941"/>
        <item h="1" x="10942"/>
        <item h="1" x="10943"/>
        <item h="1" x="10944"/>
        <item h="1" x="10945"/>
        <item h="1" x="10946"/>
        <item h="1" x="10947"/>
        <item h="1" x="10948"/>
        <item h="1" x="10949"/>
        <item h="1" x="10950"/>
        <item h="1" x="10951"/>
        <item h="1" x="10952"/>
        <item h="1" x="10953"/>
        <item h="1" x="10954"/>
        <item h="1" x="10955"/>
        <item h="1" x="10956"/>
        <item h="1" x="10957"/>
        <item h="1" x="10958"/>
        <item h="1" x="10959"/>
        <item h="1" x="10960"/>
        <item h="1" x="10961"/>
        <item h="1" x="10962"/>
        <item h="1" x="10963"/>
        <item h="1" x="10964"/>
        <item h="1" x="10965"/>
        <item h="1" x="10966"/>
        <item h="1" x="10967"/>
        <item h="1" x="10968"/>
        <item h="1" x="10969"/>
        <item h="1" x="10970"/>
        <item h="1" x="10971"/>
        <item h="1" x="10972"/>
        <item h="1" x="10973"/>
        <item h="1" x="10974"/>
        <item h="1" x="10975"/>
        <item h="1" x="10976"/>
        <item h="1" x="10977"/>
        <item h="1" x="10978"/>
        <item h="1" x="10979"/>
        <item h="1" x="10980"/>
        <item h="1" x="10981"/>
        <item h="1" x="10982"/>
        <item h="1" x="10983"/>
        <item h="1" x="10984"/>
        <item h="1" x="10985"/>
        <item h="1" x="10986"/>
        <item h="1" x="10987"/>
        <item h="1" x="10988"/>
        <item h="1" x="10989"/>
        <item h="1" x="10990"/>
        <item h="1" x="10991"/>
        <item h="1" x="10992"/>
        <item h="1" x="10993"/>
        <item h="1" x="10994"/>
        <item h="1" x="10995"/>
        <item h="1" x="10996"/>
        <item h="1" x="10997"/>
        <item h="1" x="10998"/>
        <item h="1" x="10999"/>
        <item h="1" x="11000"/>
        <item h="1" x="11001"/>
        <item h="1" x="11002"/>
        <item h="1" x="11003"/>
        <item h="1" x="11004"/>
        <item h="1" x="11005"/>
        <item h="1" x="11006"/>
        <item h="1" x="11007"/>
        <item h="1" x="11008"/>
        <item h="1" x="11009"/>
        <item h="1" x="11010"/>
        <item h="1" x="11011"/>
        <item h="1" x="11012"/>
        <item h="1" x="11013"/>
        <item h="1" x="11014"/>
        <item h="1" x="11015"/>
        <item h="1" x="11016"/>
        <item h="1" x="11017"/>
        <item h="1" x="11018"/>
        <item h="1" x="11019"/>
        <item h="1" x="11020"/>
        <item h="1" x="11021"/>
        <item h="1" x="11022"/>
        <item h="1" x="11023"/>
        <item h="1" x="11024"/>
        <item h="1" x="11025"/>
        <item h="1" x="11026"/>
        <item h="1" x="11027"/>
        <item h="1" x="11028"/>
        <item h="1" x="11029"/>
        <item h="1" x="11030"/>
        <item h="1" x="11031"/>
        <item h="1" x="11032"/>
        <item h="1" x="11033"/>
        <item h="1" x="11034"/>
        <item h="1" x="11035"/>
        <item h="1" x="11036"/>
        <item h="1" x="11037"/>
        <item h="1" x="11038"/>
        <item h="1" x="11039"/>
        <item h="1" x="11040"/>
        <item h="1" x="11041"/>
        <item h="1" x="11042"/>
        <item h="1" x="11043"/>
        <item h="1" x="11044"/>
        <item h="1" x="11045"/>
        <item h="1" x="11046"/>
        <item h="1" x="11047"/>
        <item h="1" x="11048"/>
        <item h="1" x="11049"/>
        <item h="1" x="11050"/>
        <item h="1" x="11051"/>
        <item h="1" x="11052"/>
        <item h="1" x="11053"/>
        <item h="1" x="11054"/>
        <item h="1" x="11055"/>
        <item h="1" x="11056"/>
        <item h="1" x="11057"/>
        <item h="1" x="11058"/>
        <item h="1" x="11059"/>
        <item h="1" x="11060"/>
        <item h="1" x="11061"/>
        <item h="1" x="11062"/>
        <item h="1" x="11063"/>
        <item h="1" x="11064"/>
        <item h="1" x="11065"/>
        <item h="1" x="11066"/>
        <item h="1" x="11067"/>
        <item h="1" x="11068"/>
        <item h="1" x="11069"/>
        <item h="1" x="11070"/>
        <item h="1" x="11071"/>
        <item h="1" x="11072"/>
        <item h="1" x="11073"/>
        <item h="1" x="11074"/>
        <item h="1" x="11075"/>
        <item h="1" x="11076"/>
        <item h="1" x="11077"/>
        <item h="1" x="11078"/>
        <item h="1" x="11079"/>
        <item h="1" x="11080"/>
        <item h="1" x="11081"/>
        <item h="1" x="11082"/>
        <item h="1" x="11083"/>
        <item h="1" x="11084"/>
        <item h="1" x="11085"/>
        <item h="1" x="11086"/>
        <item h="1" x="11087"/>
        <item h="1" x="11088"/>
        <item h="1" x="11089"/>
        <item h="1" x="11090"/>
        <item h="1" x="11091"/>
        <item h="1" x="11092"/>
        <item h="1" x="11093"/>
        <item h="1" x="11094"/>
        <item h="1" x="11095"/>
        <item h="1" x="11096"/>
        <item h="1" x="11097"/>
        <item h="1" x="11098"/>
        <item h="1" x="11099"/>
        <item h="1" x="11100"/>
        <item h="1" x="11101"/>
        <item h="1" x="11102"/>
        <item h="1" x="11103"/>
        <item h="1" x="11104"/>
        <item h="1" x="11105"/>
        <item h="1" x="11106"/>
        <item h="1" x="11107"/>
        <item h="1" x="11108"/>
        <item h="1" x="11109"/>
        <item h="1" x="11110"/>
        <item h="1" x="11111"/>
        <item h="1" x="11112"/>
        <item h="1" x="11113"/>
        <item h="1" x="11114"/>
        <item h="1" x="11115"/>
        <item h="1" x="11116"/>
        <item h="1" x="11117"/>
        <item h="1" x="11118"/>
        <item h="1" x="11119"/>
        <item h="1" x="11120"/>
        <item h="1" x="11121"/>
        <item h="1" x="11122"/>
        <item h="1" x="11123"/>
        <item h="1" x="11124"/>
        <item h="1" x="11125"/>
        <item h="1" x="11126"/>
        <item h="1" x="11127"/>
        <item h="1" x="11128"/>
        <item h="1" x="11129"/>
        <item h="1" x="11130"/>
        <item h="1" x="11131"/>
        <item h="1" x="11132"/>
        <item h="1" x="11133"/>
        <item h="1" x="11134"/>
        <item h="1" x="11135"/>
        <item h="1" x="11136"/>
        <item h="1" x="11137"/>
        <item h="1" x="11138"/>
        <item h="1" x="11139"/>
        <item h="1" x="11140"/>
        <item h="1" x="11141"/>
        <item h="1" x="11142"/>
        <item h="1" x="11143"/>
        <item h="1" x="11144"/>
        <item h="1" x="11145"/>
        <item h="1" x="11146"/>
        <item h="1" x="11147"/>
        <item h="1" x="11148"/>
        <item h="1" x="11149"/>
        <item h="1" x="11150"/>
        <item h="1" x="11151"/>
        <item h="1" x="11152"/>
        <item h="1" x="11153"/>
        <item h="1" x="11154"/>
        <item h="1" x="11155"/>
        <item h="1" x="11156"/>
        <item h="1" x="11157"/>
        <item h="1" x="11158"/>
        <item h="1" x="11159"/>
        <item h="1" x="11160"/>
        <item h="1" x="11161"/>
        <item h="1" x="11162"/>
        <item h="1" x="11163"/>
        <item h="1" x="11164"/>
        <item h="1" x="11165"/>
        <item h="1" x="11166"/>
        <item h="1" x="11167"/>
        <item h="1" x="11168"/>
        <item h="1" x="11169"/>
        <item h="1" x="11170"/>
        <item h="1" x="11171"/>
        <item h="1" x="11172"/>
        <item h="1" x="11173"/>
        <item h="1" x="11174"/>
        <item h="1" x="11175"/>
        <item h="1" x="11176"/>
        <item h="1" x="11177"/>
        <item h="1" x="11178"/>
        <item h="1" x="11179"/>
        <item h="1" x="11180"/>
        <item h="1" x="11181"/>
        <item h="1" x="11182"/>
        <item h="1" x="11183"/>
        <item h="1" x="11184"/>
        <item h="1" x="11185"/>
        <item h="1" x="11186"/>
        <item h="1" x="11187"/>
        <item h="1" x="11188"/>
        <item h="1" x="11189"/>
        <item h="1" x="11190"/>
        <item h="1" x="11191"/>
        <item h="1" x="11192"/>
        <item h="1" x="11193"/>
        <item h="1" x="11194"/>
        <item h="1" x="11195"/>
        <item h="1" x="11196"/>
        <item h="1" x="11197"/>
        <item h="1" x="11198"/>
        <item h="1" x="11199"/>
        <item h="1" x="11200"/>
        <item h="1" x="11201"/>
        <item h="1" x="11202"/>
        <item h="1" x="11203"/>
        <item h="1" x="11204"/>
        <item h="1" x="11205"/>
        <item h="1" x="11206"/>
        <item h="1" x="11207"/>
        <item h="1" x="11208"/>
        <item h="1" x="11209"/>
        <item h="1" x="11210"/>
        <item h="1" x="11211"/>
        <item h="1" x="11212"/>
        <item h="1" x="11213"/>
        <item h="1" x="11214"/>
        <item h="1" x="11215"/>
        <item h="1" x="11216"/>
        <item h="1" x="11217"/>
        <item h="1" x="11218"/>
        <item h="1" x="11219"/>
        <item h="1" x="11220"/>
        <item h="1" x="11221"/>
        <item h="1" x="11222"/>
        <item h="1" x="11223"/>
        <item h="1" x="11224"/>
        <item h="1" x="11225"/>
        <item h="1" x="11226"/>
        <item h="1" x="11227"/>
        <item h="1" x="11228"/>
        <item h="1" x="11229"/>
        <item h="1" x="11230"/>
        <item h="1" x="11231"/>
        <item h="1" x="11232"/>
        <item h="1" x="11233"/>
        <item h="1" x="11234"/>
        <item h="1" x="11235"/>
        <item h="1" x="11236"/>
        <item h="1" x="11237"/>
        <item h="1" x="11238"/>
        <item h="1" x="11239"/>
        <item h="1" x="11240"/>
        <item h="1" x="11241"/>
        <item h="1" x="11242"/>
        <item h="1" x="11243"/>
        <item h="1" x="11244"/>
        <item h="1" x="11245"/>
        <item h="1" x="11246"/>
        <item h="1" x="11247"/>
        <item h="1" x="11248"/>
        <item h="1" x="11249"/>
        <item h="1" x="11250"/>
        <item h="1" x="11251"/>
        <item h="1" x="11252"/>
        <item h="1" x="11253"/>
        <item h="1" x="11254"/>
        <item h="1" x="11255"/>
        <item h="1" x="11256"/>
        <item h="1" x="11257"/>
        <item h="1" x="11258"/>
        <item h="1" x="11259"/>
        <item h="1" x="11260"/>
        <item h="1" x="11261"/>
        <item h="1" x="11262"/>
        <item h="1" x="11263"/>
        <item h="1" x="11264"/>
        <item h="1" x="11265"/>
        <item h="1" x="11266"/>
        <item h="1" x="11267"/>
        <item h="1" x="11268"/>
        <item h="1" x="11269"/>
        <item h="1" x="11270"/>
        <item h="1" x="11271"/>
        <item h="1" x="11272"/>
        <item h="1" x="11273"/>
        <item h="1" x="11274"/>
        <item h="1" x="11275"/>
        <item h="1" x="11276"/>
        <item h="1" x="11277"/>
        <item h="1" x="11278"/>
        <item h="1" x="11279"/>
        <item h="1" x="11280"/>
        <item h="1" x="11281"/>
        <item h="1" x="11282"/>
        <item h="1" x="11283"/>
        <item h="1" x="11284"/>
        <item h="1" x="11285"/>
        <item h="1" x="11286"/>
        <item h="1" x="11287"/>
        <item h="1" x="11288"/>
        <item h="1" x="11289"/>
        <item h="1" x="11290"/>
        <item h="1" x="11291"/>
        <item h="1" x="11292"/>
        <item h="1" x="11293"/>
        <item h="1" x="11294"/>
        <item h="1" x="11295"/>
        <item h="1" x="11296"/>
        <item h="1" x="11297"/>
        <item h="1" x="11298"/>
        <item h="1" x="11299"/>
        <item h="1" x="11300"/>
        <item h="1" x="11301"/>
        <item h="1" x="11302"/>
        <item h="1" x="11303"/>
        <item h="1" x="11304"/>
        <item h="1" x="11305"/>
        <item h="1" x="11306"/>
        <item h="1" x="11307"/>
        <item h="1" x="11308"/>
        <item h="1" x="11309"/>
        <item h="1" x="11310"/>
        <item h="1" x="11311"/>
        <item h="1" x="11312"/>
        <item h="1" x="11313"/>
        <item h="1" x="11314"/>
        <item h="1" x="11315"/>
        <item h="1" x="11316"/>
        <item h="1" x="11317"/>
        <item h="1" x="11318"/>
        <item h="1" x="11319"/>
        <item h="1" x="11320"/>
        <item h="1" x="11321"/>
        <item h="1" x="11322"/>
        <item h="1" x="11323"/>
        <item h="1" x="11324"/>
        <item h="1" x="11325"/>
        <item h="1" x="11326"/>
        <item h="1" x="11327"/>
        <item h="1" x="11328"/>
        <item h="1" x="11329"/>
        <item h="1" x="11330"/>
        <item h="1" x="11331"/>
        <item h="1" x="11332"/>
        <item h="1" x="11333"/>
        <item h="1" x="11334"/>
        <item h="1" x="11335"/>
        <item h="1" x="11336"/>
        <item h="1" x="11337"/>
        <item h="1" x="11338"/>
        <item h="1" x="11339"/>
        <item h="1" x="11340"/>
        <item h="1" x="11341"/>
        <item h="1" x="11342"/>
        <item h="1" x="11343"/>
        <item h="1" x="11344"/>
        <item h="1" x="11345"/>
        <item h="1" x="11346"/>
        <item h="1" x="11347"/>
        <item h="1" x="11348"/>
        <item h="1" x="11349"/>
        <item h="1" x="11350"/>
        <item h="1" x="11351"/>
        <item h="1" x="11352"/>
        <item h="1" x="11353"/>
        <item h="1" x="11354"/>
        <item h="1" x="11355"/>
        <item h="1" x="11356"/>
        <item h="1" x="11357"/>
        <item h="1" x="11358"/>
        <item h="1" x="11359"/>
        <item h="1" x="11360"/>
        <item h="1" x="11361"/>
        <item h="1" x="11362"/>
        <item h="1" x="11363"/>
        <item h="1" x="11364"/>
        <item h="1" x="11365"/>
        <item h="1" x="11366"/>
        <item h="1" x="11367"/>
        <item h="1" x="11368"/>
        <item h="1" x="11369"/>
        <item h="1" x="11370"/>
        <item h="1" x="11371"/>
        <item h="1" x="11372"/>
        <item h="1" x="11373"/>
        <item h="1" x="11374"/>
        <item h="1" x="11375"/>
        <item h="1" x="11376"/>
        <item h="1" x="11377"/>
        <item h="1" x="11378"/>
        <item h="1" x="11379"/>
        <item h="1" x="11380"/>
        <item h="1" x="11381"/>
        <item h="1" x="11382"/>
        <item h="1" x="11383"/>
        <item h="1" x="11384"/>
        <item h="1" x="11385"/>
        <item h="1" x="11386"/>
        <item h="1" x="11387"/>
        <item h="1" x="11388"/>
        <item h="1" x="11389"/>
        <item h="1" x="11390"/>
        <item h="1" x="11391"/>
        <item h="1" x="11392"/>
        <item h="1" x="11393"/>
        <item h="1" x="11394"/>
        <item h="1" x="11395"/>
        <item h="1" x="11396"/>
        <item h="1" x="11397"/>
        <item h="1" x="11398"/>
        <item h="1" x="11399"/>
        <item h="1" x="11400"/>
        <item h="1" x="11401"/>
        <item h="1" x="11402"/>
        <item h="1" x="11403"/>
        <item h="1" x="11404"/>
        <item h="1" x="11405"/>
        <item h="1" x="11406"/>
        <item h="1" x="11407"/>
        <item h="1" x="11408"/>
        <item h="1" x="11409"/>
        <item h="1" x="11410"/>
        <item h="1" x="11411"/>
        <item h="1" x="11412"/>
        <item h="1" x="11413"/>
        <item h="1" x="11414"/>
        <item h="1" x="11415"/>
        <item h="1" x="11416"/>
        <item h="1" x="11417"/>
        <item h="1" x="11418"/>
        <item h="1" x="11419"/>
        <item h="1" x="11420"/>
        <item h="1" x="11421"/>
        <item h="1" x="11422"/>
        <item h="1" x="11423"/>
        <item h="1" x="11424"/>
        <item h="1" x="11425"/>
        <item h="1" x="11426"/>
        <item h="1" x="11427"/>
        <item h="1" x="11428"/>
        <item h="1" x="11429"/>
        <item h="1" x="11430"/>
        <item h="1" x="11431"/>
        <item h="1" x="11432"/>
        <item h="1" x="11433"/>
        <item h="1" x="11434"/>
        <item h="1" x="11435"/>
        <item h="1" x="11436"/>
        <item h="1" x="11437"/>
        <item h="1" x="11438"/>
        <item h="1" x="11439"/>
        <item h="1" x="11440"/>
        <item h="1" x="11441"/>
        <item h="1" x="11442"/>
        <item h="1" x="11443"/>
        <item h="1" x="11444"/>
        <item h="1" x="11445"/>
        <item h="1" x="11446"/>
        <item h="1" x="11447"/>
        <item h="1" x="11448"/>
        <item h="1" x="11449"/>
        <item h="1" x="11450"/>
        <item h="1" x="11451"/>
        <item h="1" x="11452"/>
        <item h="1" x="11453"/>
        <item h="1" x="11454"/>
        <item h="1" x="11455"/>
        <item h="1" x="11456"/>
        <item h="1" x="11457"/>
        <item h="1" x="11458"/>
        <item h="1" x="11459"/>
        <item h="1" x="11460"/>
        <item h="1" x="11461"/>
        <item h="1" x="11462"/>
        <item h="1" x="11463"/>
        <item h="1" x="11464"/>
        <item h="1" x="11465"/>
        <item h="1" x="11466"/>
        <item h="1" x="11467"/>
        <item h="1" x="11468"/>
        <item h="1" x="11469"/>
        <item h="1" x="11470"/>
        <item h="1" x="11471"/>
        <item h="1" x="11472"/>
        <item h="1" x="11473"/>
        <item h="1" x="11474"/>
        <item h="1" x="11475"/>
        <item h="1" x="11476"/>
        <item h="1" x="11477"/>
        <item h="1" x="11478"/>
        <item h="1" x="11479"/>
        <item h="1" x="11480"/>
        <item h="1" x="11481"/>
        <item h="1" x="11482"/>
        <item h="1" x="11483"/>
        <item h="1" x="11484"/>
        <item h="1" x="11485"/>
        <item h="1" x="11486"/>
        <item h="1" x="11487"/>
        <item h="1" x="11488"/>
        <item h="1" x="11489"/>
        <item h="1" x="11490"/>
        <item h="1" x="11491"/>
        <item h="1" x="11492"/>
        <item h="1" x="11493"/>
        <item h="1" x="11494"/>
        <item h="1" x="11495"/>
        <item h="1" x="11496"/>
        <item h="1" x="11497"/>
        <item h="1" x="11498"/>
        <item h="1" x="11499"/>
        <item h="1" x="11500"/>
        <item h="1" x="11501"/>
        <item h="1" x="11502"/>
        <item h="1" x="11503"/>
        <item h="1" x="11504"/>
        <item h="1" x="11505"/>
        <item h="1" x="11506"/>
        <item h="1" x="11507"/>
        <item h="1" x="11508"/>
        <item h="1" x="11509"/>
        <item h="1" x="11510"/>
        <item h="1" x="11511"/>
        <item h="1" x="11512"/>
        <item h="1" x="11513"/>
        <item h="1" x="11514"/>
        <item h="1" x="11515"/>
        <item h="1" x="11516"/>
        <item h="1" x="11517"/>
        <item h="1" x="11518"/>
        <item h="1" x="11519"/>
        <item h="1" x="11520"/>
        <item h="1" x="11521"/>
        <item h="1" x="11522"/>
        <item h="1" x="11523"/>
        <item h="1" x="11524"/>
        <item h="1" x="11525"/>
        <item h="1" x="11526"/>
        <item h="1" x="11527"/>
        <item h="1" x="11528"/>
        <item h="1" x="11529"/>
        <item h="1" x="11530"/>
        <item h="1" x="11531"/>
        <item h="1" x="11532"/>
        <item h="1" x="11533"/>
        <item h="1" x="11534"/>
        <item h="1" x="11535"/>
        <item h="1" x="11536"/>
        <item h="1" x="11537"/>
        <item h="1" x="11538"/>
        <item h="1" x="11539"/>
        <item h="1" x="11540"/>
        <item h="1" x="11541"/>
        <item h="1" x="11542"/>
        <item h="1" x="11543"/>
        <item h="1" x="11544"/>
        <item h="1" x="11545"/>
        <item h="1" x="11546"/>
        <item h="1" x="11547"/>
        <item h="1" x="11548"/>
        <item h="1" x="11549"/>
        <item h="1" x="11550"/>
        <item h="1" x="11551"/>
        <item h="1" x="11552"/>
        <item h="1" x="11553"/>
        <item h="1" x="11554"/>
        <item h="1" x="11555"/>
        <item h="1" x="11556"/>
        <item h="1" x="11557"/>
        <item h="1" x="11558"/>
        <item h="1" x="11559"/>
        <item h="1" x="11560"/>
        <item h="1" x="11561"/>
        <item h="1" x="11562"/>
        <item h="1" x="11563"/>
        <item h="1" x="11564"/>
        <item h="1" x="11565"/>
        <item h="1" x="11566"/>
        <item h="1" x="11567"/>
        <item h="1" x="11568"/>
        <item h="1" x="11569"/>
        <item h="1" x="11570"/>
        <item h="1" x="11571"/>
        <item h="1" x="11572"/>
        <item h="1" x="11573"/>
        <item h="1" x="11574"/>
        <item h="1" x="11575"/>
        <item h="1" x="11576"/>
        <item h="1" x="11577"/>
        <item h="1" x="11578"/>
        <item h="1" x="11579"/>
        <item h="1" x="11580"/>
        <item h="1" x="11581"/>
        <item h="1" x="11582"/>
        <item h="1" x="11583"/>
        <item h="1" x="11584"/>
        <item h="1" x="11585"/>
        <item h="1" x="11586"/>
        <item h="1" x="11587"/>
        <item h="1" x="11588"/>
        <item h="1" x="11589"/>
        <item h="1" x="11590"/>
        <item h="1" x="11591"/>
        <item h="1" x="11592"/>
        <item h="1" x="11593"/>
        <item h="1" x="11594"/>
        <item h="1" x="11595"/>
        <item h="1" x="11596"/>
        <item h="1" x="11597"/>
        <item h="1" x="11598"/>
        <item h="1" x="11599"/>
        <item h="1" x="11600"/>
        <item h="1" x="11601"/>
        <item h="1" x="11602"/>
        <item h="1" x="11603"/>
        <item h="1" x="11604"/>
        <item h="1" x="11605"/>
        <item h="1" x="11606"/>
        <item h="1" x="11607"/>
        <item h="1" x="11608"/>
        <item h="1" x="11609"/>
        <item h="1" x="11610"/>
        <item h="1" x="11611"/>
        <item h="1" x="11612"/>
        <item h="1" x="11613"/>
        <item h="1" x="11614"/>
        <item h="1" x="11615"/>
        <item h="1" x="11616"/>
        <item h="1" x="11617"/>
        <item h="1" x="11618"/>
        <item h="1" x="11619"/>
        <item h="1" x="11620"/>
        <item h="1" x="11621"/>
        <item h="1" x="11622"/>
        <item h="1" x="11623"/>
        <item h="1" x="11624"/>
        <item h="1" x="11625"/>
        <item h="1" x="11626"/>
        <item h="1" x="11627"/>
        <item h="1" x="11628"/>
        <item h="1" x="11629"/>
        <item h="1" x="11630"/>
        <item h="1" x="11631"/>
        <item h="1" x="11632"/>
        <item h="1" x="11633"/>
        <item h="1" x="11634"/>
        <item h="1" x="11635"/>
        <item h="1" x="11636"/>
        <item h="1" x="11637"/>
        <item h="1" x="11638"/>
        <item h="1" x="11639"/>
        <item h="1" x="11640"/>
        <item h="1" x="11641"/>
        <item h="1" x="11642"/>
        <item h="1" x="11643"/>
        <item h="1" x="11644"/>
        <item h="1" x="11645"/>
        <item h="1" x="11646"/>
        <item h="1" x="11647"/>
        <item h="1" x="11648"/>
        <item h="1" x="11649"/>
        <item h="1" x="11650"/>
        <item h="1" x="11651"/>
        <item h="1" x="11652"/>
        <item h="1" x="11653"/>
        <item h="1" x="11654"/>
        <item h="1" x="11655"/>
        <item h="1" x="11656"/>
        <item h="1" x="11657"/>
        <item h="1" x="11658"/>
        <item h="1" x="11659"/>
        <item h="1" x="11660"/>
        <item h="1" x="11661"/>
        <item h="1" x="11662"/>
        <item h="1" x="11663"/>
        <item h="1" x="11664"/>
        <item h="1" x="11665"/>
        <item h="1" x="11666"/>
        <item h="1" x="11667"/>
        <item h="1" x="11668"/>
        <item h="1" x="11669"/>
        <item h="1" x="11670"/>
        <item h="1" x="11671"/>
        <item h="1" x="11672"/>
        <item h="1" x="11673"/>
        <item h="1" x="11674"/>
        <item h="1" x="11675"/>
        <item h="1" x="11676"/>
        <item h="1" x="11677"/>
        <item h="1" x="11678"/>
        <item h="1" x="11679"/>
        <item h="1" x="11680"/>
        <item h="1" x="11681"/>
        <item h="1" x="11682"/>
        <item h="1" x="11683"/>
        <item h="1" x="11684"/>
        <item h="1" x="11685"/>
        <item h="1" x="11686"/>
        <item h="1" x="11687"/>
        <item h="1" x="11688"/>
        <item h="1" x="11689"/>
        <item h="1" x="11690"/>
        <item h="1" x="11691"/>
        <item h="1" x="11692"/>
        <item h="1" x="11693"/>
        <item h="1" x="11694"/>
        <item h="1" x="11695"/>
        <item h="1" x="11696"/>
        <item h="1" x="11697"/>
        <item h="1" x="11698"/>
        <item h="1" x="11699"/>
        <item h="1" x="11700"/>
        <item h="1" x="11701"/>
        <item h="1" x="11702"/>
        <item h="1" x="11703"/>
        <item h="1" x="11704"/>
        <item h="1" x="11705"/>
        <item h="1" x="11706"/>
        <item h="1" x="11707"/>
        <item h="1" x="11708"/>
        <item h="1" x="11709"/>
        <item h="1" x="11710"/>
        <item h="1" x="11711"/>
        <item h="1" x="11712"/>
        <item h="1" x="11713"/>
        <item h="1" x="11714"/>
        <item h="1" x="11715"/>
        <item h="1" x="11716"/>
        <item h="1" x="11717"/>
        <item h="1" x="11718"/>
        <item h="1" x="11719"/>
        <item h="1" x="11720"/>
        <item h="1" x="11721"/>
        <item h="1" x="11722"/>
        <item h="1" x="11723"/>
        <item h="1" x="11724"/>
        <item h="1" x="11725"/>
        <item h="1" x="11726"/>
        <item h="1" x="11727"/>
        <item h="1" x="11728"/>
        <item h="1" x="11729"/>
        <item h="1" x="11730"/>
        <item h="1" x="11731"/>
        <item h="1" x="11732"/>
        <item h="1" x="11733"/>
        <item h="1" x="11734"/>
        <item h="1" x="11735"/>
        <item h="1" x="11736"/>
        <item h="1" x="11737"/>
        <item h="1" x="11738"/>
        <item h="1" x="11739"/>
        <item h="1" x="11740"/>
        <item h="1" x="11741"/>
        <item h="1" x="11742"/>
        <item h="1" x="11743"/>
        <item h="1" x="11744"/>
        <item h="1" x="11745"/>
        <item h="1" x="11746"/>
        <item h="1" x="11747"/>
        <item h="1" x="11748"/>
        <item h="1" x="11749"/>
        <item h="1" x="11750"/>
        <item h="1" x="11751"/>
        <item h="1" x="11752"/>
        <item h="1" x="11753"/>
        <item h="1" x="11754"/>
        <item h="1" x="11755"/>
        <item h="1" x="11756"/>
        <item h="1" x="11757"/>
        <item h="1" x="11758"/>
        <item h="1" x="11759"/>
        <item h="1" x="11760"/>
        <item h="1" x="11761"/>
        <item h="1" x="11762"/>
        <item h="1" x="11763"/>
        <item h="1" x="11764"/>
        <item h="1" x="11765"/>
        <item h="1" x="11766"/>
        <item h="1" x="11767"/>
        <item h="1" x="11768"/>
        <item h="1" x="11769"/>
        <item h="1" x="11770"/>
        <item h="1" x="11771"/>
        <item h="1" x="11772"/>
        <item h="1" x="11773"/>
        <item h="1" x="11774"/>
        <item h="1" x="11775"/>
        <item h="1" x="11776"/>
        <item h="1" x="11777"/>
        <item h="1" x="11778"/>
        <item h="1" x="11779"/>
        <item h="1" x="11780"/>
        <item h="1" x="11781"/>
        <item h="1" x="11782"/>
        <item h="1" x="11783"/>
        <item h="1" x="11784"/>
        <item h="1" x="11785"/>
        <item h="1" x="11786"/>
        <item h="1" x="11787"/>
        <item h="1" x="11788"/>
        <item h="1" x="11789"/>
        <item h="1" x="11790"/>
        <item h="1" x="11791"/>
        <item h="1" x="11792"/>
        <item h="1" x="11793"/>
        <item h="1" x="11794"/>
        <item h="1" x="11795"/>
        <item h="1" x="11796"/>
        <item h="1" x="11797"/>
        <item h="1" x="11798"/>
        <item h="1" x="11799"/>
        <item h="1" x="11800"/>
        <item h="1" x="11801"/>
        <item h="1" x="11802"/>
        <item h="1" x="11803"/>
        <item h="1" x="11804"/>
        <item h="1" x="11805"/>
        <item h="1" x="11806"/>
        <item h="1" x="11807"/>
        <item h="1" x="11808"/>
        <item h="1" x="11809"/>
        <item h="1" x="11810"/>
        <item h="1" x="11811"/>
        <item h="1" x="11812"/>
        <item h="1" x="11813"/>
        <item h="1" x="11814"/>
        <item h="1" x="11815"/>
        <item h="1" x="11816"/>
        <item h="1" x="11817"/>
        <item h="1" x="11818"/>
        <item h="1" x="11819"/>
        <item h="1" x="11820"/>
        <item h="1" x="11821"/>
        <item h="1" x="11822"/>
        <item h="1" x="11823"/>
        <item h="1" x="11824"/>
        <item h="1" x="11825"/>
        <item h="1" x="11826"/>
        <item h="1" x="11827"/>
        <item h="1" x="11828"/>
        <item h="1" x="11829"/>
        <item h="1" x="11830"/>
        <item h="1" x="11831"/>
        <item h="1" x="11832"/>
        <item h="1" x="11833"/>
        <item h="1" x="11834"/>
        <item h="1" x="11835"/>
        <item h="1" x="11836"/>
        <item h="1" x="11837"/>
        <item h="1" x="11838"/>
        <item h="1" x="11839"/>
        <item h="1" x="11840"/>
        <item h="1" x="11841"/>
        <item h="1" x="11842"/>
        <item h="1" x="11843"/>
        <item h="1" x="11844"/>
        <item h="1" x="11845"/>
        <item h="1" x="11846"/>
        <item h="1" x="11847"/>
        <item h="1" x="11848"/>
        <item h="1" x="11849"/>
        <item h="1" x="11850"/>
        <item h="1" x="11851"/>
        <item h="1" x="11852"/>
        <item h="1" x="11853"/>
        <item h="1" x="11854"/>
        <item h="1" x="11855"/>
        <item h="1" x="11856"/>
        <item h="1" x="11857"/>
        <item h="1" x="11858"/>
        <item h="1" x="11859"/>
        <item h="1" x="11860"/>
        <item h="1" x="11861"/>
        <item h="1" x="11862"/>
        <item h="1" x="11863"/>
        <item h="1" x="11864"/>
        <item h="1" x="11865"/>
        <item h="1" x="11866"/>
        <item h="1" x="11867"/>
        <item h="1" x="11868"/>
        <item h="1" x="11869"/>
        <item h="1" x="11870"/>
        <item h="1" x="11871"/>
        <item h="1" x="11872"/>
        <item h="1" x="11873"/>
        <item h="1" x="11874"/>
        <item h="1" x="11875"/>
        <item h="1" x="11876"/>
        <item h="1" x="11877"/>
        <item h="1" x="11878"/>
        <item h="1" x="11879"/>
        <item h="1" x="11880"/>
        <item h="1" x="11881"/>
        <item h="1" x="11882"/>
        <item h="1" x="11883"/>
        <item h="1" x="11884"/>
        <item h="1" x="11885"/>
        <item h="1" x="11886"/>
        <item h="1" x="11887"/>
        <item h="1" x="11888"/>
        <item h="1" x="11889"/>
        <item h="1" x="11890"/>
        <item h="1" x="11891"/>
        <item h="1" x="11892"/>
        <item h="1" x="11893"/>
        <item h="1" x="11894"/>
        <item h="1" x="11895"/>
        <item h="1" x="11896"/>
        <item h="1" x="11897"/>
        <item h="1" x="11898"/>
        <item h="1" x="11899"/>
        <item h="1" x="11900"/>
        <item h="1" x="11901"/>
        <item h="1" x="11902"/>
        <item h="1" x="11903"/>
        <item h="1" x="11904"/>
        <item h="1" x="11905"/>
        <item h="1" x="11906"/>
        <item h="1" x="11907"/>
        <item h="1" x="11908"/>
        <item h="1" x="11909"/>
        <item h="1" x="11910"/>
        <item h="1" x="11911"/>
        <item h="1" x="11912"/>
        <item h="1" x="11913"/>
        <item h="1" x="11914"/>
        <item h="1" x="11915"/>
        <item h="1" x="11916"/>
        <item h="1" x="11917"/>
        <item h="1" x="11918"/>
        <item h="1" x="11919"/>
        <item h="1" x="11920"/>
        <item h="1" x="11921"/>
        <item h="1" x="11922"/>
        <item h="1" x="11923"/>
        <item h="1" x="11924"/>
        <item h="1" x="11925"/>
        <item h="1" x="11926"/>
        <item h="1" x="11927"/>
        <item h="1" x="11928"/>
        <item h="1" x="11929"/>
        <item h="1" x="11930"/>
        <item h="1" x="11931"/>
        <item h="1" x="11932"/>
        <item h="1" x="11933"/>
        <item h="1" x="11934"/>
        <item h="1" x="11935"/>
        <item h="1" x="11936"/>
        <item h="1" x="11937"/>
        <item h="1" x="11938"/>
        <item h="1" x="11939"/>
        <item h="1" x="11940"/>
        <item h="1" x="11941"/>
        <item h="1" x="11942"/>
        <item h="1" x="11943"/>
        <item h="1" x="11944"/>
        <item h="1" x="11945"/>
        <item h="1" x="11946"/>
        <item h="1" x="11947"/>
        <item h="1" x="11948"/>
        <item h="1" x="11949"/>
        <item h="1" x="11950"/>
        <item h="1" x="11951"/>
        <item h="1" x="11952"/>
        <item h="1" x="11953"/>
        <item h="1" x="11954"/>
        <item h="1" x="11955"/>
        <item h="1" x="11956"/>
        <item h="1" x="11957"/>
        <item h="1" x="11958"/>
        <item h="1" x="11959"/>
        <item h="1" x="11960"/>
        <item h="1" x="11961"/>
        <item h="1" x="11962"/>
        <item h="1" x="11963"/>
        <item h="1" x="11964"/>
        <item h="1" x="11965"/>
        <item h="1" x="11966"/>
        <item h="1" x="11967"/>
        <item h="1" x="11968"/>
        <item h="1" x="11969"/>
        <item h="1" x="11970"/>
        <item h="1" x="11971"/>
        <item h="1" x="11972"/>
        <item h="1" x="11973"/>
        <item h="1" x="11974"/>
        <item h="1" x="11975"/>
        <item h="1" x="11976"/>
        <item h="1" x="11977"/>
        <item h="1" x="11978"/>
        <item h="1" x="11979"/>
        <item h="1" x="11980"/>
        <item h="1" x="11981"/>
        <item h="1" x="11982"/>
        <item h="1" x="11983"/>
        <item h="1" x="11984"/>
        <item h="1" x="11985"/>
        <item h="1" x="11986"/>
        <item h="1" x="11987"/>
        <item h="1" x="11988"/>
        <item h="1" x="11989"/>
        <item h="1" x="11990"/>
        <item h="1" x="11991"/>
        <item h="1" x="11992"/>
        <item h="1" x="11993"/>
        <item h="1" x="11994"/>
        <item h="1" x="11995"/>
        <item h="1" x="11996"/>
        <item h="1" x="11997"/>
        <item h="1" x="11998"/>
        <item h="1" x="11999"/>
        <item h="1" x="12000"/>
        <item h="1" x="12001"/>
        <item h="1" x="12002"/>
        <item h="1" x="12003"/>
        <item h="1" x="12004"/>
        <item h="1" x="12005"/>
        <item h="1" x="12006"/>
        <item h="1" x="12007"/>
        <item h="1" x="12008"/>
        <item h="1" x="12009"/>
        <item h="1" x="12010"/>
        <item h="1" x="12011"/>
        <item h="1" x="12012"/>
        <item h="1" x="12013"/>
        <item h="1" x="12014"/>
        <item h="1" x="12015"/>
        <item h="1" x="12016"/>
        <item h="1" x="12017"/>
        <item h="1" x="12018"/>
        <item h="1" x="12019"/>
        <item h="1" x="12020"/>
        <item h="1" x="12021"/>
        <item h="1" x="12022"/>
        <item h="1" x="12023"/>
        <item h="1" x="12024"/>
        <item h="1" x="12025"/>
        <item h="1" x="12026"/>
        <item h="1" x="12027"/>
        <item h="1" x="12028"/>
        <item h="1" x="12029"/>
        <item h="1" x="12030"/>
        <item h="1" x="12031"/>
        <item h="1" x="12032"/>
        <item h="1" x="12033"/>
        <item h="1" x="12034"/>
        <item h="1" x="12035"/>
        <item h="1" x="12036"/>
        <item h="1" x="12037"/>
        <item h="1" x="12038"/>
        <item h="1" x="12039"/>
        <item h="1" x="12040"/>
        <item h="1" x="12041"/>
        <item h="1" x="12042"/>
        <item h="1" x="12043"/>
        <item h="1" x="12044"/>
        <item h="1" x="12045"/>
        <item h="1" x="12046"/>
        <item h="1" x="12047"/>
        <item h="1" x="12048"/>
        <item h="1" x="12049"/>
        <item h="1" x="12050"/>
        <item h="1" x="12051"/>
        <item h="1" x="12052"/>
        <item h="1" x="12053"/>
        <item h="1" x="12054"/>
        <item h="1" x="12055"/>
        <item h="1" x="12056"/>
        <item h="1" x="12057"/>
        <item h="1" x="12058"/>
        <item h="1" x="12059"/>
        <item h="1" x="12060"/>
        <item h="1" x="12061"/>
        <item h="1" x="12062"/>
        <item h="1" x="12063"/>
        <item h="1" x="12064"/>
        <item h="1" x="12065"/>
        <item h="1" x="12066"/>
        <item h="1" x="12067"/>
        <item h="1" x="12068"/>
        <item h="1" x="12069"/>
        <item h="1" x="12070"/>
        <item h="1" x="12071"/>
        <item h="1" x="12072"/>
        <item h="1" x="12073"/>
        <item h="1" x="12074"/>
        <item h="1" x="12075"/>
        <item h="1" x="12076"/>
        <item h="1" x="12077"/>
        <item h="1" x="12078"/>
        <item h="1" x="12079"/>
        <item h="1" x="12080"/>
        <item h="1" x="12081"/>
        <item h="1" x="12082"/>
        <item h="1" x="12083"/>
        <item h="1" x="12084"/>
        <item h="1" x="12085"/>
        <item h="1" x="12086"/>
        <item h="1" x="12087"/>
        <item h="1" x="12088"/>
        <item h="1" x="12089"/>
        <item h="1" x="12090"/>
        <item h="1" x="12091"/>
        <item h="1" x="12092"/>
        <item h="1" x="12093"/>
        <item h="1" x="12094"/>
        <item h="1" x="12095"/>
        <item h="1" x="12096"/>
        <item h="1" x="12097"/>
        <item h="1" x="12098"/>
        <item h="1" x="12099"/>
        <item h="1" x="12100"/>
        <item h="1" x="12101"/>
        <item h="1" x="12102"/>
        <item h="1" x="12103"/>
        <item h="1" x="12104"/>
        <item h="1" x="12105"/>
        <item h="1" x="12106"/>
        <item h="1" x="12107"/>
        <item h="1" x="12108"/>
        <item h="1" x="12109"/>
        <item h="1" x="12110"/>
        <item h="1" x="12111"/>
        <item h="1" x="12112"/>
        <item h="1" x="12113"/>
        <item h="1" x="12114"/>
        <item h="1" x="12115"/>
        <item h="1" x="12116"/>
        <item h="1" x="12117"/>
        <item h="1" x="12118"/>
        <item h="1" x="12119"/>
        <item h="1" x="12120"/>
        <item h="1" x="12121"/>
        <item h="1" x="12122"/>
        <item h="1" x="12123"/>
        <item h="1" x="12124"/>
        <item h="1" x="12125"/>
        <item h="1" x="12126"/>
        <item h="1" x="12127"/>
        <item h="1" x="12128"/>
        <item h="1" x="12129"/>
        <item h="1" x="12130"/>
        <item h="1" x="12131"/>
        <item h="1" x="12132"/>
        <item h="1" x="12133"/>
        <item h="1" x="12134"/>
        <item h="1" x="12135"/>
        <item h="1" x="12136"/>
        <item h="1" x="12137"/>
        <item h="1" x="12138"/>
        <item h="1" x="12139"/>
        <item h="1" x="12140"/>
        <item h="1" x="12141"/>
        <item h="1" x="12142"/>
        <item h="1" x="12143"/>
        <item h="1" x="12144"/>
        <item h="1" x="12145"/>
        <item h="1" x="12146"/>
        <item h="1" x="12147"/>
        <item h="1" x="12148"/>
        <item h="1" x="12149"/>
        <item h="1" x="12150"/>
        <item h="1" x="12151"/>
        <item h="1" x="12152"/>
        <item h="1" x="12153"/>
        <item h="1" x="12154"/>
        <item h="1" x="12155"/>
        <item h="1" x="12156"/>
        <item h="1" x="12157"/>
        <item h="1" x="12158"/>
        <item h="1" x="12159"/>
        <item h="1" x="12160"/>
        <item h="1" x="12161"/>
        <item h="1" x="12162"/>
        <item h="1" x="12163"/>
        <item h="1" x="12164"/>
        <item h="1" x="12165"/>
        <item h="1" x="12166"/>
        <item h="1" x="12167"/>
        <item h="1" x="12168"/>
        <item h="1" x="12169"/>
        <item h="1" x="12170"/>
        <item h="1" x="12171"/>
        <item h="1" x="12172"/>
        <item h="1" x="12173"/>
        <item h="1" x="12174"/>
        <item h="1" x="12175"/>
        <item h="1" x="12176"/>
        <item h="1" x="12177"/>
        <item h="1" x="12178"/>
        <item h="1" x="12179"/>
        <item h="1" x="12180"/>
        <item h="1" x="12181"/>
        <item h="1" x="12182"/>
        <item h="1" x="12183"/>
        <item h="1" x="12184"/>
        <item h="1" x="12185"/>
        <item h="1" x="12186"/>
        <item h="1" x="12187"/>
        <item h="1" x="12188"/>
        <item h="1" x="12189"/>
        <item h="1" x="12190"/>
        <item h="1" x="12191"/>
        <item h="1" x="12192"/>
        <item h="1" x="12193"/>
        <item h="1" x="12194"/>
        <item h="1" x="12195"/>
        <item h="1" x="12196"/>
        <item h="1" x="12197"/>
        <item h="1" x="12198"/>
        <item h="1" x="12199"/>
        <item h="1" x="12200"/>
        <item h="1" x="12201"/>
        <item h="1" x="12202"/>
        <item h="1" x="12203"/>
        <item h="1" x="12204"/>
        <item h="1" x="12205"/>
        <item h="1" x="12206"/>
        <item h="1" x="12207"/>
        <item h="1" x="12208"/>
        <item h="1" x="12209"/>
        <item h="1" x="12210"/>
        <item h="1" x="12211"/>
        <item h="1" x="12212"/>
        <item h="1" x="12213"/>
        <item h="1" x="12214"/>
        <item h="1" x="12215"/>
        <item h="1" x="12216"/>
        <item h="1" x="12217"/>
        <item h="1" x="12218"/>
        <item h="1" x="12219"/>
        <item h="1" x="12220"/>
        <item h="1" x="12221"/>
        <item h="1" x="12222"/>
        <item h="1" x="12223"/>
        <item h="1" x="12224"/>
        <item h="1" x="12225"/>
        <item h="1" x="12226"/>
        <item h="1" x="12227"/>
        <item h="1" x="12228"/>
        <item h="1" x="12229"/>
        <item h="1" x="12230"/>
        <item h="1" x="12231"/>
        <item h="1" x="12232"/>
        <item h="1" x="12233"/>
        <item h="1" x="12234"/>
        <item h="1" x="12235"/>
        <item h="1" x="12236"/>
        <item h="1" x="12237"/>
        <item h="1" x="12238"/>
        <item h="1" x="12239"/>
        <item h="1" x="12240"/>
        <item h="1" x="12241"/>
        <item h="1" x="12242"/>
        <item h="1" x="12243"/>
        <item h="1" x="12244"/>
        <item h="1" x="12245"/>
        <item h="1" x="12246"/>
        <item h="1" x="12247"/>
        <item h="1" x="12248"/>
        <item h="1" x="12249"/>
        <item h="1" x="12250"/>
        <item h="1" x="12251"/>
        <item h="1" x="12252"/>
        <item h="1" x="12253"/>
        <item h="1" x="12254"/>
        <item h="1" x="12255"/>
        <item h="1" x="12256"/>
        <item h="1" x="12257"/>
        <item h="1" x="12258"/>
        <item h="1" x="12259"/>
        <item h="1" x="12260"/>
        <item h="1" x="12261"/>
        <item h="1" x="12262"/>
        <item h="1" x="12263"/>
        <item h="1" x="12264"/>
        <item h="1" x="12265"/>
        <item h="1" x="12266"/>
        <item h="1" x="12267"/>
        <item h="1" x="12268"/>
        <item h="1" x="12269"/>
        <item h="1" x="12270"/>
        <item h="1" x="12271"/>
        <item h="1" x="12272"/>
        <item h="1" x="12273"/>
        <item h="1" x="12274"/>
        <item h="1" x="12275"/>
        <item h="1" x="12276"/>
        <item h="1" x="12277"/>
        <item h="1" x="12278"/>
        <item h="1" x="12279"/>
        <item h="1" x="12280"/>
        <item h="1" x="12281"/>
        <item h="1" x="12282"/>
        <item h="1" x="12283"/>
        <item h="1" x="12284"/>
        <item h="1" x="12285"/>
        <item h="1" x="12286"/>
        <item h="1" x="12287"/>
        <item h="1" x="12288"/>
        <item h="1" x="12289"/>
        <item h="1" x="12290"/>
        <item h="1" x="12291"/>
        <item h="1" x="12292"/>
        <item h="1" x="12293"/>
        <item h="1" x="12294"/>
        <item h="1" x="12295"/>
        <item h="1" x="12296"/>
        <item h="1" x="12297"/>
        <item h="1" x="12298"/>
        <item h="1" x="12299"/>
        <item h="1" x="12300"/>
        <item h="1" x="12301"/>
        <item h="1" x="12302"/>
        <item h="1" x="12303"/>
        <item h="1" x="12304"/>
        <item h="1" x="12305"/>
        <item h="1" x="12306"/>
        <item h="1" x="12307"/>
        <item h="1" x="12308"/>
        <item h="1" x="12309"/>
        <item h="1" x="12310"/>
        <item h="1" x="12311"/>
        <item h="1" x="12312"/>
        <item h="1" x="12313"/>
        <item h="1" x="12314"/>
        <item h="1" x="12315"/>
        <item h="1" x="12316"/>
        <item h="1" x="12317"/>
        <item h="1" x="12318"/>
        <item h="1" x="12319"/>
        <item h="1" x="12320"/>
        <item h="1" x="12321"/>
        <item h="1" x="12322"/>
        <item h="1" x="12323"/>
        <item h="1" x="12324"/>
        <item h="1" x="12325"/>
        <item h="1" x="12326"/>
        <item h="1" x="12327"/>
        <item h="1" x="12328"/>
        <item h="1" x="12329"/>
        <item h="1" x="12330"/>
        <item h="1" x="12331"/>
        <item h="1" x="12332"/>
        <item h="1" x="12333"/>
        <item h="1" x="12334"/>
        <item h="1" x="12335"/>
        <item h="1" x="12336"/>
        <item h="1" x="12337"/>
        <item h="1" x="12338"/>
        <item h="1" x="12339"/>
        <item h="1" x="12340"/>
        <item h="1" x="12341"/>
        <item h="1" x="12342"/>
        <item h="1" x="12343"/>
        <item h="1" x="12344"/>
        <item h="1" x="12345"/>
        <item h="1" x="12346"/>
        <item h="1" x="12347"/>
        <item h="1" x="12348"/>
        <item h="1" x="12349"/>
        <item h="1" x="12350"/>
        <item h="1" x="12351"/>
        <item h="1" x="12352"/>
        <item h="1" x="12353"/>
        <item h="1" x="12354"/>
        <item h="1" x="12355"/>
        <item h="1" x="12356"/>
        <item h="1" x="12357"/>
        <item h="1" x="12358"/>
        <item h="1" x="12359"/>
        <item h="1" x="12360"/>
        <item h="1" x="12361"/>
        <item h="1" x="12362"/>
        <item h="1" x="12363"/>
        <item h="1" x="12364"/>
        <item h="1" x="12365"/>
        <item h="1" x="12366"/>
        <item h="1" x="12367"/>
        <item h="1" x="12368"/>
        <item h="1" x="12369"/>
        <item h="1" x="12370"/>
        <item h="1" x="12371"/>
        <item h="1" x="12372"/>
        <item h="1" x="12373"/>
        <item h="1" x="12374"/>
        <item h="1" x="12375"/>
        <item h="1" x="12376"/>
        <item h="1" x="12377"/>
        <item h="1" x="12378"/>
        <item h="1" x="12379"/>
        <item h="1" x="12380"/>
        <item h="1" x="12381"/>
        <item h="1" x="12382"/>
        <item h="1" x="12383"/>
        <item h="1" x="12384"/>
        <item h="1" x="12385"/>
        <item h="1" x="12386"/>
        <item h="1" x="12387"/>
        <item h="1" x="12388"/>
        <item h="1" x="12389"/>
        <item h="1" x="12390"/>
        <item h="1" x="12391"/>
        <item h="1" x="12392"/>
        <item h="1" x="12393"/>
        <item h="1" x="12394"/>
        <item h="1" x="12395"/>
        <item h="1" x="12396"/>
        <item h="1" x="12397"/>
        <item h="1" x="12398"/>
        <item h="1" x="12399"/>
        <item h="1" x="12400"/>
        <item h="1" x="12401"/>
        <item h="1" x="12402"/>
        <item h="1" x="12403"/>
        <item h="1" x="12404"/>
        <item h="1" x="12405"/>
        <item h="1" x="12406"/>
        <item h="1" x="12407"/>
        <item h="1" x="12408"/>
        <item h="1" x="12409"/>
        <item h="1" x="12410"/>
        <item h="1" x="12411"/>
        <item h="1" x="12412"/>
        <item h="1" x="12413"/>
        <item h="1" x="12414"/>
        <item h="1" x="12415"/>
        <item h="1" x="12416"/>
        <item h="1" x="12417"/>
        <item h="1" x="12418"/>
        <item h="1" x="12419"/>
        <item h="1" x="12420"/>
        <item h="1" x="12421"/>
        <item h="1" x="12422"/>
        <item h="1" x="12423"/>
        <item h="1" x="12424"/>
        <item h="1" x="12425"/>
        <item h="1" x="12426"/>
        <item h="1" x="12427"/>
        <item h="1" x="12428"/>
        <item h="1" x="12429"/>
        <item h="1" x="12430"/>
        <item h="1" x="12431"/>
        <item h="1" x="12432"/>
        <item h="1" x="12433"/>
        <item h="1" x="12434"/>
        <item h="1" x="12435"/>
        <item h="1" x="12436"/>
        <item h="1" x="12437"/>
        <item h="1" x="12438"/>
        <item h="1" x="12439"/>
        <item h="1" x="12440"/>
        <item h="1" x="12441"/>
        <item h="1" x="12442"/>
        <item h="1" x="12443"/>
        <item h="1" x="12444"/>
        <item h="1" x="12445"/>
        <item h="1" x="12446"/>
        <item h="1" x="12447"/>
        <item h="1" x="12448"/>
        <item h="1" x="12449"/>
        <item h="1" x="12450"/>
        <item h="1" x="12451"/>
        <item h="1" x="12452"/>
        <item h="1" x="12453"/>
        <item h="1" x="12454"/>
        <item h="1" x="12455"/>
        <item h="1" x="12456"/>
        <item h="1" x="12457"/>
        <item h="1" x="12458"/>
        <item h="1" x="12459"/>
        <item h="1" x="12460"/>
        <item h="1" x="12461"/>
        <item h="1" x="12462"/>
        <item h="1" x="12463"/>
        <item h="1" x="12464"/>
        <item h="1" x="12465"/>
        <item h="1" x="12466"/>
        <item h="1" x="12467"/>
        <item h="1" x="12468"/>
        <item h="1" x="12469"/>
        <item h="1" x="12470"/>
        <item h="1" x="12471"/>
        <item h="1" x="12472"/>
        <item h="1" x="12473"/>
        <item h="1" x="12474"/>
        <item h="1" x="12475"/>
        <item h="1" x="12476"/>
        <item h="1" x="12477"/>
        <item h="1" x="12478"/>
        <item h="1" x="12479"/>
        <item h="1" x="12480"/>
        <item h="1" x="12481"/>
        <item h="1" x="12482"/>
        <item h="1" x="12483"/>
        <item h="1" x="12484"/>
        <item h="1" x="12485"/>
        <item h="1" x="12486"/>
        <item h="1" x="12487"/>
        <item h="1" x="12488"/>
        <item h="1" x="12489"/>
        <item h="1" x="12490"/>
        <item h="1" x="12491"/>
        <item h="1" x="12492"/>
        <item h="1" x="12493"/>
        <item h="1" x="12494"/>
        <item h="1" x="12495"/>
        <item h="1" x="12496"/>
        <item h="1" x="12497"/>
        <item h="1" x="12498"/>
        <item h="1" x="12499"/>
        <item h="1" x="12500"/>
        <item h="1" x="12501"/>
        <item h="1" x="12502"/>
        <item h="1" x="12503"/>
        <item h="1" x="12504"/>
        <item h="1" x="12505"/>
        <item h="1" x="12506"/>
        <item h="1" x="12507"/>
        <item h="1" x="12508"/>
        <item h="1" x="12509"/>
        <item h="1" x="12510"/>
        <item h="1" x="12511"/>
        <item h="1" x="12512"/>
        <item h="1" x="12513"/>
        <item h="1" x="12514"/>
        <item h="1" x="12515"/>
        <item h="1" x="12516"/>
        <item h="1" x="12517"/>
        <item h="1" x="12518"/>
        <item h="1" x="12519"/>
        <item h="1" x="12520"/>
        <item h="1" x="12521"/>
        <item h="1" x="12522"/>
        <item h="1" x="12523"/>
        <item h="1" x="12524"/>
        <item h="1" x="12525"/>
        <item h="1" x="12526"/>
        <item h="1" x="12527"/>
        <item h="1" x="12528"/>
        <item h="1" x="12529"/>
        <item h="1" x="12530"/>
        <item h="1" x="12531"/>
        <item h="1" x="12532"/>
        <item h="1" x="12533"/>
        <item h="1" x="12534"/>
        <item h="1" x="12535"/>
        <item h="1" x="12536"/>
        <item h="1" x="12537"/>
        <item h="1" x="12538"/>
        <item h="1" x="12539"/>
        <item h="1" x="12540"/>
        <item h="1" x="12541"/>
        <item h="1" x="12542"/>
        <item h="1" x="12543"/>
        <item h="1" x="12544"/>
        <item h="1" x="12545"/>
        <item h="1" x="12546"/>
        <item h="1" x="12547"/>
        <item h="1" x="12548"/>
        <item h="1" x="12549"/>
        <item h="1" x="12550"/>
        <item h="1" x="12551"/>
        <item h="1" x="12552"/>
        <item h="1" x="12553"/>
        <item h="1" x="12554"/>
        <item h="1" x="12555"/>
        <item h="1" x="12556"/>
        <item h="1" x="12557"/>
        <item h="1" x="12558"/>
        <item h="1" x="12559"/>
        <item h="1" x="12560"/>
        <item h="1" x="12561"/>
        <item h="1" x="12562"/>
        <item h="1" x="12563"/>
        <item h="1" x="12564"/>
        <item h="1" x="12565"/>
        <item h="1" x="12566"/>
        <item h="1" x="12567"/>
        <item h="1" x="12568"/>
        <item h="1" x="12569"/>
        <item h="1" x="12570"/>
        <item h="1" x="12571"/>
        <item h="1" x="12572"/>
        <item h="1" x="12573"/>
        <item h="1" x="12574"/>
        <item h="1" x="12575"/>
        <item h="1" x="12576"/>
        <item h="1" x="12577"/>
        <item h="1" x="12578"/>
        <item h="1" x="12579"/>
        <item h="1" x="12580"/>
        <item h="1" x="12581"/>
        <item h="1" x="12582"/>
        <item h="1" x="12583"/>
        <item h="1" x="12584"/>
        <item h="1" x="12585"/>
        <item h="1" x="12586"/>
        <item h="1" x="12587"/>
        <item h="1" x="12588"/>
        <item h="1" x="12589"/>
        <item h="1" x="12590"/>
        <item h="1" x="12591"/>
        <item h="1" x="12592"/>
        <item h="1" x="12593"/>
        <item h="1" x="12594"/>
        <item h="1" x="12595"/>
        <item h="1" x="12596"/>
        <item h="1" x="12597"/>
        <item h="1" x="12598"/>
        <item h="1" x="12599"/>
        <item h="1" x="12600"/>
        <item h="1" x="12601"/>
        <item h="1" x="12602"/>
        <item h="1" x="12603"/>
        <item h="1" x="12604"/>
        <item h="1" x="12605"/>
        <item h="1" x="12606"/>
        <item h="1" x="12607"/>
        <item h="1" x="12608"/>
        <item h="1" x="12609"/>
        <item h="1" x="12610"/>
        <item h="1" x="12611"/>
        <item h="1" x="12612"/>
        <item h="1" x="12613"/>
        <item h="1" x="12614"/>
        <item h="1" x="12615"/>
        <item h="1" x="12616"/>
        <item h="1" x="12617"/>
        <item h="1" x="12618"/>
        <item h="1" x="12619"/>
        <item h="1" x="12620"/>
        <item h="1" x="12621"/>
        <item h="1" x="12622"/>
        <item h="1" x="12623"/>
        <item h="1" x="12624"/>
        <item h="1" x="12625"/>
        <item h="1" x="12626"/>
        <item h="1" x="12627"/>
        <item h="1" x="12628"/>
        <item h="1" x="12629"/>
        <item h="1" x="12630"/>
        <item h="1" x="12631"/>
        <item h="1" x="12632"/>
        <item h="1" x="12633"/>
        <item h="1" x="12634"/>
        <item h="1" x="12635"/>
        <item h="1" x="12636"/>
        <item h="1" x="12637"/>
        <item h="1" x="12638"/>
        <item h="1" x="12639"/>
        <item h="1" x="12640"/>
        <item h="1" x="12641"/>
        <item h="1" x="12642"/>
        <item h="1" x="12643"/>
        <item h="1" x="12644"/>
        <item h="1" x="12645"/>
        <item h="1" x="12646"/>
        <item h="1" x="12647"/>
        <item h="1" x="12648"/>
        <item h="1" x="12649"/>
        <item h="1" x="12650"/>
        <item h="1" x="12651"/>
        <item h="1" x="12652"/>
        <item h="1" x="12653"/>
        <item h="1" x="12654"/>
        <item h="1" x="12655"/>
        <item h="1" x="12656"/>
        <item h="1" x="12657"/>
        <item h="1" x="12658"/>
        <item h="1" x="12659"/>
        <item h="1" x="12660"/>
        <item h="1" x="12661"/>
        <item h="1" x="12662"/>
        <item h="1" x="12663"/>
        <item h="1" x="12664"/>
        <item h="1" x="12665"/>
        <item h="1" x="12666"/>
        <item h="1" x="12667"/>
        <item h="1" x="12668"/>
        <item h="1" x="12669"/>
        <item h="1" x="12670"/>
        <item h="1" x="12671"/>
        <item h="1" x="12672"/>
        <item h="1" x="12673"/>
        <item h="1" x="12674"/>
        <item h="1" x="12675"/>
        <item h="1" x="12676"/>
        <item h="1" x="12677"/>
        <item h="1" x="12678"/>
        <item h="1" x="12679"/>
        <item h="1" x="12680"/>
        <item h="1" x="12681"/>
        <item h="1" x="12682"/>
        <item h="1" x="12683"/>
        <item h="1" x="12684"/>
        <item h="1" x="12685"/>
        <item h="1" x="12686"/>
        <item h="1" x="12687"/>
        <item h="1" x="12688"/>
        <item h="1" x="12689"/>
        <item h="1" x="12690"/>
        <item h="1" x="12691"/>
        <item h="1" x="12692"/>
        <item h="1" x="12693"/>
        <item h="1" x="12694"/>
        <item h="1" x="12695"/>
        <item h="1" x="12696"/>
        <item h="1" x="12697"/>
        <item h="1" x="12698"/>
        <item h="1" x="12699"/>
        <item h="1" x="12700"/>
        <item h="1" x="12701"/>
        <item h="1" x="12702"/>
        <item h="1" x="12703"/>
        <item h="1" x="12704"/>
        <item h="1" x="12705"/>
        <item h="1" x="12706"/>
        <item h="1" x="12707"/>
        <item h="1" x="12708"/>
        <item h="1" x="12709"/>
        <item h="1" x="12710"/>
        <item h="1" x="12711"/>
        <item h="1" x="12712"/>
        <item h="1" x="12713"/>
        <item h="1" x="12714"/>
        <item h="1" x="12715"/>
        <item h="1" x="12716"/>
        <item h="1" x="12717"/>
        <item h="1" x="12718"/>
        <item h="1" x="12719"/>
        <item h="1" x="12720"/>
        <item h="1" x="12721"/>
        <item h="1" x="12722"/>
        <item h="1" x="12723"/>
        <item h="1" x="12724"/>
        <item h="1" x="12725"/>
        <item h="1" x="12726"/>
        <item h="1" x="12727"/>
        <item h="1" x="12728"/>
        <item h="1" x="12729"/>
        <item h="1" x="12730"/>
        <item h="1" x="12731"/>
        <item h="1" x="12732"/>
        <item h="1" x="12733"/>
        <item h="1" x="12734"/>
        <item h="1" x="12735"/>
        <item h="1" x="12736"/>
        <item h="1" x="12737"/>
        <item h="1" x="12738"/>
        <item h="1" x="12739"/>
        <item h="1" x="12740"/>
        <item h="1" x="12741"/>
        <item h="1" x="12742"/>
        <item h="1" x="12743"/>
        <item h="1" x="12744"/>
        <item h="1" x="12745"/>
        <item h="1" x="12746"/>
        <item h="1" x="12747"/>
        <item h="1" x="12748"/>
        <item h="1" x="12749"/>
        <item h="1" x="12750"/>
        <item h="1" x="12751"/>
        <item h="1" x="12752"/>
        <item h="1" x="12753"/>
        <item h="1" x="12754"/>
        <item h="1" x="12755"/>
        <item h="1" x="12756"/>
        <item h="1" x="12757"/>
        <item h="1" x="12758"/>
        <item h="1" x="12759"/>
        <item h="1" x="12760"/>
        <item h="1" x="12761"/>
        <item h="1" x="12762"/>
        <item h="1" x="12763"/>
        <item h="1" x="12764"/>
        <item h="1" x="12765"/>
        <item h="1" x="12766"/>
        <item h="1" x="12767"/>
        <item h="1" x="12768"/>
        <item h="1" x="12769"/>
        <item h="1" x="12770"/>
        <item h="1" x="12771"/>
        <item h="1" x="12772"/>
        <item h="1" x="12773"/>
        <item h="1" x="12774"/>
        <item h="1" x="12775"/>
        <item h="1" x="12776"/>
        <item h="1" x="12777"/>
        <item h="1" x="12778"/>
        <item h="1" x="12779"/>
        <item h="1" x="12780"/>
        <item h="1" x="12781"/>
        <item h="1" x="12782"/>
        <item h="1" x="12783"/>
        <item h="1" x="12784"/>
        <item h="1" x="12785"/>
        <item h="1" x="12786"/>
        <item h="1" x="12787"/>
        <item h="1" x="12788"/>
        <item h="1" x="12789"/>
        <item h="1" x="12790"/>
        <item h="1" x="12791"/>
        <item h="1" x="12792"/>
        <item h="1" x="12793"/>
        <item h="1" x="12794"/>
        <item h="1" x="12795"/>
        <item h="1" x="12796"/>
        <item h="1" x="12797"/>
        <item h="1" x="12798"/>
        <item h="1" x="12799"/>
        <item h="1" x="12800"/>
        <item h="1" x="12801"/>
        <item h="1" x="12802"/>
        <item h="1" x="12803"/>
        <item h="1" x="12804"/>
        <item h="1" x="12805"/>
        <item h="1" x="12806"/>
        <item h="1" x="12807"/>
        <item h="1" x="12808"/>
        <item h="1" x="12809"/>
        <item h="1" x="12810"/>
        <item h="1" x="12811"/>
        <item h="1" x="12812"/>
        <item h="1" x="12813"/>
        <item h="1" x="12814"/>
        <item h="1" x="12815"/>
        <item h="1" x="12816"/>
        <item h="1" x="12817"/>
        <item h="1" x="12818"/>
        <item h="1" x="12819"/>
        <item h="1" x="12820"/>
        <item h="1" x="12821"/>
        <item h="1" x="12822"/>
        <item h="1" x="12823"/>
        <item h="1" x="12824"/>
        <item h="1" x="12825"/>
        <item h="1" x="12826"/>
        <item h="1" x="12827"/>
        <item h="1" x="12828"/>
        <item h="1" x="12829"/>
        <item h="1" x="12830"/>
        <item h="1" x="12831"/>
        <item h="1" x="12832"/>
        <item h="1" x="12833"/>
        <item h="1" x="12834"/>
        <item h="1" x="12835"/>
        <item h="1" x="12836"/>
        <item h="1" x="12837"/>
        <item h="1" x="12838"/>
        <item h="1" x="12839"/>
        <item h="1" x="12840"/>
        <item h="1" x="12841"/>
        <item h="1" x="12842"/>
        <item h="1" x="12843"/>
        <item h="1" x="12844"/>
        <item h="1" x="12845"/>
        <item h="1" x="12846"/>
        <item h="1" x="12847"/>
        <item h="1" x="12848"/>
        <item h="1" x="12849"/>
        <item h="1" x="12850"/>
        <item h="1" x="12851"/>
        <item h="1" x="12852"/>
        <item h="1" x="12853"/>
        <item h="1" x="12854"/>
        <item h="1" x="12855"/>
        <item h="1" x="12856"/>
        <item h="1" x="12857"/>
        <item h="1" x="12858"/>
        <item h="1" x="12859"/>
        <item h="1" x="12860"/>
        <item h="1" x="12861"/>
        <item h="1" x="12862"/>
        <item h="1" x="12863"/>
        <item h="1" x="12864"/>
        <item h="1" x="12865"/>
        <item h="1" x="12866"/>
        <item h="1" x="12867"/>
        <item h="1" x="12868"/>
        <item h="1" x="12869"/>
        <item h="1" x="12870"/>
        <item h="1" x="12871"/>
        <item h="1" x="12872"/>
        <item h="1" x="12873"/>
        <item h="1" x="12874"/>
        <item h="1" x="12875"/>
        <item h="1" x="12876"/>
        <item h="1" x="12877"/>
        <item h="1" x="12878"/>
        <item h="1" x="12879"/>
        <item h="1" x="12880"/>
        <item h="1" x="12881"/>
        <item h="1" x="12882"/>
        <item h="1" x="12883"/>
        <item h="1" x="12884"/>
        <item h="1" x="12885"/>
        <item h="1" x="12886"/>
        <item h="1" x="12887"/>
        <item h="1" x="12888"/>
        <item h="1" x="12889"/>
        <item h="1" x="12890"/>
        <item h="1" x="12891"/>
        <item h="1" x="12892"/>
        <item h="1" x="12893"/>
        <item h="1" x="12894"/>
        <item h="1" x="12895"/>
        <item h="1" x="12896"/>
        <item h="1" x="12897"/>
        <item h="1" x="12898"/>
        <item h="1" x="12899"/>
        <item h="1" x="12900"/>
        <item h="1" x="12901"/>
        <item h="1" x="12902"/>
        <item h="1" x="12903"/>
        <item h="1" x="12904"/>
        <item h="1" x="12905"/>
        <item h="1" x="12906"/>
        <item h="1" x="12907"/>
        <item h="1" x="12908"/>
        <item h="1" x="12909"/>
        <item h="1" x="12910"/>
        <item h="1" x="12911"/>
        <item h="1" x="12912"/>
        <item h="1" x="12913"/>
        <item h="1" x="12914"/>
        <item h="1" x="12915"/>
        <item h="1" x="12916"/>
        <item h="1" x="12917"/>
        <item h="1" x="12918"/>
        <item h="1" x="12919"/>
        <item h="1" x="12920"/>
        <item h="1" x="12921"/>
        <item h="1" x="12922"/>
        <item h="1" x="12923"/>
        <item h="1" x="12924"/>
        <item h="1" x="12925"/>
        <item h="1" x="12926"/>
        <item h="1" x="12927"/>
        <item h="1" x="12928"/>
        <item h="1" x="12929"/>
        <item h="1" x="12930"/>
        <item h="1" x="12931"/>
        <item h="1" x="12932"/>
        <item h="1" x="12933"/>
        <item h="1" x="12934"/>
        <item h="1" x="12935"/>
        <item h="1" x="12936"/>
        <item h="1" x="12937"/>
        <item h="1" x="12938"/>
        <item h="1" x="12939"/>
        <item h="1" x="12940"/>
        <item h="1" x="12941"/>
        <item h="1" x="12942"/>
        <item h="1" x="12943"/>
        <item h="1" x="12944"/>
        <item h="1" x="12945"/>
        <item h="1" x="12946"/>
        <item h="1" x="12947"/>
        <item h="1" x="12948"/>
        <item h="1" x="12949"/>
        <item h="1" x="12950"/>
        <item h="1" x="12951"/>
        <item h="1" x="12952"/>
        <item h="1" x="12953"/>
        <item h="1" x="12954"/>
        <item h="1" x="12955"/>
        <item h="1" x="12956"/>
        <item h="1" x="12957"/>
        <item h="1" x="12958"/>
        <item h="1" x="12959"/>
        <item h="1" x="12960"/>
        <item h="1" x="12961"/>
        <item h="1" x="12962"/>
        <item h="1" x="12963"/>
        <item h="1" x="12964"/>
        <item h="1" x="12965"/>
        <item h="1" x="12966"/>
        <item h="1" x="12967"/>
        <item h="1" x="12968"/>
        <item h="1" x="12969"/>
        <item h="1" x="12970"/>
        <item h="1" x="12971"/>
        <item h="1" x="12972"/>
        <item h="1" x="12973"/>
        <item h="1" x="12974"/>
        <item h="1" x="12975"/>
        <item h="1" x="12976"/>
        <item h="1" x="12977"/>
        <item h="1" x="12978"/>
        <item h="1" x="12979"/>
        <item h="1" x="12980"/>
        <item h="1" x="12981"/>
        <item h="1" x="12982"/>
        <item h="1" x="12983"/>
        <item h="1" x="12984"/>
        <item h="1" x="12985"/>
        <item h="1" x="12986"/>
        <item h="1" x="12987"/>
        <item h="1" x="12988"/>
        <item h="1" x="12989"/>
        <item h="1" x="12990"/>
        <item h="1" x="12991"/>
        <item h="1" x="12992"/>
        <item h="1" x="12993"/>
        <item h="1" x="12994"/>
        <item h="1" x="12995"/>
        <item h="1" x="12996"/>
        <item h="1" x="12997"/>
        <item h="1" x="12998"/>
        <item h="1" x="12999"/>
        <item h="1" x="13000"/>
        <item h="1" x="13001"/>
        <item h="1" x="13002"/>
        <item h="1" x="13003"/>
        <item h="1" x="13004"/>
        <item h="1" x="13005"/>
        <item h="1" x="13006"/>
        <item h="1" x="13007"/>
        <item h="1" x="13008"/>
        <item h="1" x="13009"/>
        <item h="1" x="13010"/>
        <item h="1" x="13011"/>
        <item h="1" x="13012"/>
        <item h="1" x="13013"/>
        <item h="1" x="13014"/>
        <item h="1" x="13015"/>
        <item h="1" x="13016"/>
        <item h="1" x="13017"/>
        <item h="1" x="13018"/>
        <item h="1" x="13019"/>
        <item h="1" x="13020"/>
        <item h="1" x="13021"/>
        <item h="1" x="13022"/>
        <item h="1" x="13023"/>
        <item h="1" x="13024"/>
        <item h="1" x="13025"/>
        <item h="1" x="13026"/>
        <item h="1" x="13027"/>
        <item h="1" x="13028"/>
        <item h="1" x="13029"/>
        <item h="1" x="13030"/>
        <item h="1" x="13031"/>
        <item h="1" x="13032"/>
        <item h="1" x="13033"/>
        <item h="1" x="13034"/>
        <item h="1" x="13035"/>
        <item h="1" x="13036"/>
        <item h="1" x="13037"/>
        <item h="1" x="13038"/>
        <item h="1" x="13039"/>
        <item h="1" x="13040"/>
        <item h="1" x="13041"/>
        <item h="1" x="13042"/>
        <item h="1" x="13043"/>
        <item h="1" x="13044"/>
        <item h="1" x="13045"/>
        <item h="1" x="13046"/>
        <item h="1" x="13047"/>
        <item h="1" x="13048"/>
        <item h="1" x="13049"/>
        <item h="1" x="13050"/>
        <item h="1" x="13051"/>
        <item h="1" x="13052"/>
        <item h="1" x="13053"/>
        <item h="1" x="13054"/>
        <item h="1" x="13055"/>
        <item h="1" x="13056"/>
        <item h="1" x="13057"/>
        <item h="1" x="13058"/>
        <item h="1" x="13059"/>
        <item h="1" x="13060"/>
        <item h="1" x="13061"/>
        <item h="1" x="13062"/>
        <item h="1" x="13063"/>
        <item h="1" x="13064"/>
        <item h="1" x="13065"/>
        <item h="1" x="13066"/>
        <item h="1" x="13067"/>
        <item h="1" x="13068"/>
        <item h="1" x="13069"/>
        <item h="1" x="13070"/>
        <item h="1" x="13071"/>
        <item h="1" x="13072"/>
        <item h="1" x="13073"/>
        <item h="1" x="13074"/>
        <item h="1" x="13075"/>
        <item h="1" x="13076"/>
        <item h="1" x="13077"/>
        <item h="1" x="13078"/>
        <item h="1" x="13079"/>
        <item h="1" x="13080"/>
        <item h="1" x="13081"/>
        <item h="1" x="13082"/>
        <item h="1" x="13083"/>
        <item h="1" x="13084"/>
        <item h="1" x="13085"/>
        <item h="1" x="13086"/>
        <item h="1" x="13087"/>
        <item h="1" x="13088"/>
        <item h="1" x="13089"/>
        <item h="1" x="13090"/>
        <item h="1" x="13091"/>
        <item h="1" x="13092"/>
        <item h="1" x="13093"/>
        <item h="1" x="13094"/>
        <item h="1" x="13095"/>
        <item h="1" x="13096"/>
        <item h="1" x="13097"/>
        <item h="1" x="13098"/>
        <item h="1" x="13099"/>
        <item h="1" x="13100"/>
        <item h="1" x="13101"/>
        <item h="1" x="13102"/>
        <item h="1" x="13103"/>
        <item h="1" x="13104"/>
        <item h="1" x="13105"/>
        <item h="1" x="13106"/>
        <item h="1" x="13107"/>
        <item h="1" x="13108"/>
        <item h="1" x="13109"/>
        <item h="1" x="13110"/>
        <item h="1" x="13111"/>
        <item h="1" x="13112"/>
        <item h="1" x="13113"/>
        <item h="1" x="13114"/>
        <item h="1" x="13115"/>
        <item h="1" x="13116"/>
        <item h="1" x="13117"/>
        <item h="1" x="13118"/>
        <item h="1" x="13119"/>
        <item h="1" x="13120"/>
        <item h="1" x="13121"/>
        <item h="1" x="13122"/>
        <item h="1" x="13123"/>
        <item h="1" x="13124"/>
        <item h="1" x="13125"/>
        <item h="1" x="13126"/>
        <item h="1" x="13127"/>
        <item h="1" x="13128"/>
        <item h="1" x="13129"/>
        <item h="1" x="13130"/>
        <item h="1" x="13131"/>
        <item h="1" x="13132"/>
        <item h="1" x="13133"/>
        <item h="1" x="13134"/>
        <item h="1" x="13135"/>
        <item h="1" x="13136"/>
        <item h="1" x="13137"/>
        <item h="1" x="13138"/>
        <item h="1" x="13139"/>
        <item h="1" x="13140"/>
        <item h="1" x="13141"/>
        <item h="1" x="13142"/>
        <item h="1" x="13143"/>
        <item h="1" x="13144"/>
        <item h="1" x="13145"/>
        <item h="1" x="13146"/>
        <item h="1" x="13147"/>
        <item h="1" x="13148"/>
        <item h="1" x="13149"/>
        <item h="1" x="13150"/>
        <item h="1" x="13151"/>
        <item h="1" x="13152"/>
        <item h="1" x="13153"/>
        <item h="1" x="13154"/>
        <item h="1" x="13155"/>
        <item h="1" x="13156"/>
        <item h="1" x="13157"/>
        <item h="1" x="13158"/>
        <item h="1" x="13159"/>
        <item h="1" x="13160"/>
        <item h="1" x="13161"/>
        <item h="1" x="13162"/>
        <item h="1" x="13163"/>
        <item h="1" x="13164"/>
        <item h="1" x="13165"/>
        <item h="1" x="13166"/>
        <item h="1" x="13167"/>
        <item h="1" x="13168"/>
        <item h="1" x="13169"/>
        <item h="1" x="13170"/>
        <item h="1" x="13171"/>
        <item h="1" x="13172"/>
        <item h="1" x="13173"/>
        <item h="1" x="13174"/>
        <item h="1" x="13175"/>
        <item h="1" x="13176"/>
        <item h="1" x="13177"/>
        <item h="1" x="13178"/>
        <item h="1" x="13179"/>
        <item h="1" x="13180"/>
        <item h="1" x="13181"/>
        <item h="1" x="13182"/>
        <item h="1" x="13183"/>
        <item h="1" x="13184"/>
        <item h="1" x="13185"/>
        <item h="1" x="13186"/>
        <item h="1" x="13187"/>
        <item h="1" x="13188"/>
        <item h="1" x="13189"/>
        <item h="1" x="13190"/>
        <item h="1" x="13191"/>
        <item h="1" x="13192"/>
        <item h="1" x="13193"/>
        <item h="1" x="13194"/>
        <item h="1" x="13195"/>
        <item h="1" x="13196"/>
        <item h="1" x="13197"/>
        <item h="1" x="13198"/>
        <item h="1" x="13199"/>
        <item h="1" x="13200"/>
        <item h="1" x="13201"/>
        <item h="1" x="13202"/>
        <item h="1" x="13203"/>
        <item h="1" x="13204"/>
        <item h="1" x="13205"/>
        <item h="1" x="13206"/>
        <item h="1" x="13207"/>
        <item h="1" x="13208"/>
        <item h="1" x="13209"/>
        <item h="1" x="13210"/>
        <item h="1" x="13211"/>
        <item h="1" x="13212"/>
        <item h="1" x="13213"/>
        <item h="1" x="13214"/>
        <item h="1" x="13215"/>
        <item h="1" x="13216"/>
        <item h="1" x="13217"/>
        <item h="1" x="13218"/>
        <item h="1" x="13219"/>
        <item h="1" x="13220"/>
        <item h="1" x="13221"/>
        <item h="1" x="13222"/>
        <item h="1" x="13223"/>
        <item h="1" x="13224"/>
        <item h="1" x="13225"/>
        <item h="1" x="13226"/>
        <item h="1" x="13227"/>
        <item h="1" x="13228"/>
        <item h="1" x="13229"/>
        <item h="1" x="13230"/>
        <item h="1" x="13231"/>
        <item h="1" x="13232"/>
        <item h="1" x="13233"/>
        <item h="1" x="13234"/>
        <item h="1" x="13235"/>
        <item h="1" x="13236"/>
        <item h="1" x="13237"/>
        <item h="1" x="13238"/>
        <item h="1" x="13239"/>
        <item h="1" x="13240"/>
        <item h="1" x="13241"/>
        <item h="1" x="13242"/>
        <item h="1" x="13243"/>
        <item h="1" x="13244"/>
        <item h="1" x="13245"/>
        <item h="1" x="13246"/>
        <item h="1" x="13247"/>
        <item h="1" x="13248"/>
        <item h="1" x="13249"/>
        <item h="1" x="13250"/>
        <item h="1" x="13251"/>
        <item h="1" x="13252"/>
        <item h="1" x="13253"/>
        <item h="1" x="13254"/>
        <item h="1" x="13255"/>
        <item h="1" x="13256"/>
        <item h="1" x="13257"/>
        <item h="1" x="13258"/>
        <item h="1" x="13259"/>
        <item h="1" x="13260"/>
        <item h="1" x="13261"/>
        <item h="1" x="13262"/>
        <item h="1" x="13263"/>
        <item h="1" x="13264"/>
        <item h="1" x="13265"/>
        <item h="1" x="13266"/>
        <item h="1" x="13267"/>
        <item h="1" x="13268"/>
        <item h="1" x="13269"/>
        <item h="1" x="13270"/>
        <item h="1" x="13271"/>
        <item h="1" x="13272"/>
        <item h="1" x="13273"/>
        <item h="1" x="13274"/>
        <item h="1" x="13275"/>
        <item h="1" x="13276"/>
        <item h="1" x="13277"/>
        <item h="1" x="13278"/>
        <item h="1" x="13279"/>
        <item h="1" x="13280"/>
        <item h="1" x="13281"/>
        <item h="1" x="13282"/>
        <item h="1" x="13283"/>
        <item h="1" x="13284"/>
        <item h="1" x="13285"/>
        <item h="1" x="13286"/>
        <item h="1" x="13287"/>
        <item h="1" x="13288"/>
        <item h="1" x="13289"/>
        <item h="1" x="13290"/>
        <item h="1" x="13291"/>
        <item h="1" x="13292"/>
        <item h="1" x="13293"/>
        <item h="1" x="13294"/>
        <item h="1" x="13295"/>
        <item h="1" x="13296"/>
        <item h="1" x="13297"/>
        <item h="1" x="13298"/>
        <item h="1" x="13299"/>
        <item h="1" x="13300"/>
        <item h="1" x="13301"/>
        <item h="1" x="13302"/>
        <item h="1" x="13303"/>
        <item h="1" x="13304"/>
        <item h="1" x="13305"/>
        <item h="1" x="13306"/>
        <item h="1" x="13307"/>
        <item h="1" x="13308"/>
        <item h="1" x="13309"/>
        <item h="1" x="13310"/>
        <item h="1" x="13311"/>
        <item h="1" x="13312"/>
        <item h="1" x="13313"/>
        <item h="1" x="13314"/>
        <item h="1" x="13315"/>
        <item h="1" x="13316"/>
        <item h="1" x="13317"/>
        <item h="1" x="13318"/>
        <item h="1" x="13319"/>
        <item h="1" x="13320"/>
        <item h="1" x="13321"/>
        <item h="1" x="13322"/>
        <item h="1" x="13323"/>
        <item h="1" x="13324"/>
        <item h="1" x="13325"/>
        <item h="1" x="13326"/>
        <item h="1" x="13327"/>
        <item h="1" x="13328"/>
        <item h="1" x="13329"/>
        <item h="1" x="13330"/>
        <item h="1" x="13331"/>
        <item h="1" x="13332"/>
        <item h="1" x="13333"/>
        <item h="1" x="13334"/>
        <item h="1" x="13335"/>
        <item h="1" x="13336"/>
        <item h="1" x="13337"/>
        <item h="1" x="13338"/>
        <item h="1" x="13339"/>
        <item h="1" x="13340"/>
        <item h="1" x="13341"/>
        <item h="1" x="13342"/>
        <item h="1" x="13343"/>
        <item h="1" x="13344"/>
        <item h="1" x="13345"/>
        <item h="1" x="13346"/>
        <item h="1" x="13347"/>
        <item h="1" x="13348"/>
        <item h="1" x="13349"/>
        <item h="1" x="13350"/>
        <item h="1" x="13351"/>
        <item h="1" x="13352"/>
        <item h="1" x="13353"/>
        <item h="1" x="13354"/>
        <item h="1" x="13355"/>
        <item h="1" x="13356"/>
        <item h="1" x="13357"/>
        <item h="1" x="13358"/>
        <item h="1" x="13359"/>
        <item h="1" x="13360"/>
        <item h="1" x="13361"/>
        <item h="1" x="13362"/>
        <item h="1" x="13363"/>
        <item h="1" x="13364"/>
        <item h="1" x="13365"/>
        <item h="1" x="13366"/>
        <item h="1" x="13367"/>
        <item h="1" x="13368"/>
        <item h="1" x="13369"/>
        <item h="1" x="13370"/>
        <item h="1" x="13371"/>
        <item h="1" x="13372"/>
        <item h="1" x="13373"/>
        <item h="1" x="13374"/>
        <item h="1" x="13375"/>
        <item h="1" x="13376"/>
        <item h="1" x="13377"/>
        <item h="1" x="13378"/>
        <item h="1" x="13379"/>
        <item h="1" x="13380"/>
        <item h="1" x="13381"/>
        <item h="1" x="13382"/>
        <item h="1" x="13383"/>
        <item h="1" x="13384"/>
        <item h="1" x="13385"/>
        <item h="1" x="13386"/>
        <item h="1" x="13387"/>
        <item h="1" x="13388"/>
        <item h="1" x="13389"/>
        <item h="1" x="13390"/>
        <item h="1" x="13391"/>
        <item h="1" x="13392"/>
        <item h="1" x="13393"/>
        <item h="1" x="13394"/>
        <item h="1" x="13395"/>
        <item h="1" x="13396"/>
        <item h="1" x="13397"/>
        <item h="1" x="13398"/>
        <item h="1" x="13399"/>
        <item h="1" x="13400"/>
        <item h="1" x="13401"/>
        <item h="1" x="13402"/>
        <item h="1" x="13403"/>
        <item h="1" x="13404"/>
        <item h="1" x="13405"/>
        <item h="1" x="13406"/>
        <item h="1" x="13407"/>
        <item h="1" x="13408"/>
        <item h="1" x="13409"/>
        <item h="1" x="13410"/>
        <item h="1" x="13411"/>
        <item h="1" x="13412"/>
        <item h="1" x="13413"/>
        <item h="1" x="13414"/>
        <item h="1" x="13415"/>
        <item h="1" x="13416"/>
        <item h="1" x="13417"/>
        <item h="1" x="13418"/>
        <item h="1" x="13419"/>
        <item h="1" x="13420"/>
        <item h="1" x="13421"/>
        <item h="1" x="13422"/>
        <item h="1" x="13423"/>
        <item h="1" x="13424"/>
        <item h="1" x="13425"/>
        <item h="1" x="13426"/>
        <item h="1" x="13427"/>
        <item h="1" x="13428"/>
        <item h="1" x="13429"/>
        <item h="1" x="13430"/>
        <item h="1" x="13431"/>
        <item h="1" x="13432"/>
        <item h="1" x="13433"/>
        <item h="1" x="13434"/>
        <item h="1" x="13435"/>
        <item h="1" x="13436"/>
        <item h="1" x="13437"/>
        <item h="1" x="13438"/>
        <item h="1" x="13439"/>
        <item h="1" x="13440"/>
        <item h="1" x="13441"/>
        <item h="1" x="13442"/>
        <item h="1" x="13443"/>
        <item h="1" x="13444"/>
        <item h="1" x="13445"/>
        <item h="1" x="13446"/>
        <item h="1" x="13447"/>
        <item h="1" x="13448"/>
        <item h="1" x="13449"/>
        <item h="1" x="13450"/>
        <item h="1" x="13451"/>
        <item h="1" x="13452"/>
        <item h="1" x="13453"/>
        <item h="1" x="13454"/>
        <item h="1" x="13455"/>
        <item h="1" x="13456"/>
        <item h="1" x="13457"/>
        <item h="1" x="13458"/>
        <item h="1" x="13459"/>
        <item h="1" x="13460"/>
        <item h="1" x="13461"/>
        <item h="1" x="13462"/>
        <item h="1" x="13463"/>
        <item h="1" x="13464"/>
        <item h="1" x="13465"/>
        <item h="1" x="13466"/>
        <item h="1" x="13467"/>
        <item h="1" x="13468"/>
        <item h="1" x="13469"/>
        <item h="1" x="13470"/>
        <item h="1" x="13471"/>
        <item h="1" x="13472"/>
        <item h="1" x="13473"/>
        <item h="1" x="13474"/>
        <item h="1" x="13475"/>
        <item h="1" x="13476"/>
        <item h="1" x="13477"/>
        <item h="1" x="13478"/>
        <item h="1" x="13479"/>
        <item h="1" x="13480"/>
        <item h="1" x="13481"/>
        <item h="1" x="13482"/>
        <item h="1" x="13483"/>
        <item h="1" x="13484"/>
        <item h="1" x="13485"/>
        <item h="1" x="13486"/>
        <item h="1" x="13487"/>
        <item h="1" x="13488"/>
        <item h="1" x="13489"/>
        <item h="1" x="13490"/>
        <item h="1" x="13491"/>
        <item h="1" x="13492"/>
        <item h="1" x="13493"/>
        <item h="1" x="13494"/>
        <item h="1" x="13495"/>
        <item h="1" x="13496"/>
        <item h="1" x="13497"/>
        <item h="1" x="13498"/>
        <item h="1" x="13499"/>
        <item h="1" x="13500"/>
        <item h="1" x="13501"/>
        <item h="1" x="13502"/>
        <item h="1" x="13503"/>
        <item h="1" x="13504"/>
        <item h="1" x="13505"/>
        <item h="1" x="13506"/>
        <item h="1" x="13507"/>
        <item h="1" x="13508"/>
        <item h="1" x="13509"/>
        <item h="1" x="13510"/>
        <item h="1" x="13511"/>
        <item h="1" x="13512"/>
        <item h="1" x="13513"/>
        <item h="1" x="13514"/>
        <item h="1" x="13515"/>
        <item h="1" x="13516"/>
        <item h="1" x="13517"/>
        <item h="1" x="13518"/>
        <item h="1" x="13519"/>
        <item h="1" x="13520"/>
        <item h="1" x="13521"/>
        <item h="1" x="13522"/>
        <item h="1" x="13523"/>
        <item h="1" x="13524"/>
        <item h="1" x="13525"/>
        <item h="1" x="13526"/>
        <item h="1" x="13527"/>
        <item h="1" x="13528"/>
        <item h="1" x="13529"/>
        <item h="1" x="13530"/>
        <item h="1" x="13531"/>
        <item h="1" x="13532"/>
        <item h="1" x="13533"/>
        <item h="1" x="13534"/>
        <item h="1" x="13535"/>
        <item h="1" x="13536"/>
        <item h="1" x="13537"/>
        <item h="1" x="13538"/>
        <item h="1" x="13539"/>
        <item h="1" x="13540"/>
        <item h="1" x="13541"/>
        <item h="1" x="13542"/>
        <item h="1" x="13543"/>
        <item h="1" x="13544"/>
        <item h="1" x="13545"/>
        <item h="1" x="13546"/>
        <item h="1" x="13547"/>
        <item h="1" x="13548"/>
        <item h="1" x="13549"/>
        <item h="1" x="13550"/>
        <item h="1" x="13551"/>
        <item h="1" x="13552"/>
        <item h="1" x="13553"/>
        <item h="1" x="13554"/>
        <item h="1" x="13555"/>
        <item h="1" x="13556"/>
        <item h="1" x="13557"/>
        <item h="1" x="13558"/>
        <item h="1" x="13559"/>
        <item h="1" x="13560"/>
        <item h="1" x="13561"/>
        <item h="1" x="13562"/>
        <item h="1" x="13563"/>
        <item h="1" x="13564"/>
        <item h="1" x="13565"/>
        <item h="1" x="13566"/>
        <item h="1" x="13567"/>
        <item h="1" x="13568"/>
        <item h="1" x="13569"/>
        <item h="1" x="13570"/>
        <item h="1" x="13571"/>
        <item h="1" x="13572"/>
        <item h="1" x="13573"/>
        <item h="1" x="13574"/>
        <item h="1" x="13575"/>
        <item h="1" x="13576"/>
        <item h="1" x="13577"/>
        <item h="1" x="13578"/>
        <item h="1" x="13579"/>
        <item h="1" x="13580"/>
        <item h="1" x="13581"/>
        <item h="1" x="13582"/>
        <item h="1" x="13583"/>
        <item h="1" x="13584"/>
        <item h="1" x="13585"/>
        <item h="1" x="13586"/>
        <item h="1" x="13587"/>
        <item h="1" x="13588"/>
        <item h="1" x="13589"/>
        <item h="1" x="13590"/>
        <item h="1" x="13591"/>
        <item h="1" x="13592"/>
        <item h="1" x="13593"/>
        <item h="1" x="13594"/>
        <item h="1" x="13595"/>
        <item h="1" x="13596"/>
        <item h="1" x="13597"/>
        <item h="1" x="13598"/>
        <item h="1" x="13599"/>
        <item h="1" x="13600"/>
        <item h="1" x="13601"/>
        <item h="1" x="13602"/>
        <item h="1" x="13603"/>
        <item h="1" x="13604"/>
        <item h="1" x="13605"/>
        <item h="1" x="13606"/>
        <item h="1" x="13607"/>
        <item h="1" x="13608"/>
        <item h="1" x="13609"/>
        <item h="1" x="13610"/>
        <item h="1" x="13611"/>
        <item h="1" x="13612"/>
        <item h="1" x="13613"/>
        <item h="1" x="13614"/>
        <item h="1" x="13615"/>
        <item h="1" x="13616"/>
        <item h="1" x="13617"/>
        <item h="1" x="13618"/>
        <item h="1" x="13619"/>
        <item h="1" x="13620"/>
        <item h="1" x="13621"/>
        <item h="1" x="13622"/>
        <item h="1" x="13623"/>
        <item h="1" x="13624"/>
        <item h="1" x="13625"/>
        <item h="1" x="13626"/>
        <item h="1" x="13627"/>
        <item h="1" x="13628"/>
        <item h="1" x="13629"/>
        <item h="1" x="13630"/>
        <item h="1" x="13631"/>
        <item h="1" x="13632"/>
        <item h="1" x="13633"/>
        <item h="1" x="13634"/>
        <item h="1" x="13635"/>
        <item h="1" x="13636"/>
        <item h="1" x="13637"/>
        <item h="1" x="13638"/>
        <item h="1" x="13639"/>
        <item h="1" x="13640"/>
        <item h="1" x="13641"/>
        <item h="1" x="13642"/>
        <item h="1" x="13643"/>
        <item h="1" x="13644"/>
        <item h="1" x="13645"/>
        <item h="1" x="13646"/>
        <item h="1" x="13647"/>
        <item h="1" x="13648"/>
        <item h="1" x="13649"/>
        <item h="1" x="13650"/>
        <item h="1" x="13651"/>
        <item h="1" x="13652"/>
        <item h="1" x="13653"/>
        <item h="1" x="13654"/>
        <item h="1" x="13655"/>
        <item h="1" x="13656"/>
        <item h="1" x="13657"/>
        <item h="1" x="13658"/>
        <item h="1" x="13659"/>
        <item h="1" x="13660"/>
        <item h="1" x="13661"/>
        <item h="1" x="13662"/>
        <item h="1" x="13663"/>
        <item h="1" x="13664"/>
        <item h="1" x="13665"/>
        <item h="1" x="13666"/>
        <item h="1" x="13667"/>
        <item h="1" x="13668"/>
        <item h="1" x="13669"/>
        <item h="1" x="13670"/>
        <item h="1" x="13671"/>
        <item h="1" x="13672"/>
        <item h="1" x="13673"/>
        <item h="1" x="13674"/>
        <item h="1" x="13675"/>
        <item h="1" x="13676"/>
        <item h="1" x="13677"/>
        <item h="1" x="13678"/>
        <item h="1" x="13679"/>
        <item h="1" x="13680"/>
        <item h="1" x="13681"/>
        <item h="1" x="13682"/>
        <item h="1" x="13683"/>
        <item h="1" x="13684"/>
        <item h="1" x="13685"/>
        <item h="1" x="13686"/>
        <item h="1" x="13687"/>
        <item h="1" x="13688"/>
        <item h="1" x="13689"/>
        <item h="1" x="13690"/>
        <item h="1" x="13691"/>
        <item h="1" x="13692"/>
        <item h="1" x="13693"/>
        <item h="1" x="13694"/>
        <item h="1" x="13695"/>
        <item h="1" x="13696"/>
        <item h="1" x="13697"/>
        <item h="1" x="13698"/>
        <item h="1" x="13699"/>
        <item h="1" x="13700"/>
        <item h="1" x="13701"/>
        <item h="1" x="13702"/>
        <item h="1" x="13703"/>
        <item h="1" x="13704"/>
        <item h="1" x="13705"/>
        <item h="1" x="13706"/>
        <item h="1" x="13707"/>
        <item h="1" x="13708"/>
        <item h="1" x="13709"/>
        <item h="1" x="13710"/>
        <item h="1" x="13711"/>
        <item h="1" x="13712"/>
        <item h="1" x="13713"/>
        <item h="1" x="13714"/>
        <item h="1" x="13715"/>
        <item h="1" x="13716"/>
        <item h="1" x="13717"/>
        <item h="1" x="13718"/>
        <item h="1" x="13719"/>
        <item h="1" x="13720"/>
        <item h="1" x="13721"/>
        <item h="1" x="13722"/>
        <item h="1" x="13723"/>
        <item h="1" x="13724"/>
        <item h="1" x="13725"/>
        <item h="1" x="13726"/>
        <item h="1" x="13727"/>
        <item h="1" x="13728"/>
        <item h="1" x="13729"/>
        <item h="1" x="13730"/>
        <item h="1" x="13731"/>
        <item h="1" x="13732"/>
        <item h="1" x="13733"/>
        <item h="1" x="13734"/>
        <item h="1" x="13735"/>
        <item h="1" x="13736"/>
        <item h="1" x="13737"/>
        <item h="1" x="13738"/>
        <item h="1" x="13739"/>
        <item h="1" x="13740"/>
        <item h="1" x="13741"/>
        <item h="1" x="13742"/>
        <item h="1" x="13743"/>
        <item h="1" x="13744"/>
        <item h="1" x="13745"/>
        <item h="1" x="13746"/>
        <item h="1" x="13747"/>
        <item h="1" x="13748"/>
        <item h="1" x="13749"/>
        <item h="1" x="13750"/>
        <item h="1" x="13751"/>
        <item h="1" x="13752"/>
        <item h="1" x="13753"/>
        <item h="1" x="13754"/>
        <item h="1" x="13755"/>
        <item h="1" x="13756"/>
        <item h="1" x="13757"/>
        <item h="1" x="13758"/>
        <item h="1" x="13759"/>
        <item h="1" x="13760"/>
        <item h="1" x="13761"/>
        <item h="1" x="13762"/>
        <item h="1" x="13763"/>
        <item h="1" x="13764"/>
        <item h="1" x="13765"/>
        <item h="1" x="13766"/>
        <item h="1" x="13767"/>
        <item h="1" x="13768"/>
        <item h="1" x="13769"/>
        <item h="1" x="13770"/>
        <item h="1" x="13771"/>
        <item h="1" x="13772"/>
        <item h="1" x="13773"/>
        <item h="1" x="13774"/>
        <item h="1" x="13775"/>
        <item h="1" x="13776"/>
        <item h="1" x="13777"/>
        <item h="1" x="13778"/>
        <item h="1" x="13779"/>
        <item h="1" x="13780"/>
        <item h="1" x="13781"/>
        <item h="1" x="13782"/>
        <item h="1" x="13783"/>
        <item h="1" x="13784"/>
        <item h="1" x="13785"/>
        <item h="1" x="13786"/>
        <item h="1" x="13787"/>
        <item h="1" x="13788"/>
        <item h="1" x="13789"/>
        <item h="1" x="13790"/>
        <item h="1" x="13791"/>
        <item h="1" x="13792"/>
        <item h="1" x="13793"/>
        <item h="1" x="13794"/>
        <item h="1" x="13795"/>
        <item h="1" x="13796"/>
        <item h="1" x="13797"/>
        <item h="1" x="13798"/>
        <item h="1" x="13799"/>
        <item h="1" x="13800"/>
        <item h="1" x="13801"/>
        <item h="1" x="13802"/>
        <item h="1" x="13803"/>
        <item h="1" x="13804"/>
        <item h="1" x="13805"/>
        <item h="1" x="13806"/>
        <item h="1" x="13807"/>
        <item h="1" x="13808"/>
        <item h="1" x="13809"/>
        <item h="1" x="13810"/>
        <item h="1" x="13811"/>
        <item h="1" x="13812"/>
        <item h="1" x="13813"/>
        <item h="1" x="13814"/>
        <item h="1" x="13815"/>
        <item h="1" x="13816"/>
        <item h="1" x="13817"/>
        <item h="1" x="13818"/>
        <item h="1" x="13819"/>
        <item h="1" x="13820"/>
        <item h="1" x="13821"/>
        <item h="1" x="13822"/>
        <item h="1" x="13823"/>
        <item h="1" x="13824"/>
        <item h="1" x="13825"/>
        <item h="1" x="13826"/>
        <item h="1" x="13827"/>
        <item h="1" x="13828"/>
        <item h="1" x="13829"/>
        <item h="1" x="13830"/>
        <item h="1" x="13831"/>
        <item h="1" x="13832"/>
        <item h="1" x="13833"/>
        <item h="1" x="13834"/>
        <item h="1" x="13835"/>
        <item h="1" x="13836"/>
        <item h="1" x="13837"/>
        <item h="1" x="13838"/>
        <item h="1" x="13839"/>
        <item h="1" x="13840"/>
        <item h="1" x="13841"/>
        <item h="1" x="13842"/>
        <item h="1" x="13843"/>
        <item h="1" x="13844"/>
        <item h="1" x="13845"/>
        <item h="1" x="13846"/>
        <item h="1" x="13847"/>
        <item h="1" x="13848"/>
        <item h="1" x="13849"/>
        <item h="1" x="13850"/>
        <item h="1" x="13851"/>
        <item h="1" x="13852"/>
        <item h="1" x="13853"/>
        <item h="1" x="13854"/>
        <item h="1" x="13855"/>
        <item h="1" x="13856"/>
        <item h="1" x="13857"/>
        <item h="1" x="13858"/>
        <item h="1" x="13859"/>
        <item h="1" x="13860"/>
        <item h="1" x="13861"/>
        <item h="1" x="13862"/>
        <item h="1" x="13863"/>
        <item h="1" x="13864"/>
        <item h="1" x="13865"/>
        <item h="1" x="13866"/>
        <item h="1" x="13867"/>
        <item h="1" x="13868"/>
        <item h="1" x="13869"/>
        <item h="1" x="13870"/>
        <item h="1" x="13871"/>
        <item h="1" x="13872"/>
        <item h="1" x="13873"/>
        <item h="1" x="13874"/>
        <item h="1" x="13875"/>
        <item h="1" x="13876"/>
        <item h="1" x="13877"/>
        <item h="1" x="13878"/>
        <item h="1" x="13879"/>
        <item h="1" x="13880"/>
        <item h="1" x="13881"/>
        <item h="1" x="13882"/>
        <item h="1" x="13883"/>
        <item h="1" x="13884"/>
        <item h="1" x="13885"/>
        <item h="1" x="13886"/>
        <item h="1" x="13887"/>
        <item h="1" x="13888"/>
        <item h="1" x="13889"/>
        <item h="1" x="13890"/>
        <item h="1" x="13891"/>
        <item h="1" x="13892"/>
        <item h="1" x="13893"/>
        <item h="1" x="13894"/>
        <item h="1" x="13895"/>
        <item h="1" x="13896"/>
        <item h="1" x="13897"/>
        <item h="1" x="13898"/>
        <item h="1" x="13899"/>
        <item h="1" x="13900"/>
        <item h="1" x="13901"/>
        <item h="1" x="13902"/>
        <item h="1" x="13903"/>
        <item h="1" x="13904"/>
        <item h="1" x="13905"/>
        <item h="1" x="13906"/>
        <item h="1" x="13907"/>
        <item h="1" x="13908"/>
        <item h="1" x="13909"/>
        <item h="1" x="13910"/>
        <item h="1" x="13911"/>
        <item h="1" x="13912"/>
        <item h="1" x="13913"/>
        <item h="1" x="13914"/>
        <item h="1" x="13915"/>
        <item h="1" x="13916"/>
        <item h="1" x="13917"/>
        <item h="1" x="13918"/>
        <item h="1" x="13919"/>
        <item h="1" x="13920"/>
        <item h="1" x="13921"/>
        <item h="1" x="13922"/>
        <item h="1" x="13923"/>
        <item h="1" x="13924"/>
        <item h="1" x="13925"/>
        <item h="1" x="13926"/>
        <item h="1" x="13927"/>
        <item h="1" x="13928"/>
        <item h="1" x="13929"/>
        <item h="1" x="13930"/>
        <item h="1" x="13931"/>
        <item h="1" x="13932"/>
        <item h="1" x="13933"/>
        <item h="1" x="13934"/>
        <item h="1" x="13935"/>
        <item h="1" x="13936"/>
        <item h="1" x="13937"/>
        <item h="1" x="13938"/>
        <item h="1" x="13939"/>
        <item h="1" x="13940"/>
        <item h="1" x="13941"/>
        <item h="1" x="13942"/>
        <item h="1" x="13943"/>
        <item h="1" x="13944"/>
        <item h="1" x="13945"/>
        <item h="1" x="13946"/>
        <item h="1" x="13947"/>
        <item h="1" x="13948"/>
        <item h="1" x="13949"/>
        <item h="1" x="13950"/>
        <item h="1" x="13951"/>
        <item h="1" x="13952"/>
        <item h="1" x="13953"/>
        <item h="1" x="13954"/>
        <item h="1" x="13955"/>
        <item h="1" x="13956"/>
        <item h="1" x="13957"/>
        <item h="1" x="13958"/>
        <item h="1" x="13959"/>
        <item h="1" x="13960"/>
        <item h="1" x="13961"/>
        <item h="1" x="13962"/>
        <item h="1" x="13963"/>
        <item h="1" x="13964"/>
        <item h="1" x="13965"/>
        <item h="1" x="13966"/>
        <item h="1" x="13967"/>
        <item h="1" x="13968"/>
        <item h="1" x="13969"/>
        <item h="1" x="13970"/>
        <item h="1" x="13971"/>
        <item h="1" x="13972"/>
        <item h="1" x="13973"/>
        <item h="1" x="13974"/>
        <item h="1" x="13975"/>
        <item h="1" x="13976"/>
        <item h="1" x="13977"/>
        <item h="1" x="13978"/>
        <item h="1" x="13979"/>
        <item h="1" x="13980"/>
        <item h="1" x="13981"/>
        <item h="1" x="13982"/>
        <item h="1" x="13983"/>
        <item h="1" x="13984"/>
        <item h="1" x="13985"/>
        <item h="1" x="13986"/>
        <item h="1" x="13987"/>
        <item h="1" x="13988"/>
        <item h="1" x="13989"/>
        <item h="1" x="13990"/>
        <item h="1" x="13991"/>
        <item h="1" x="13992"/>
        <item h="1" x="13993"/>
        <item h="1" x="13994"/>
        <item h="1" x="13995"/>
        <item h="1" x="13996"/>
        <item h="1" x="13997"/>
        <item h="1" x="13998"/>
        <item h="1" x="13999"/>
        <item h="1" x="14000"/>
        <item h="1" x="14001"/>
        <item h="1" x="14002"/>
        <item h="1" x="14003"/>
        <item h="1" x="14004"/>
        <item h="1" x="14005"/>
        <item h="1" x="14006"/>
        <item h="1" x="14007"/>
        <item h="1" x="14008"/>
        <item h="1" x="14009"/>
        <item h="1" x="14010"/>
        <item h="1" x="14011"/>
        <item h="1" x="14012"/>
        <item h="1" x="14013"/>
        <item h="1" x="14014"/>
        <item h="1" x="14015"/>
        <item h="1" x="14016"/>
        <item h="1" x="14017"/>
        <item h="1" x="14018"/>
        <item h="1" x="14019"/>
        <item h="1" x="14020"/>
        <item h="1" x="14021"/>
        <item h="1" x="14022"/>
        <item h="1" x="14023"/>
        <item h="1" x="14024"/>
        <item h="1" x="14025"/>
        <item h="1" x="14026"/>
        <item h="1" x="14027"/>
        <item h="1" x="14028"/>
        <item h="1" x="14029"/>
        <item h="1" x="14030"/>
        <item h="1" x="14031"/>
        <item h="1" x="14032"/>
        <item h="1" x="14033"/>
        <item h="1" x="14034"/>
        <item h="1" x="14035"/>
        <item h="1" x="14036"/>
        <item h="1" x="14037"/>
        <item h="1" x="14038"/>
        <item h="1" x="14039"/>
        <item h="1" x="14040"/>
        <item h="1" x="14041"/>
        <item h="1" x="14042"/>
        <item h="1" x="14043"/>
        <item h="1" x="14044"/>
        <item h="1" x="14045"/>
        <item h="1" x="14046"/>
        <item h="1" x="14047"/>
        <item h="1" x="14048"/>
        <item h="1" x="14049"/>
        <item h="1" x="14050"/>
        <item h="1" x="14051"/>
        <item h="1" x="14052"/>
        <item h="1" x="14053"/>
        <item h="1" x="14054"/>
        <item h="1" x="14055"/>
        <item h="1" x="14056"/>
        <item h="1" x="14057"/>
        <item h="1" x="14058"/>
        <item h="1" x="14059"/>
        <item h="1" x="14060"/>
        <item h="1" x="14061"/>
        <item h="1" x="14062"/>
        <item h="1" x="14063"/>
        <item h="1" x="14064"/>
        <item h="1" x="14065"/>
        <item h="1" x="14066"/>
        <item h="1" x="14067"/>
        <item h="1" x="14068"/>
        <item h="1" x="14069"/>
        <item h="1" x="14070"/>
        <item h="1" x="14071"/>
        <item h="1" x="14072"/>
        <item h="1" x="14073"/>
        <item h="1" x="14074"/>
        <item h="1" x="14075"/>
        <item h="1" x="14076"/>
        <item h="1" x="14077"/>
        <item h="1" x="14078"/>
        <item h="1" x="14079"/>
        <item h="1" x="14080"/>
        <item h="1" x="14081"/>
        <item h="1" x="14082"/>
        <item h="1" x="14083"/>
        <item h="1" x="14084"/>
        <item h="1" x="14085"/>
        <item h="1" x="14086"/>
        <item h="1" x="14087"/>
        <item h="1" x="14088"/>
        <item h="1" x="14089"/>
        <item h="1" x="14090"/>
        <item h="1" x="14091"/>
        <item h="1" x="14092"/>
        <item h="1" x="14093"/>
        <item h="1" x="14094"/>
        <item h="1" x="14095"/>
        <item h="1" x="14096"/>
        <item h="1" x="14097"/>
        <item h="1" x="14098"/>
        <item h="1" x="14099"/>
        <item h="1" x="14100"/>
        <item h="1" x="14101"/>
        <item h="1" x="14102"/>
        <item h="1" x="14103"/>
        <item h="1" x="14104"/>
        <item h="1" x="14105"/>
        <item h="1" x="14106"/>
        <item h="1" x="14107"/>
        <item h="1" x="14108"/>
        <item h="1" x="14109"/>
        <item h="1" x="14110"/>
        <item h="1" x="14111"/>
        <item h="1" x="14112"/>
        <item h="1" x="14113"/>
        <item h="1" x="14114"/>
        <item h="1" x="14115"/>
        <item h="1" x="14116"/>
        <item h="1" x="14117"/>
        <item h="1" x="14118"/>
        <item h="1" x="14119"/>
        <item h="1" x="14120"/>
        <item h="1" x="14121"/>
        <item h="1" x="14122"/>
        <item h="1" x="14123"/>
        <item h="1" x="14124"/>
        <item h="1" x="14125"/>
        <item h="1" x="14126"/>
        <item h="1" x="14127"/>
        <item h="1" x="14128"/>
        <item h="1" x="14129"/>
        <item h="1" x="14130"/>
        <item h="1" x="14131"/>
        <item h="1" x="14132"/>
        <item h="1" x="14133"/>
        <item h="1" x="14134"/>
        <item h="1" x="14135"/>
        <item h="1" x="14136"/>
        <item h="1" x="14137"/>
        <item h="1" x="14138"/>
        <item h="1" x="14139"/>
        <item h="1" x="14140"/>
        <item h="1" x="14141"/>
        <item h="1" x="14142"/>
        <item h="1" x="14143"/>
        <item h="1" x="14144"/>
        <item h="1" x="14145"/>
        <item h="1" x="14146"/>
        <item h="1" x="14147"/>
        <item h="1" x="14148"/>
        <item h="1" x="14149"/>
        <item h="1" x="14150"/>
        <item h="1" x="14151"/>
        <item h="1" x="14152"/>
        <item h="1" x="14153"/>
        <item h="1" x="14154"/>
        <item h="1" x="14155"/>
        <item h="1" x="14156"/>
        <item h="1" x="14157"/>
        <item h="1" x="14158"/>
        <item h="1" x="14159"/>
        <item h="1" x="14160"/>
        <item h="1" x="14161"/>
        <item h="1" x="14162"/>
        <item h="1" x="14163"/>
        <item h="1" x="14164"/>
        <item h="1" x="14165"/>
        <item h="1" x="14166"/>
        <item h="1" x="14167"/>
        <item h="1" x="14168"/>
        <item h="1" x="14169"/>
        <item h="1" x="14170"/>
        <item h="1" x="14171"/>
        <item h="1" x="14172"/>
        <item h="1" x="14173"/>
        <item h="1" x="14174"/>
        <item h="1" x="14175"/>
        <item h="1" x="14176"/>
        <item h="1" x="14177"/>
        <item h="1" x="14178"/>
        <item h="1" x="14179"/>
        <item h="1" x="14180"/>
        <item h="1" x="14181"/>
        <item h="1" x="14182"/>
        <item h="1" x="14183"/>
        <item h="1" x="14184"/>
        <item h="1" x="14185"/>
        <item h="1" x="14186"/>
        <item h="1" x="14187"/>
        <item h="1" x="14188"/>
        <item h="1" x="14189"/>
        <item h="1" x="14190"/>
        <item h="1" x="14191"/>
        <item h="1" x="14192"/>
        <item h="1" x="14193"/>
        <item h="1" x="14194"/>
        <item h="1" x="14195"/>
        <item h="1" x="14196"/>
        <item h="1" x="14197"/>
        <item h="1" x="14198"/>
        <item h="1" x="14199"/>
        <item h="1" x="14200"/>
        <item h="1" x="14201"/>
        <item h="1" x="14202"/>
        <item h="1" x="14203"/>
        <item h="1" x="14204"/>
        <item h="1" x="14205"/>
        <item h="1" x="14206"/>
        <item h="1" x="14207"/>
        <item h="1" x="14208"/>
        <item h="1" x="14209"/>
        <item h="1" x="14210"/>
        <item h="1" x="14211"/>
        <item h="1" x="14212"/>
        <item h="1" x="14213"/>
        <item h="1" x="14214"/>
        <item h="1" x="14215"/>
        <item h="1" x="14216"/>
        <item h="1" x="14217"/>
        <item h="1" x="14218"/>
        <item h="1" x="14219"/>
        <item h="1" x="14220"/>
        <item h="1" x="14221"/>
        <item h="1" x="14222"/>
        <item h="1" x="14223"/>
        <item h="1" x="14224"/>
        <item h="1" x="14225"/>
        <item h="1" x="14226"/>
        <item h="1" x="14227"/>
        <item h="1" x="14228"/>
        <item h="1" x="14229"/>
        <item h="1" x="14230"/>
        <item h="1" x="14231"/>
        <item h="1" x="14232"/>
        <item h="1" x="14233"/>
        <item h="1" x="14234"/>
        <item h="1" x="14235"/>
        <item h="1" x="14236"/>
        <item h="1" x="14237"/>
        <item h="1" x="14238"/>
        <item h="1" x="14239"/>
        <item h="1" x="14240"/>
        <item h="1" x="14241"/>
        <item h="1" x="14242"/>
        <item h="1" x="14243"/>
        <item h="1" x="14244"/>
        <item h="1" x="14245"/>
        <item h="1" x="14246"/>
        <item h="1" x="14247"/>
        <item h="1" x="14248"/>
        <item h="1" x="14249"/>
        <item h="1" x="14250"/>
        <item h="1" x="14251"/>
        <item h="1" x="14252"/>
        <item h="1" x="14253"/>
        <item h="1" x="14254"/>
        <item h="1" x="14255"/>
        <item h="1" x="14256"/>
        <item h="1" x="14257"/>
        <item h="1" x="14258"/>
        <item h="1" x="14259"/>
        <item h="1" x="14260"/>
        <item h="1" x="14261"/>
        <item h="1" x="14262"/>
        <item h="1" x="14263"/>
        <item h="1" x="14264"/>
        <item h="1" x="14265"/>
        <item h="1" x="14266"/>
        <item h="1" x="14267"/>
        <item h="1" x="14268"/>
        <item h="1" x="14269"/>
        <item h="1" x="14270"/>
        <item h="1" x="14271"/>
        <item h="1" x="14272"/>
        <item h="1" x="14273"/>
        <item h="1" x="14274"/>
        <item h="1" x="14275"/>
        <item h="1" x="14276"/>
        <item h="1" x="14277"/>
        <item h="1" x="14278"/>
        <item h="1" x="14279"/>
        <item h="1" x="14280"/>
        <item h="1" x="14281"/>
        <item h="1" x="14282"/>
        <item h="1" x="14283"/>
        <item h="1" x="14284"/>
        <item h="1" x="14285"/>
        <item h="1" x="14286"/>
        <item h="1" x="14287"/>
        <item h="1" x="14288"/>
        <item h="1" x="14289"/>
        <item h="1" x="14290"/>
        <item h="1" x="14291"/>
        <item h="1" x="14292"/>
        <item h="1" x="14293"/>
        <item h="1" x="14294"/>
        <item h="1" x="14295"/>
        <item h="1" x="14296"/>
        <item h="1" x="14297"/>
        <item h="1" x="14298"/>
        <item h="1" x="14299"/>
        <item h="1" x="14300"/>
        <item h="1" x="14301"/>
        <item h="1" x="14302"/>
        <item h="1" x="14303"/>
        <item h="1" x="14304"/>
        <item h="1" x="14305"/>
        <item h="1" x="14306"/>
        <item h="1" x="14307"/>
        <item h="1" x="14308"/>
        <item h="1" x="14309"/>
        <item h="1" x="14310"/>
        <item h="1" x="14311"/>
        <item h="1" x="14312"/>
        <item h="1" x="14313"/>
        <item h="1" x="14314"/>
        <item h="1" x="14315"/>
        <item h="1" x="14316"/>
        <item h="1" x="14317"/>
        <item h="1" x="14318"/>
        <item h="1" x="14319"/>
        <item h="1" x="14320"/>
        <item h="1" x="14321"/>
        <item h="1" x="14322"/>
        <item h="1" x="14323"/>
        <item h="1" x="14324"/>
        <item h="1" x="14325"/>
        <item h="1" x="14326"/>
        <item h="1" x="14327"/>
        <item h="1" x="14328"/>
        <item h="1" x="14329"/>
        <item h="1" x="14330"/>
        <item h="1" x="14331"/>
        <item h="1" x="14332"/>
        <item h="1" x="14333"/>
        <item h="1" x="14334"/>
        <item h="1" x="14335"/>
        <item h="1" x="14336"/>
        <item h="1" x="14337"/>
        <item h="1" x="14338"/>
        <item h="1" x="14339"/>
        <item h="1" x="14340"/>
        <item h="1" x="14341"/>
        <item h="1" x="14342"/>
        <item h="1" x="14343"/>
        <item h="1" x="14344"/>
        <item h="1" x="14345"/>
        <item h="1" x="14346"/>
        <item h="1" x="14347"/>
        <item h="1" x="14348"/>
        <item h="1" x="14349"/>
        <item h="1" x="14350"/>
        <item h="1" x="14351"/>
        <item h="1" x="14352"/>
        <item h="1" x="14353"/>
        <item h="1" x="14354"/>
        <item h="1" x="14355"/>
        <item h="1" x="14356"/>
        <item h="1" x="14357"/>
        <item h="1" x="14358"/>
        <item h="1" x="14359"/>
        <item h="1" x="14360"/>
        <item h="1" x="14361"/>
        <item h="1" x="14362"/>
        <item h="1" x="14363"/>
        <item h="1" x="14364"/>
        <item h="1" x="14365"/>
        <item h="1" x="14366"/>
        <item h="1" x="14367"/>
        <item h="1" x="14368"/>
        <item h="1" x="14369"/>
        <item h="1" x="14370"/>
        <item h="1" x="14371"/>
        <item h="1" x="14372"/>
        <item h="1" x="14373"/>
        <item h="1" x="14374"/>
        <item h="1" x="14375"/>
        <item h="1" x="14376"/>
        <item h="1" x="14377"/>
        <item h="1" x="14378"/>
        <item h="1" x="14379"/>
        <item h="1" x="14380"/>
        <item h="1" x="14381"/>
        <item h="1" x="14382"/>
        <item h="1" x="14383"/>
        <item h="1" x="14384"/>
        <item h="1" x="14385"/>
        <item h="1" x="14386"/>
        <item h="1" x="14387"/>
        <item h="1" x="14388"/>
        <item h="1" x="14389"/>
        <item h="1" x="14390"/>
        <item h="1" x="14391"/>
        <item h="1" x="14392"/>
        <item h="1" x="14393"/>
        <item h="1" x="14394"/>
        <item h="1" x="14395"/>
        <item h="1" x="14396"/>
        <item h="1" x="14397"/>
        <item h="1" x="14398"/>
        <item h="1" x="14399"/>
        <item h="1" x="14400"/>
        <item h="1" x="14401"/>
        <item h="1" x="14402"/>
        <item h="1" x="14403"/>
        <item h="1" x="14404"/>
        <item h="1" x="14405"/>
        <item h="1" x="14406"/>
        <item h="1" x="14407"/>
        <item h="1" x="14408"/>
        <item h="1" x="14409"/>
        <item h="1" x="14410"/>
        <item h="1" x="14411"/>
        <item h="1" x="14412"/>
        <item h="1" x="14413"/>
        <item h="1" x="14414"/>
        <item h="1" x="14415"/>
        <item h="1" x="14416"/>
        <item h="1" x="14417"/>
        <item h="1" x="14418"/>
        <item h="1" x="14419"/>
        <item h="1" x="14420"/>
        <item h="1" x="14421"/>
        <item h="1" x="14422"/>
        <item h="1" x="14423"/>
        <item h="1" x="14424"/>
        <item h="1" x="14425"/>
        <item h="1" x="14426"/>
        <item h="1" x="14427"/>
        <item h="1" x="14428"/>
        <item h="1" x="14429"/>
        <item h="1" x="14430"/>
        <item h="1" x="14431"/>
        <item h="1" x="14432"/>
        <item h="1" x="14433"/>
        <item h="1" x="14434"/>
        <item h="1" x="14435"/>
        <item h="1" x="14436"/>
        <item h="1" x="14437"/>
        <item h="1" x="14438"/>
        <item h="1" x="14439"/>
        <item h="1" x="14440"/>
        <item h="1" x="14441"/>
        <item h="1" x="14442"/>
        <item h="1" x="14443"/>
        <item h="1" x="14444"/>
        <item h="1" x="14445"/>
        <item h="1" x="14446"/>
        <item h="1" x="14447"/>
        <item h="1" x="14448"/>
        <item h="1" x="14449"/>
        <item h="1" x="14450"/>
        <item h="1" x="14451"/>
        <item h="1" x="14452"/>
        <item h="1" x="14453"/>
        <item h="1" x="14454"/>
        <item h="1" x="14455"/>
        <item h="1" x="14456"/>
        <item h="1" x="14457"/>
        <item h="1" x="14458"/>
        <item h="1" x="14459"/>
        <item h="1" x="14460"/>
        <item h="1" x="14461"/>
        <item h="1" x="14462"/>
        <item h="1" x="14463"/>
        <item h="1" x="14464"/>
        <item h="1" x="14465"/>
        <item h="1" x="14466"/>
        <item h="1" x="14467"/>
        <item h="1" x="14468"/>
        <item h="1" x="14469"/>
        <item h="1" x="14470"/>
        <item h="1" x="14471"/>
        <item h="1" x="14472"/>
        <item h="1" x="14473"/>
        <item h="1" x="14474"/>
        <item h="1" x="14475"/>
        <item h="1" x="14476"/>
        <item h="1" x="14477"/>
        <item h="1" x="14478"/>
        <item h="1" x="14479"/>
        <item h="1" x="14480"/>
        <item h="1" x="14481"/>
        <item h="1" x="14482"/>
        <item h="1" x="14483"/>
        <item h="1" x="14484"/>
        <item h="1" x="14485"/>
        <item h="1" x="14486"/>
        <item h="1" x="14487"/>
        <item h="1" x="14488"/>
        <item h="1" x="14489"/>
        <item h="1" x="14490"/>
        <item h="1" x="14491"/>
        <item h="1" x="14492"/>
        <item h="1" x="14493"/>
        <item h="1" x="14494"/>
        <item h="1" x="14495"/>
        <item h="1" x="14496"/>
        <item h="1" x="14497"/>
        <item h="1" x="14498"/>
        <item h="1" x="14499"/>
        <item h="1" x="14500"/>
        <item h="1" x="14501"/>
        <item h="1" x="14502"/>
        <item h="1" x="14503"/>
        <item h="1" x="14504"/>
        <item h="1" x="14505"/>
        <item h="1" x="14506"/>
        <item h="1" x="14507"/>
        <item h="1" x="14508"/>
        <item h="1" x="14509"/>
        <item h="1" x="14510"/>
        <item h="1" x="14511"/>
        <item h="1" x="14512"/>
        <item h="1" x="14513"/>
        <item h="1" x="14514"/>
        <item h="1" x="14515"/>
        <item h="1" x="14516"/>
        <item h="1" x="14517"/>
        <item h="1" x="14518"/>
        <item h="1" x="14519"/>
        <item h="1" x="14520"/>
        <item h="1" x="14521"/>
        <item h="1" x="14522"/>
        <item h="1" x="14523"/>
        <item h="1" x="14524"/>
        <item h="1" x="14525"/>
        <item h="1" x="14526"/>
        <item h="1" x="14527"/>
        <item h="1" x="14528"/>
        <item h="1" x="14529"/>
        <item h="1" x="14530"/>
        <item h="1" x="14531"/>
        <item h="1" x="14532"/>
        <item h="1" x="14533"/>
        <item h="1" x="14534"/>
        <item h="1" x="14535"/>
        <item h="1" x="14536"/>
        <item h="1" x="14537"/>
        <item h="1" x="14538"/>
        <item h="1" x="14539"/>
        <item h="1" x="14540"/>
        <item h="1" x="14541"/>
        <item h="1" x="14542"/>
        <item h="1" x="14543"/>
        <item h="1" x="14544"/>
        <item h="1" x="14545"/>
        <item h="1" x="14546"/>
        <item h="1" x="14547"/>
        <item h="1" x="14548"/>
        <item h="1" x="14549"/>
        <item h="1" x="14550"/>
        <item h="1" x="14551"/>
        <item h="1" x="14552"/>
        <item h="1" x="14553"/>
        <item h="1" x="14554"/>
        <item h="1" x="14555"/>
        <item h="1" x="14556"/>
        <item h="1" x="14557"/>
        <item h="1" x="14558"/>
        <item h="1" x="14559"/>
        <item h="1" x="14560"/>
        <item h="1" x="14561"/>
        <item h="1" x="14562"/>
        <item h="1" x="14563"/>
        <item h="1" x="14564"/>
        <item h="1" x="14565"/>
        <item h="1" x="14566"/>
        <item h="1" x="14567"/>
        <item h="1" x="14568"/>
        <item h="1" x="14569"/>
        <item h="1" x="14570"/>
        <item h="1" x="14571"/>
        <item h="1" x="14572"/>
        <item h="1" x="14573"/>
        <item h="1" x="14574"/>
        <item h="1" x="14575"/>
        <item h="1" x="14576"/>
        <item h="1" x="14577"/>
        <item h="1" x="14578"/>
        <item h="1" x="14579"/>
        <item h="1" x="14580"/>
        <item h="1" x="14581"/>
        <item h="1" x="14582"/>
        <item h="1" x="14583"/>
        <item h="1" x="14584"/>
        <item h="1" x="14585"/>
        <item h="1" x="14586"/>
        <item h="1" x="14587"/>
        <item h="1" x="14588"/>
        <item h="1" x="14589"/>
        <item h="1" x="14590"/>
        <item h="1" x="14591"/>
        <item h="1" x="14592"/>
        <item h="1" x="14593"/>
        <item h="1" x="14594"/>
        <item h="1" x="14595"/>
        <item h="1" x="14596"/>
        <item h="1" x="14597"/>
        <item h="1" x="14598"/>
        <item h="1" x="14599"/>
        <item h="1" x="14600"/>
        <item h="1" x="14601"/>
        <item h="1" x="14602"/>
        <item h="1" x="14603"/>
        <item h="1" x="14604"/>
        <item h="1" x="14605"/>
        <item h="1" x="14606"/>
        <item h="1" x="14607"/>
        <item h="1" x="14608"/>
        <item h="1" x="14609"/>
        <item h="1" x="14610"/>
        <item h="1" x="14611"/>
        <item h="1" x="14612"/>
        <item h="1" x="14613"/>
        <item h="1" x="14614"/>
        <item h="1" x="14615"/>
        <item h="1" x="14616"/>
        <item h="1" x="14617"/>
        <item h="1" x="14618"/>
        <item h="1" x="14619"/>
        <item h="1" x="14620"/>
        <item h="1" x="14621"/>
        <item h="1" x="14622"/>
        <item h="1" x="14623"/>
        <item h="1" x="14624"/>
        <item h="1" x="14625"/>
        <item h="1" x="14626"/>
        <item h="1" x="14627"/>
        <item h="1" x="14628"/>
        <item h="1" x="14629"/>
        <item h="1" x="14630"/>
        <item h="1" x="14631"/>
        <item h="1" x="14632"/>
        <item h="1" x="14633"/>
        <item h="1" x="14634"/>
        <item h="1" x="14635"/>
        <item h="1" x="14636"/>
        <item h="1" x="14637"/>
        <item h="1" x="14638"/>
        <item h="1" x="14639"/>
        <item h="1" x="14640"/>
        <item h="1" x="14641"/>
        <item h="1" x="14642"/>
        <item h="1" x="14643"/>
        <item h="1" x="14644"/>
        <item h="1" x="14645"/>
        <item h="1" x="14646"/>
        <item h="1" x="14647"/>
        <item h="1" x="14648"/>
        <item h="1" x="14649"/>
        <item h="1" x="14650"/>
        <item h="1" x="14651"/>
        <item h="1" x="14652"/>
        <item h="1" x="14653"/>
        <item h="1" x="14654"/>
        <item h="1" x="14655"/>
        <item h="1" x="14656"/>
        <item h="1" x="14657"/>
        <item h="1" x="14658"/>
        <item h="1" x="14659"/>
        <item h="1" x="14660"/>
        <item h="1" x="14661"/>
        <item h="1" x="14662"/>
        <item h="1" x="14663"/>
        <item h="1" x="14664"/>
        <item h="1" x="14665"/>
        <item h="1" x="14666"/>
        <item h="1" x="14667"/>
        <item h="1" x="14668"/>
        <item h="1" x="14669"/>
        <item h="1" x="14670"/>
        <item h="1" x="14671"/>
        <item h="1" x="14672"/>
        <item h="1" x="14673"/>
        <item h="1" x="14674"/>
        <item h="1" x="14675"/>
        <item h="1" x="14676"/>
        <item h="1" x="14677"/>
        <item h="1" x="14678"/>
        <item h="1" x="14679"/>
        <item h="1" x="14680"/>
        <item h="1" x="14681"/>
        <item h="1" x="14682"/>
        <item h="1" x="14683"/>
        <item h="1" x="14684"/>
        <item h="1" x="14685"/>
        <item h="1" x="14686"/>
        <item h="1" x="14687"/>
        <item h="1" x="14688"/>
        <item h="1" x="14689"/>
        <item h="1" x="14690"/>
        <item h="1" x="14691"/>
        <item h="1" x="14692"/>
        <item h="1" x="14693"/>
        <item h="1" x="14694"/>
        <item h="1" x="14695"/>
        <item h="1" x="14696"/>
        <item h="1" x="14697"/>
        <item h="1" x="14698"/>
        <item h="1" x="14699"/>
        <item h="1" x="14700"/>
        <item h="1" x="14701"/>
        <item h="1" x="14702"/>
        <item h="1" x="14703"/>
        <item h="1" x="14704"/>
        <item h="1" x="14705"/>
        <item h="1" x="14706"/>
        <item h="1" x="14707"/>
        <item h="1" x="14708"/>
        <item h="1" x="14709"/>
        <item h="1" x="14710"/>
        <item h="1" x="14711"/>
        <item h="1" x="14712"/>
        <item h="1" x="14713"/>
        <item h="1" x="14714"/>
        <item h="1" x="14715"/>
        <item h="1" x="14716"/>
        <item h="1" x="14717"/>
        <item h="1" x="14718"/>
        <item h="1" x="14719"/>
        <item h="1" x="14720"/>
        <item h="1" x="14721"/>
        <item h="1" x="14722"/>
        <item h="1" x="14723"/>
        <item h="1" x="14724"/>
        <item h="1" x="14725"/>
        <item h="1" x="14726"/>
        <item h="1" x="14727"/>
        <item h="1" x="14728"/>
        <item h="1" x="14729"/>
        <item h="1" x="14730"/>
        <item h="1" x="14731"/>
        <item h="1" x="14732"/>
        <item h="1" x="14733"/>
        <item h="1" x="14734"/>
        <item h="1" x="14735"/>
        <item h="1" x="14736"/>
        <item h="1" x="14737"/>
        <item h="1" x="14738"/>
        <item h="1" x="14739"/>
        <item h="1" x="14740"/>
        <item h="1" x="14741"/>
        <item h="1" x="14742"/>
        <item h="1" x="14743"/>
        <item h="1" x="14744"/>
        <item h="1" x="14745"/>
        <item h="1" x="14746"/>
        <item h="1" x="14747"/>
        <item h="1" x="14748"/>
        <item h="1" x="14749"/>
        <item h="1" x="14750"/>
        <item h="1" x="14751"/>
        <item h="1" x="14752"/>
        <item h="1" x="14753"/>
        <item h="1" x="14754"/>
        <item h="1" x="14755"/>
        <item h="1" x="14756"/>
        <item h="1" x="14757"/>
        <item h="1" x="14758"/>
        <item h="1" x="14759"/>
        <item h="1" x="14760"/>
        <item h="1" x="14761"/>
        <item h="1" x="14762"/>
        <item h="1" x="14763"/>
        <item h="1" x="14764"/>
        <item h="1" x="14765"/>
        <item h="1" x="14766"/>
        <item h="1" x="14767"/>
        <item h="1" x="14768"/>
        <item h="1" x="14769"/>
        <item h="1" x="14770"/>
        <item h="1" x="14771"/>
        <item h="1" x="14772"/>
        <item h="1" x="14773"/>
        <item h="1" x="14774"/>
        <item h="1" x="14775"/>
        <item h="1" x="14776"/>
        <item h="1" x="14777"/>
        <item h="1" x="14778"/>
        <item h="1" x="14779"/>
        <item h="1" x="14780"/>
        <item h="1" x="14781"/>
        <item h="1" x="14782"/>
        <item h="1" x="14783"/>
        <item h="1" x="14784"/>
        <item h="1" x="14785"/>
        <item h="1" x="14786"/>
        <item h="1" x="14787"/>
        <item h="1" x="14788"/>
        <item h="1" x="14789"/>
        <item h="1" x="14790"/>
        <item h="1" x="14791"/>
        <item h="1" x="14792"/>
        <item h="1" x="14793"/>
        <item h="1" x="14794"/>
        <item h="1" x="14795"/>
        <item h="1" x="14796"/>
        <item h="1" x="14797"/>
        <item h="1" x="14798"/>
        <item h="1" x="14799"/>
        <item h="1" x="14800"/>
        <item h="1" x="14801"/>
        <item h="1" x="14802"/>
        <item h="1" x="14803"/>
        <item h="1" x="14804"/>
        <item h="1" x="14805"/>
        <item h="1" x="14806"/>
        <item h="1" x="14807"/>
        <item h="1" x="14808"/>
        <item h="1" x="14809"/>
        <item h="1" x="14810"/>
        <item h="1" x="14811"/>
        <item h="1" x="14812"/>
        <item h="1" x="14813"/>
        <item h="1" x="14814"/>
        <item h="1" x="14815"/>
        <item h="1" x="14816"/>
        <item h="1" x="14817"/>
        <item h="1" x="14818"/>
        <item h="1" x="14819"/>
        <item h="1" x="14820"/>
        <item h="1" x="14821"/>
        <item h="1" x="14822"/>
        <item h="1" x="14823"/>
        <item h="1" x="14824"/>
        <item h="1" x="14825"/>
        <item h="1" x="14826"/>
        <item h="1" x="14827"/>
        <item h="1" x="14828"/>
        <item h="1" x="14829"/>
        <item h="1" x="14830"/>
        <item h="1" x="14831"/>
        <item h="1" x="14832"/>
        <item h="1" x="14833"/>
        <item h="1" x="14834"/>
        <item h="1" x="14835"/>
        <item h="1" x="14836"/>
        <item h="1" x="14837"/>
        <item h="1" x="14838"/>
        <item h="1" x="14839"/>
        <item h="1" x="14840"/>
        <item h="1" x="14841"/>
        <item h="1" x="14842"/>
        <item h="1" x="14843"/>
        <item h="1" x="14844"/>
        <item h="1" x="14845"/>
        <item h="1" x="14846"/>
        <item h="1" x="14847"/>
        <item h="1" x="14848"/>
        <item h="1" x="14849"/>
        <item h="1" x="14850"/>
        <item h="1" x="14851"/>
        <item h="1" x="14852"/>
        <item h="1" x="14853"/>
        <item h="1" x="14854"/>
        <item h="1" x="14855"/>
        <item h="1" x="14856"/>
        <item h="1" x="14857"/>
        <item h="1" x="14858"/>
        <item h="1" x="14859"/>
        <item h="1" x="14860"/>
        <item h="1" x="14861"/>
        <item h="1" x="14862"/>
        <item h="1" x="14863"/>
        <item h="1" x="14864"/>
        <item h="1" x="14865"/>
        <item h="1" x="14866"/>
        <item h="1" x="14867"/>
        <item h="1" x="14868"/>
        <item h="1" x="14869"/>
        <item h="1" x="14870"/>
        <item h="1" x="14871"/>
        <item h="1" x="14872"/>
        <item h="1" x="14873"/>
        <item h="1" x="14874"/>
        <item h="1" x="14875"/>
        <item h="1" x="14876"/>
        <item h="1" x="14877"/>
        <item h="1" x="14878"/>
        <item h="1" x="14879"/>
        <item h="1" x="14880"/>
        <item h="1" x="14881"/>
        <item h="1" x="14882"/>
        <item h="1" x="14883"/>
        <item h="1" x="14884"/>
        <item h="1" x="14885"/>
        <item h="1" x="14886"/>
        <item h="1" x="14887"/>
        <item h="1" x="14888"/>
        <item h="1" x="14889"/>
        <item h="1" x="14890"/>
        <item h="1" x="14891"/>
        <item h="1" x="14892"/>
        <item h="1" x="14893"/>
        <item h="1" x="14894"/>
        <item h="1" x="14895"/>
        <item h="1" x="14896"/>
        <item h="1" x="14897"/>
        <item h="1" x="14898"/>
        <item h="1" x="14899"/>
        <item h="1" x="14900"/>
        <item h="1" x="14901"/>
        <item h="1" x="14902"/>
        <item h="1" x="14903"/>
        <item h="1" x="14904"/>
        <item h="1" x="14905"/>
        <item h="1" x="14906"/>
        <item h="1" x="14907"/>
        <item h="1" x="14908"/>
        <item h="1" x="14909"/>
        <item h="1" x="14910"/>
        <item h="1" x="14911"/>
        <item h="1" x="14912"/>
        <item h="1" x="14913"/>
        <item h="1" x="14914"/>
        <item h="1" x="14915"/>
        <item h="1" x="14916"/>
        <item h="1" x="14917"/>
        <item h="1" x="14918"/>
        <item h="1" x="14919"/>
        <item h="1" x="14920"/>
        <item h="1" x="14921"/>
        <item h="1" x="14922"/>
        <item h="1" x="14923"/>
        <item h="1" x="14924"/>
        <item h="1" x="14925"/>
        <item h="1" x="14926"/>
        <item h="1" x="14927"/>
        <item h="1" x="14928"/>
        <item h="1" x="14929"/>
        <item h="1" x="14930"/>
        <item h="1" x="14931"/>
        <item h="1" x="14932"/>
        <item h="1" x="14933"/>
        <item h="1" x="14934"/>
        <item h="1" x="14935"/>
        <item h="1" x="14936"/>
        <item h="1" x="14937"/>
        <item h="1" x="14938"/>
        <item h="1" x="14939"/>
        <item h="1" x="14940"/>
        <item h="1" x="14941"/>
        <item h="1" x="14942"/>
        <item h="1" x="14943"/>
        <item h="1" x="14944"/>
        <item h="1" x="14945"/>
        <item h="1" x="14946"/>
        <item h="1" x="14947"/>
        <item h="1" x="14948"/>
        <item h="1" x="14949"/>
        <item h="1" x="14950"/>
        <item h="1" x="14951"/>
        <item h="1" x="14952"/>
        <item h="1" x="14953"/>
        <item h="1" x="14954"/>
        <item h="1" x="14955"/>
        <item h="1" x="14956"/>
        <item h="1" x="14957"/>
        <item h="1" x="14958"/>
        <item h="1" x="14959"/>
        <item h="1" x="14960"/>
        <item h="1" x="14961"/>
        <item h="1" x="14962"/>
        <item h="1" x="14963"/>
        <item h="1" x="14964"/>
        <item h="1" x="14965"/>
        <item h="1" x="14966"/>
        <item h="1" x="14967"/>
        <item h="1" x="14968"/>
        <item h="1" x="14969"/>
        <item h="1" x="14970"/>
        <item h="1" x="14971"/>
        <item h="1" x="14972"/>
        <item h="1" x="14973"/>
        <item h="1" x="14974"/>
        <item h="1" x="14975"/>
        <item h="1" x="14976"/>
        <item h="1" x="14977"/>
        <item h="1" x="14978"/>
        <item h="1" x="14979"/>
        <item h="1" x="14980"/>
        <item h="1" x="14981"/>
        <item h="1" x="14982"/>
        <item h="1" x="14983"/>
        <item h="1" x="14984"/>
        <item h="1" x="14985"/>
        <item h="1" x="14986"/>
        <item h="1" x="14987"/>
        <item h="1" x="14988"/>
        <item h="1" x="14989"/>
        <item h="1" x="14990"/>
        <item h="1" x="14991"/>
        <item h="1" x="14992"/>
        <item h="1" x="14993"/>
        <item h="1" x="14994"/>
        <item h="1" x="14995"/>
        <item h="1" x="14996"/>
        <item h="1" x="14997"/>
        <item h="1" x="14998"/>
        <item h="1" x="14999"/>
        <item h="1" x="15000"/>
        <item h="1" x="15001"/>
        <item h="1" x="15002"/>
        <item h="1" x="15003"/>
        <item h="1" x="15004"/>
        <item h="1" x="15005"/>
        <item h="1" x="15006"/>
        <item h="1" x="15007"/>
        <item h="1" x="15008"/>
        <item h="1" x="15009"/>
        <item h="1" x="15010"/>
        <item h="1" x="15011"/>
        <item h="1" x="15012"/>
        <item h="1" x="15013"/>
        <item h="1" x="15014"/>
        <item h="1" x="15015"/>
        <item h="1" x="15016"/>
        <item h="1" x="15017"/>
        <item h="1" x="15018"/>
        <item h="1" x="15019"/>
        <item h="1" x="15020"/>
        <item h="1" x="15021"/>
        <item h="1" x="15022"/>
        <item h="1" x="15023"/>
        <item h="1" x="15024"/>
        <item h="1" x="15025"/>
        <item h="1" x="15026"/>
        <item h="1" x="15027"/>
        <item h="1" x="15028"/>
        <item h="1" x="15029"/>
        <item h="1" x="15030"/>
        <item h="1" x="15031"/>
        <item h="1" x="15032"/>
        <item h="1" x="15033"/>
        <item h="1" x="15034"/>
        <item h="1" x="15035"/>
        <item h="1" x="15036"/>
        <item h="1" x="15037"/>
        <item h="1" x="15038"/>
        <item h="1" x="15039"/>
        <item h="1" x="15040"/>
        <item h="1" x="15041"/>
        <item h="1" x="15042"/>
        <item h="1" x="15043"/>
        <item h="1" x="15044"/>
        <item h="1" x="15045"/>
        <item h="1" x="15046"/>
        <item h="1" x="15047"/>
        <item h="1" x="15048"/>
        <item h="1" x="15049"/>
        <item h="1" x="15050"/>
        <item h="1" x="15051"/>
        <item h="1" x="15052"/>
        <item h="1" x="15053"/>
        <item h="1" x="15054"/>
        <item h="1" x="15055"/>
        <item h="1" x="15056"/>
        <item h="1" x="15057"/>
        <item h="1" x="15058"/>
        <item h="1" x="15059"/>
        <item h="1" x="15060"/>
        <item h="1" x="15061"/>
        <item h="1" x="15062"/>
        <item h="1" x="15063"/>
        <item h="1" x="15064"/>
        <item h="1" x="15065"/>
        <item h="1" x="15066"/>
        <item h="1" x="15067"/>
        <item h="1" x="15068"/>
        <item h="1" x="15069"/>
        <item h="1" x="15070"/>
        <item h="1" x="15071"/>
        <item h="1" x="15072"/>
        <item h="1" x="15073"/>
        <item h="1" x="15074"/>
        <item h="1" x="15075"/>
        <item h="1" x="15076"/>
        <item h="1" x="15077"/>
        <item h="1" x="15078"/>
        <item h="1" x="15079"/>
        <item h="1" x="15080"/>
        <item h="1" x="15081"/>
        <item h="1" x="15082"/>
        <item h="1" x="15083"/>
        <item h="1" x="15084"/>
        <item h="1" x="15085"/>
        <item h="1" x="15086"/>
        <item h="1" x="15087"/>
        <item h="1" x="15088"/>
        <item h="1" x="15089"/>
        <item h="1" x="15090"/>
        <item h="1" x="15091"/>
        <item h="1" x="15092"/>
        <item h="1" x="15093"/>
        <item h="1" x="15094"/>
        <item h="1" x="15095"/>
        <item h="1" x="15096"/>
        <item h="1" x="15097"/>
        <item h="1" x="15098"/>
        <item h="1" x="15099"/>
        <item h="1" x="15100"/>
        <item h="1" x="15101"/>
        <item h="1" x="15102"/>
        <item h="1" x="15103"/>
        <item h="1" x="15104"/>
        <item h="1" x="15105"/>
        <item h="1" x="15106"/>
        <item h="1" x="15107"/>
        <item h="1" x="15108"/>
        <item h="1" x="15109"/>
        <item h="1" x="15110"/>
        <item h="1" x="15111"/>
        <item h="1" x="15112"/>
        <item h="1" x="15113"/>
        <item h="1" x="15114"/>
        <item h="1" x="15115"/>
        <item h="1" x="15116"/>
        <item h="1" x="15117"/>
        <item h="1" x="15118"/>
        <item h="1" x="15119"/>
        <item h="1" x="15120"/>
        <item h="1" x="15121"/>
        <item h="1" x="15122"/>
        <item h="1" x="15123"/>
        <item h="1" x="15124"/>
        <item h="1" x="15125"/>
        <item h="1" x="15126"/>
        <item h="1" x="15127"/>
        <item h="1" x="15128"/>
        <item h="1" x="15129"/>
        <item h="1" x="15130"/>
        <item h="1" x="15131"/>
        <item h="1" x="15132"/>
        <item h="1" x="15133"/>
        <item h="1" x="15134"/>
        <item h="1" x="15135"/>
        <item h="1" x="15136"/>
        <item h="1" x="15137"/>
        <item h="1" x="15138"/>
        <item h="1" x="15139"/>
        <item h="1" x="15140"/>
        <item h="1" x="15141"/>
        <item h="1" x="15142"/>
        <item h="1" x="15143"/>
        <item h="1" x="15144"/>
        <item h="1" x="15145"/>
        <item h="1" x="15146"/>
        <item h="1" x="15147"/>
        <item h="1" x="15148"/>
        <item h="1" x="15149"/>
        <item h="1" x="15150"/>
        <item h="1" x="15151"/>
        <item h="1" x="15152"/>
        <item h="1" x="15153"/>
        <item h="1" x="15154"/>
        <item h="1" x="15155"/>
        <item h="1" x="15156"/>
        <item h="1" x="15157"/>
        <item h="1" x="15158"/>
        <item h="1" x="15159"/>
        <item h="1" x="15160"/>
        <item h="1" x="15161"/>
        <item h="1" x="15162"/>
        <item h="1" x="15163"/>
        <item h="1" x="15164"/>
        <item h="1" x="15165"/>
        <item h="1" x="15166"/>
        <item h="1" x="15167"/>
        <item h="1" x="15168"/>
        <item h="1" x="15169"/>
        <item h="1" x="15170"/>
        <item h="1" x="15171"/>
        <item h="1" x="15172"/>
        <item h="1" x="15173"/>
        <item h="1" x="15174"/>
        <item h="1" x="15175"/>
        <item h="1" x="15176"/>
        <item h="1" x="15177"/>
        <item h="1" x="15178"/>
        <item h="1" x="15179"/>
        <item h="1" x="15180"/>
        <item h="1" x="15181"/>
        <item h="1" x="15182"/>
        <item h="1" x="15183"/>
        <item h="1" x="15184"/>
        <item h="1" x="15185"/>
        <item h="1" x="15186"/>
        <item h="1" x="15187"/>
        <item h="1" x="15188"/>
        <item h="1" x="15189"/>
        <item h="1" x="15190"/>
        <item h="1" x="15191"/>
        <item h="1" x="15192"/>
        <item h="1" x="15193"/>
        <item h="1" x="15194"/>
        <item h="1" x="15195"/>
        <item h="1" x="15196"/>
        <item h="1" x="15197"/>
        <item h="1" x="15198"/>
        <item h="1" x="15199"/>
        <item h="1" x="15200"/>
        <item h="1" x="15201"/>
        <item h="1" x="15202"/>
        <item h="1" x="15203"/>
        <item h="1" x="15204"/>
        <item h="1" x="15205"/>
        <item h="1" x="15206"/>
        <item h="1" x="15207"/>
        <item h="1" x="15208"/>
        <item h="1" x="15209"/>
        <item h="1" x="15210"/>
        <item h="1" x="15211"/>
        <item h="1" x="15212"/>
        <item h="1" x="15213"/>
        <item h="1" x="15214"/>
        <item h="1" x="15215"/>
        <item h="1" x="15216"/>
        <item h="1" x="15217"/>
        <item h="1" x="15218"/>
        <item h="1" x="15219"/>
        <item h="1" x="15220"/>
        <item h="1" x="15221"/>
        <item h="1" x="15222"/>
        <item h="1" x="15223"/>
        <item h="1" x="15224"/>
        <item h="1" x="15225"/>
        <item h="1" x="15226"/>
        <item h="1" x="15227"/>
        <item h="1" x="15228"/>
        <item h="1" x="15229"/>
        <item h="1" x="15230"/>
        <item h="1" x="15231"/>
        <item h="1" x="15232"/>
        <item h="1" x="15233"/>
        <item h="1" x="15234"/>
        <item h="1" x="15235"/>
        <item h="1" x="15236"/>
        <item h="1" x="15237"/>
        <item h="1" x="15238"/>
        <item h="1" x="15239"/>
        <item h="1" x="15240"/>
        <item h="1" x="15241"/>
        <item h="1" x="15242"/>
        <item h="1" x="15243"/>
        <item h="1" x="15244"/>
        <item h="1" x="15245"/>
        <item h="1" x="15246"/>
        <item h="1" x="15247"/>
        <item h="1" x="15248"/>
        <item h="1" x="15249"/>
        <item h="1" x="15250"/>
        <item h="1" x="15251"/>
        <item h="1" x="15252"/>
        <item h="1" x="15253"/>
        <item h="1" x="15254"/>
        <item h="1" x="15255"/>
        <item h="1" x="15256"/>
        <item h="1" x="15257"/>
        <item h="1" x="15258"/>
        <item h="1" x="15259"/>
        <item h="1" x="15260"/>
        <item h="1" x="15261"/>
        <item h="1" x="15262"/>
        <item h="1" x="15263"/>
        <item h="1" x="15264"/>
        <item h="1" x="15265"/>
        <item h="1" x="15266"/>
        <item h="1" x="15267"/>
        <item h="1" x="15268"/>
        <item h="1" x="15269"/>
        <item h="1" x="15270"/>
        <item h="1" x="15271"/>
        <item h="1" x="15272"/>
        <item h="1" x="15273"/>
        <item h="1" x="15274"/>
        <item h="1" x="15275"/>
        <item h="1" x="15276"/>
        <item h="1" x="15277"/>
        <item h="1" x="15278"/>
        <item h="1" x="15279"/>
        <item h="1" x="15280"/>
        <item h="1" x="15281"/>
        <item h="1" x="15282"/>
        <item h="1" x="15283"/>
        <item h="1" x="15284"/>
        <item h="1" x="15285"/>
        <item h="1" x="15286"/>
        <item h="1" x="15287"/>
        <item h="1" x="15288"/>
        <item h="1" x="15289"/>
        <item h="1" x="15290"/>
        <item h="1" x="15291"/>
        <item h="1" x="15292"/>
        <item h="1" x="15293"/>
        <item h="1" x="15294"/>
        <item h="1" x="15295"/>
        <item h="1" x="15296"/>
        <item h="1" x="15297"/>
        <item h="1" x="15298"/>
        <item h="1" x="15299"/>
        <item h="1" x="15300"/>
        <item h="1" x="15301"/>
        <item h="1" x="15302"/>
        <item h="1" x="15303"/>
        <item h="1" x="15304"/>
        <item h="1" x="15305"/>
        <item h="1" x="15306"/>
        <item h="1" x="15307"/>
        <item h="1" x="15308"/>
        <item h="1" x="15309"/>
        <item h="1" x="15310"/>
        <item h="1" x="15311"/>
        <item h="1" x="15312"/>
        <item h="1" x="15313"/>
        <item h="1" x="15314"/>
        <item h="1" x="15315"/>
        <item h="1" x="15316"/>
        <item h="1" x="15317"/>
        <item h="1" x="15318"/>
        <item h="1" x="15319"/>
        <item h="1" x="15320"/>
        <item h="1" x="15321"/>
        <item h="1" x="15322"/>
        <item h="1" x="15323"/>
        <item h="1" x="15324"/>
        <item h="1" x="15325"/>
        <item h="1" x="15326"/>
        <item h="1" x="15327"/>
        <item h="1" x="15328"/>
        <item h="1" x="15329"/>
        <item h="1" x="15330"/>
        <item h="1" x="15331"/>
        <item h="1" x="15332"/>
        <item h="1" x="15333"/>
        <item h="1" x="15334"/>
        <item h="1" x="15335"/>
        <item h="1" x="15336"/>
        <item h="1" x="15337"/>
        <item h="1" x="15338"/>
        <item h="1" x="15339"/>
        <item h="1" x="15340"/>
        <item h="1" x="15341"/>
        <item h="1" x="15342"/>
        <item h="1" x="15343"/>
        <item h="1" x="15344"/>
        <item h="1" x="15345"/>
        <item h="1" x="15346"/>
        <item h="1" x="15347"/>
        <item h="1" x="15348"/>
        <item h="1" x="15349"/>
        <item h="1" x="15350"/>
        <item h="1" x="15351"/>
        <item h="1" x="15352"/>
        <item h="1" x="15353"/>
        <item h="1" x="15354"/>
        <item h="1" x="15355"/>
        <item h="1" x="15356"/>
        <item h="1" x="15357"/>
        <item h="1" x="15358"/>
        <item h="1" x="15359"/>
        <item h="1" x="15360"/>
        <item h="1" x="15361"/>
        <item h="1" x="15362"/>
        <item h="1" x="15363"/>
        <item h="1" x="15364"/>
        <item h="1" x="15365"/>
        <item h="1" x="15366"/>
        <item h="1" x="15367"/>
        <item h="1" x="15368"/>
        <item h="1" x="15369"/>
        <item h="1" x="15370"/>
        <item h="1" x="15371"/>
        <item h="1" x="15372"/>
        <item h="1" x="15373"/>
        <item h="1" x="15374"/>
        <item h="1" x="15375"/>
        <item h="1" x="15376"/>
        <item h="1" x="15377"/>
        <item h="1" x="15378"/>
        <item h="1" x="15379"/>
        <item h="1" x="15380"/>
        <item h="1" x="15381"/>
        <item h="1" x="15382"/>
        <item h="1" x="15383"/>
        <item h="1" x="15384"/>
        <item h="1" x="15385"/>
        <item h="1" x="15386"/>
        <item h="1" x="15387"/>
        <item h="1" x="15388"/>
        <item h="1" x="15389"/>
        <item h="1" x="15390"/>
        <item h="1" x="15391"/>
        <item h="1" x="15392"/>
        <item h="1" x="15393"/>
        <item h="1" x="15394"/>
        <item h="1" x="15395"/>
        <item h="1" x="15396"/>
        <item h="1" x="15397"/>
        <item h="1" x="15398"/>
        <item h="1" x="15399"/>
        <item h="1" x="15400"/>
        <item h="1" x="15401"/>
        <item h="1" x="15402"/>
        <item h="1" x="15403"/>
        <item h="1" x="15404"/>
        <item h="1" x="15405"/>
        <item h="1" x="15406"/>
        <item h="1" x="15407"/>
        <item h="1" x="15408"/>
        <item h="1" x="15409"/>
        <item h="1" x="15410"/>
        <item h="1" x="15411"/>
        <item h="1" x="15412"/>
        <item h="1" x="15413"/>
        <item h="1" x="15414"/>
        <item h="1" x="15415"/>
        <item h="1" x="15416"/>
        <item h="1" x="15417"/>
        <item h="1" x="15418"/>
        <item h="1" x="15419"/>
        <item h="1" x="15420"/>
        <item h="1" x="15421"/>
        <item h="1" x="15422"/>
        <item h="1" x="15423"/>
        <item h="1" x="15424"/>
        <item h="1" x="15425"/>
        <item h="1" x="15426"/>
        <item h="1" x="15427"/>
        <item h="1" x="15428"/>
        <item h="1" x="15429"/>
        <item h="1" x="15430"/>
        <item h="1" x="15431"/>
        <item h="1" x="15432"/>
        <item h="1" x="15433"/>
        <item h="1" x="15434"/>
        <item h="1" x="15435"/>
        <item h="1" x="15436"/>
        <item h="1" x="15437"/>
        <item h="1" x="15438"/>
        <item h="1" x="15439"/>
        <item h="1" x="15440"/>
        <item h="1" x="15441"/>
        <item h="1" x="15442"/>
        <item h="1" x="15443"/>
        <item h="1" x="15444"/>
        <item h="1" x="15445"/>
        <item h="1" x="15446"/>
        <item h="1" x="15447"/>
        <item h="1" x="15448"/>
        <item h="1" x="15449"/>
        <item h="1" x="15450"/>
        <item h="1" x="15451"/>
        <item h="1" x="15452"/>
        <item h="1" x="15453"/>
        <item h="1" x="15454"/>
        <item h="1" x="15455"/>
        <item h="1" x="15456"/>
        <item h="1" x="15457"/>
        <item h="1" x="15458"/>
        <item h="1" x="15459"/>
        <item h="1" x="15460"/>
        <item h="1" x="15461"/>
        <item h="1" x="15462"/>
        <item h="1" x="15463"/>
        <item h="1" x="15464"/>
        <item h="1" x="15465"/>
        <item h="1" x="15466"/>
        <item h="1" x="15467"/>
        <item h="1" x="15468"/>
        <item h="1" x="15469"/>
        <item h="1" x="15470"/>
        <item h="1" x="15471"/>
        <item h="1" x="15472"/>
        <item h="1" x="15473"/>
        <item h="1" x="15474"/>
        <item h="1" x="15475"/>
        <item h="1" x="15476"/>
        <item h="1" x="15477"/>
        <item h="1" x="15478"/>
        <item h="1" x="15479"/>
        <item h="1" x="15480"/>
        <item h="1" x="15481"/>
        <item h="1" x="15482"/>
        <item h="1" x="15483"/>
        <item h="1" x="15484"/>
        <item h="1" x="15485"/>
        <item h="1" x="15486"/>
        <item h="1" x="15487"/>
        <item h="1" x="15488"/>
        <item h="1" x="15489"/>
        <item h="1" x="15490"/>
        <item h="1" x="15491"/>
        <item h="1" x="15492"/>
        <item h="1" x="15493"/>
        <item h="1" x="15494"/>
        <item h="1" x="15495"/>
        <item h="1" x="15496"/>
        <item h="1" x="15497"/>
        <item h="1" x="15498"/>
        <item h="1" x="15499"/>
        <item h="1" x="15500"/>
        <item h="1" x="15501"/>
        <item h="1" x="15502"/>
        <item h="1" x="15503"/>
        <item h="1" x="15504"/>
        <item h="1" x="15505"/>
        <item h="1" x="15506"/>
        <item h="1" x="15507"/>
        <item h="1" x="15508"/>
        <item h="1" x="15509"/>
        <item h="1" x="15510"/>
        <item h="1" x="15511"/>
        <item h="1" x="15512"/>
        <item h="1" x="15513"/>
        <item h="1" x="15514"/>
        <item h="1" x="15515"/>
        <item h="1" x="15516"/>
        <item h="1" x="15517"/>
        <item h="1" x="15518"/>
        <item h="1" x="15519"/>
        <item h="1" x="15520"/>
        <item h="1" x="15521"/>
        <item h="1" x="15522"/>
        <item h="1" x="15523"/>
        <item h="1" x="15524"/>
        <item h="1" x="15525"/>
        <item h="1" x="15526"/>
        <item h="1" x="15527"/>
        <item h="1" x="15528"/>
        <item h="1" x="15529"/>
        <item h="1" x="15530"/>
        <item h="1" x="15531"/>
        <item h="1" x="15532"/>
        <item h="1" x="15533"/>
        <item h="1" x="15534"/>
        <item h="1" x="15535"/>
        <item h="1" x="15536"/>
        <item h="1" x="15537"/>
        <item h="1" x="15538"/>
        <item h="1" x="15539"/>
        <item h="1" x="15540"/>
        <item h="1" x="15541"/>
        <item h="1" x="15542"/>
        <item h="1" x="15543"/>
        <item h="1" x="15544"/>
        <item h="1" x="15545"/>
        <item h="1" x="15546"/>
        <item h="1" x="15547"/>
        <item h="1" x="15548"/>
        <item h="1" x="15549"/>
        <item h="1" x="15550"/>
        <item h="1" x="15551"/>
        <item h="1" x="15552"/>
        <item h="1" x="15553"/>
        <item h="1" x="15554"/>
        <item h="1" x="15555"/>
        <item h="1" x="15556"/>
        <item h="1" x="15557"/>
        <item h="1" x="15558"/>
        <item h="1" x="15559"/>
        <item h="1" x="15560"/>
        <item h="1" x="15561"/>
        <item h="1" x="15562"/>
        <item h="1" x="15563"/>
        <item h="1" x="15564"/>
        <item h="1" x="15565"/>
        <item h="1" x="15566"/>
        <item h="1" x="15567"/>
        <item h="1" x="15568"/>
        <item h="1" x="15569"/>
        <item h="1" x="15570"/>
        <item h="1" x="15571"/>
        <item h="1" x="15572"/>
        <item h="1" x="15573"/>
        <item h="1" x="15574"/>
        <item h="1" x="15575"/>
        <item h="1" x="15576"/>
        <item h="1" x="15577"/>
        <item h="1" x="15578"/>
        <item h="1" x="15579"/>
        <item h="1" x="15580"/>
        <item h="1" x="15581"/>
        <item h="1" x="15582"/>
        <item h="1" x="15583"/>
        <item h="1" x="15584"/>
        <item h="1" x="15585"/>
        <item h="1" x="15586"/>
        <item h="1" x="15587"/>
        <item h="1" x="15588"/>
        <item h="1" x="15589"/>
        <item h="1" x="15590"/>
        <item h="1" x="15591"/>
        <item h="1" x="15592"/>
        <item h="1" x="15593"/>
        <item h="1" x="15594"/>
        <item h="1" x="15595"/>
        <item h="1" x="15596"/>
        <item h="1" x="15597"/>
        <item h="1" x="15598"/>
        <item h="1" x="15599"/>
        <item h="1" x="15600"/>
        <item h="1" x="15601"/>
        <item h="1" x="15602"/>
        <item h="1" x="15603"/>
        <item h="1" x="15604"/>
        <item h="1" x="15605"/>
        <item h="1" x="15606"/>
        <item h="1" x="15607"/>
        <item h="1" x="15608"/>
        <item h="1" x="15609"/>
        <item h="1" x="15610"/>
        <item h="1" x="15611"/>
        <item h="1" x="15612"/>
        <item h="1" x="15613"/>
        <item h="1" x="15614"/>
        <item h="1" x="15615"/>
        <item h="1" x="15616"/>
        <item h="1" x="15617"/>
        <item h="1" x="15618"/>
        <item h="1" x="15619"/>
        <item h="1" x="15620"/>
        <item h="1" x="15621"/>
        <item h="1" x="15622"/>
        <item h="1" x="15623"/>
        <item h="1" x="15624"/>
        <item h="1" x="15625"/>
        <item h="1" x="15626"/>
        <item h="1" x="15627"/>
        <item h="1" x="15628"/>
        <item h="1" x="15629"/>
        <item h="1" x="15630"/>
        <item h="1" x="15631"/>
        <item h="1" x="15632"/>
        <item h="1" x="15633"/>
        <item h="1" x="15634"/>
        <item h="1" x="15635"/>
        <item h="1" x="15636"/>
        <item h="1" x="15637"/>
        <item h="1" x="15638"/>
        <item h="1" x="15639"/>
        <item h="1" x="15640"/>
        <item h="1" x="15641"/>
        <item h="1" x="15642"/>
        <item h="1" x="15643"/>
        <item h="1" x="15644"/>
        <item h="1" x="15645"/>
        <item h="1" x="15646"/>
        <item h="1" x="15647"/>
        <item h="1" x="15648"/>
        <item h="1" x="15649"/>
        <item h="1" x="15650"/>
        <item h="1" x="15651"/>
        <item h="1" x="15652"/>
        <item h="1" x="15653"/>
        <item h="1" x="15654"/>
        <item h="1" x="15655"/>
        <item h="1" x="15656"/>
        <item h="1" x="15657"/>
        <item h="1" x="15658"/>
        <item h="1" x="15659"/>
        <item h="1" x="15660"/>
        <item h="1" x="15661"/>
        <item h="1" x="15662"/>
        <item h="1" x="15663"/>
        <item h="1" x="15664"/>
        <item h="1" x="15665"/>
        <item h="1" x="15666"/>
        <item h="1" x="15667"/>
        <item h="1" x="15668"/>
        <item h="1" x="15669"/>
        <item h="1" x="15670"/>
        <item h="1" x="15671"/>
        <item h="1" x="15672"/>
        <item h="1" x="15673"/>
        <item h="1" x="15674"/>
        <item h="1" x="15675"/>
        <item h="1" x="15676"/>
        <item h="1" x="15677"/>
        <item h="1" x="15678"/>
        <item h="1" x="15679"/>
        <item h="1" x="15680"/>
        <item h="1" x="15681"/>
        <item h="1" x="15682"/>
        <item h="1" x="15683"/>
        <item h="1" x="15684"/>
        <item h="1" x="15685"/>
        <item h="1" x="15686"/>
        <item h="1" x="15687"/>
        <item h="1" x="15688"/>
        <item h="1" x="15689"/>
        <item h="1" x="15690"/>
        <item h="1" x="15691"/>
        <item h="1" x="15692"/>
        <item h="1" x="15693"/>
        <item h="1" x="15694"/>
        <item h="1" x="15695"/>
        <item h="1" x="15696"/>
        <item h="1" x="15697"/>
        <item h="1" x="15698"/>
        <item h="1" x="15699"/>
        <item h="1" x="15700"/>
        <item h="1" x="15701"/>
        <item h="1" x="15702"/>
        <item h="1" x="15703"/>
        <item h="1" x="15704"/>
        <item h="1" x="15705"/>
        <item h="1" x="15706"/>
        <item h="1" x="15707"/>
        <item h="1" x="15708"/>
        <item h="1" x="15709"/>
        <item h="1" x="15710"/>
        <item h="1" x="15711"/>
        <item h="1" x="15712"/>
        <item h="1" x="15713"/>
        <item h="1" x="15714"/>
        <item h="1" x="15715"/>
        <item h="1" x="15716"/>
        <item h="1" x="15717"/>
        <item h="1" x="15718"/>
        <item h="1" x="15719"/>
        <item h="1" x="15720"/>
        <item h="1" x="15721"/>
        <item h="1" x="15722"/>
        <item h="1" x="15723"/>
        <item h="1" x="15724"/>
        <item h="1" x="15725"/>
        <item h="1" x="15726"/>
        <item h="1" x="15727"/>
        <item h="1" x="15728"/>
        <item h="1" x="15729"/>
        <item h="1" x="15730"/>
        <item h="1" x="15731"/>
        <item h="1" x="15732"/>
        <item h="1" x="15733"/>
        <item h="1" x="15734"/>
        <item h="1" x="15735"/>
        <item h="1" x="15736"/>
        <item h="1" x="15737"/>
        <item h="1" x="15738"/>
        <item h="1" x="15739"/>
        <item h="1" x="15740"/>
        <item h="1" x="15741"/>
        <item h="1" x="15742"/>
        <item h="1" x="15743"/>
        <item h="1" x="15744"/>
        <item h="1" x="15745"/>
        <item h="1" x="15746"/>
        <item h="1" x="15747"/>
        <item h="1" x="15748"/>
        <item h="1" x="15749"/>
        <item h="1" x="15750"/>
        <item h="1" x="15751"/>
        <item h="1" x="15752"/>
        <item h="1" x="15753"/>
        <item h="1" x="15754"/>
        <item h="1" x="15755"/>
        <item h="1" x="15756"/>
        <item h="1" x="15757"/>
        <item h="1" x="15758"/>
        <item h="1" x="15759"/>
        <item h="1" x="15760"/>
        <item h="1" x="15761"/>
        <item h="1" x="15762"/>
        <item h="1" x="15763"/>
        <item h="1" x="15764"/>
        <item h="1" x="15765"/>
        <item h="1" x="15766"/>
        <item h="1" x="15767"/>
        <item h="1" x="15768"/>
        <item h="1" x="15769"/>
        <item h="1" x="15770"/>
        <item h="1" x="15771"/>
        <item h="1" x="15772"/>
        <item h="1" x="15773"/>
        <item h="1" x="15774"/>
        <item h="1" x="15775"/>
        <item h="1" x="15776"/>
        <item h="1" x="15777"/>
        <item h="1" x="15778"/>
        <item h="1" x="15779"/>
        <item h="1" x="15780"/>
        <item h="1" x="15781"/>
        <item h="1" x="15782"/>
        <item h="1" x="15783"/>
        <item h="1" x="15784"/>
        <item h="1" x="15785"/>
        <item h="1" x="15786"/>
        <item h="1" x="15787"/>
        <item h="1" x="15788"/>
        <item h="1" x="15789"/>
        <item h="1" x="15790"/>
        <item h="1" x="15791"/>
        <item h="1" x="15792"/>
        <item h="1" x="15793"/>
        <item h="1" x="15794"/>
        <item h="1" x="15795"/>
        <item h="1" x="15796"/>
        <item h="1" x="15797"/>
        <item h="1" x="15798"/>
        <item h="1" x="15799"/>
        <item h="1" x="15800"/>
        <item h="1" x="15801"/>
        <item h="1" x="15802"/>
        <item h="1" x="15803"/>
        <item h="1" x="15804"/>
        <item h="1" x="15805"/>
        <item h="1" x="15806"/>
        <item h="1" x="15807"/>
        <item h="1" x="15808"/>
        <item h="1" x="15809"/>
        <item h="1" x="15810"/>
        <item h="1" x="15811"/>
        <item h="1" x="15812"/>
        <item h="1" x="15813"/>
        <item h="1" x="15814"/>
        <item h="1" x="15815"/>
        <item h="1" x="15816"/>
        <item h="1" x="15817"/>
        <item h="1" x="15818"/>
        <item h="1" x="15819"/>
        <item h="1" x="15820"/>
        <item h="1" x="15821"/>
        <item h="1" x="15822"/>
        <item h="1" x="15823"/>
        <item h="1" x="15824"/>
        <item h="1" x="15825"/>
        <item h="1" x="15826"/>
        <item h="1" x="15827"/>
        <item h="1" x="15828"/>
        <item h="1" x="15829"/>
        <item h="1" x="15830"/>
        <item h="1" x="15831"/>
        <item h="1" x="15832"/>
        <item h="1" x="15833"/>
        <item h="1" x="15834"/>
        <item h="1" x="15835"/>
        <item h="1" x="15836"/>
        <item h="1" x="15837"/>
        <item h="1" x="15838"/>
        <item h="1" x="15839"/>
        <item h="1" x="15840"/>
        <item h="1" x="15841"/>
        <item h="1" x="15842"/>
        <item h="1" x="15843"/>
        <item h="1" x="15844"/>
        <item h="1" x="15845"/>
        <item h="1" x="15846"/>
        <item h="1" x="15847"/>
        <item h="1" x="15848"/>
        <item h="1" x="15849"/>
        <item h="1" x="15850"/>
        <item h="1" x="15851"/>
        <item h="1" x="15852"/>
        <item h="1" x="15853"/>
        <item h="1" x="15854"/>
        <item h="1" x="15855"/>
        <item h="1" x="15856"/>
        <item h="1" x="15857"/>
        <item h="1" x="15858"/>
        <item h="1" x="15859"/>
        <item h="1" x="15860"/>
        <item h="1" x="15861"/>
        <item h="1" x="15862"/>
        <item h="1" x="15863"/>
        <item h="1" x="15864"/>
        <item h="1" x="15865"/>
        <item h="1" x="15866"/>
        <item h="1" x="15867"/>
        <item h="1" x="15868"/>
        <item h="1" x="15869"/>
        <item h="1" x="15870"/>
        <item h="1" x="15871"/>
        <item h="1" x="15872"/>
        <item h="1" x="15873"/>
        <item h="1" x="15874"/>
        <item h="1" x="15875"/>
        <item h="1" x="15876"/>
        <item h="1" x="15877"/>
        <item h="1" x="15878"/>
        <item h="1" x="15879"/>
        <item h="1" x="15880"/>
        <item h="1" x="15881"/>
        <item h="1" x="15882"/>
        <item h="1" x="15883"/>
        <item h="1" x="15884"/>
        <item h="1" x="15885"/>
        <item h="1" x="15886"/>
        <item h="1" x="15887"/>
        <item h="1" x="15888"/>
        <item h="1" x="15889"/>
        <item h="1" x="15890"/>
        <item h="1" x="15891"/>
        <item h="1" x="15892"/>
        <item h="1" x="15893"/>
        <item h="1" x="15894"/>
        <item h="1" x="15895"/>
        <item h="1" x="15896"/>
        <item h="1" x="15897"/>
        <item h="1" x="15898"/>
        <item h="1" x="15899"/>
        <item h="1" x="15900"/>
        <item h="1" x="15901"/>
        <item h="1" x="15902"/>
        <item h="1" x="15903"/>
        <item h="1" x="15904"/>
        <item h="1" x="15905"/>
        <item h="1" x="15906"/>
        <item h="1" x="15907"/>
        <item h="1" x="15908"/>
        <item h="1" x="15909"/>
        <item h="1" x="15910"/>
        <item h="1" x="15911"/>
        <item h="1" x="15912"/>
        <item h="1" x="15913"/>
        <item h="1" x="15914"/>
        <item h="1" x="15915"/>
        <item h="1" x="15916"/>
        <item h="1" x="15917"/>
        <item h="1" x="15918"/>
        <item h="1" x="15919"/>
        <item h="1" x="15920"/>
        <item h="1" x="15921"/>
        <item h="1" x="15922"/>
        <item h="1" x="15923"/>
        <item h="1" x="15924"/>
        <item h="1" x="15925"/>
        <item h="1" x="15926"/>
        <item h="1" x="15927"/>
        <item h="1" x="15928"/>
        <item h="1" x="15929"/>
        <item h="1" x="15930"/>
        <item h="1" x="15931"/>
        <item h="1" x="15932"/>
        <item h="1" x="15933"/>
        <item h="1" x="15934"/>
        <item h="1" x="15935"/>
        <item h="1" x="15936"/>
        <item h="1" x="15937"/>
        <item h="1" x="15938"/>
        <item h="1" x="15939"/>
        <item h="1" x="15940"/>
        <item h="1" x="15941"/>
        <item h="1" x="15942"/>
        <item h="1" x="15943"/>
        <item h="1" x="15944"/>
        <item h="1" x="15945"/>
        <item h="1" x="15946"/>
        <item h="1" x="15947"/>
        <item h="1" x="15948"/>
        <item h="1" x="15949"/>
        <item h="1" x="15950"/>
        <item h="1" x="15951"/>
        <item h="1" x="15952"/>
        <item h="1" x="15953"/>
        <item h="1" x="15954"/>
        <item h="1" x="15955"/>
        <item h="1" x="15956"/>
        <item h="1" x="15957"/>
        <item h="1" x="15958"/>
        <item h="1" x="15959"/>
        <item h="1" x="15960"/>
        <item h="1" x="15961"/>
        <item h="1" x="15962"/>
        <item h="1" x="15963"/>
        <item h="1" x="15964"/>
        <item h="1" x="15965"/>
        <item h="1" x="15966"/>
        <item h="1" x="15967"/>
        <item h="1" x="15968"/>
        <item h="1" x="15969"/>
        <item h="1" x="15970"/>
        <item h="1" x="15971"/>
        <item h="1" x="15972"/>
        <item h="1" x="15973"/>
        <item h="1" x="15974"/>
        <item h="1" x="15975"/>
        <item h="1" x="15976"/>
        <item h="1" x="15977"/>
        <item h="1" x="15978"/>
        <item h="1" x="15979"/>
        <item h="1" x="15980"/>
        <item h="1" x="15981"/>
        <item h="1" x="15982"/>
        <item h="1" x="15983"/>
        <item h="1" x="15984"/>
        <item h="1" x="15985"/>
        <item h="1" x="15986"/>
        <item h="1" x="15987"/>
        <item h="1" x="15988"/>
        <item h="1" x="15989"/>
        <item h="1" x="15990"/>
        <item h="1" x="15991"/>
        <item h="1" x="15992"/>
        <item h="1" x="15993"/>
        <item h="1" x="15994"/>
        <item h="1" x="15995"/>
        <item h="1" x="15996"/>
        <item h="1" x="15997"/>
        <item h="1" x="15998"/>
        <item h="1" x="15999"/>
        <item h="1" x="16000"/>
        <item h="1" x="16001"/>
        <item h="1" x="16002"/>
        <item h="1" x="16003"/>
        <item h="1" x="16004"/>
        <item h="1" x="16005"/>
        <item h="1" x="16006"/>
        <item h="1" x="16007"/>
        <item h="1" x="16008"/>
        <item h="1" x="16009"/>
        <item h="1" x="16010"/>
        <item h="1" x="16011"/>
        <item h="1" x="16012"/>
        <item h="1" x="16013"/>
        <item h="1" x="16014"/>
        <item h="1" x="16015"/>
        <item h="1" x="16016"/>
        <item h="1" x="16017"/>
        <item h="1" x="16018"/>
        <item h="1" x="16019"/>
        <item h="1" x="16020"/>
        <item h="1" x="16021"/>
        <item h="1" x="16022"/>
        <item h="1" x="16023"/>
        <item h="1" x="16024"/>
        <item h="1" x="16025"/>
        <item h="1" x="16026"/>
        <item h="1" x="16027"/>
        <item h="1" x="16028"/>
        <item h="1" x="16029"/>
        <item h="1" x="16030"/>
        <item h="1" x="16031"/>
        <item h="1" x="16032"/>
        <item h="1" x="16033"/>
        <item h="1" x="16034"/>
        <item h="1" x="16035"/>
        <item h="1" x="16036"/>
        <item h="1" x="16037"/>
        <item h="1" x="16038"/>
        <item h="1" x="16039"/>
        <item h="1" x="16040"/>
        <item h="1" x="16041"/>
        <item h="1" x="16042"/>
        <item h="1" x="16043"/>
        <item h="1" x="16044"/>
        <item h="1" x="16045"/>
        <item h="1" x="16046"/>
        <item h="1" x="16047"/>
        <item h="1" x="16048"/>
        <item h="1" x="16049"/>
        <item h="1" x="16050"/>
        <item h="1" x="16051"/>
        <item h="1" x="16052"/>
        <item h="1" x="16053"/>
        <item h="1" x="16054"/>
        <item h="1" x="16055"/>
        <item h="1" x="16056"/>
        <item h="1" x="16057"/>
        <item h="1" x="16058"/>
        <item h="1" x="16059"/>
        <item h="1" x="16060"/>
        <item h="1" x="16061"/>
        <item h="1" x="16062"/>
        <item h="1" x="16063"/>
        <item h="1" x="16064"/>
        <item h="1" x="16065"/>
        <item h="1" x="16066"/>
        <item h="1" x="16067"/>
        <item h="1" x="16068"/>
        <item h="1" x="16069"/>
        <item h="1" x="16070"/>
        <item h="1" x="16071"/>
        <item h="1" x="16072"/>
        <item h="1" x="16073"/>
        <item h="1" x="16074"/>
        <item h="1" x="16075"/>
        <item h="1" x="16076"/>
        <item h="1" x="16077"/>
        <item h="1" x="16078"/>
        <item h="1" x="16079"/>
        <item h="1" x="16080"/>
        <item h="1" x="16081"/>
        <item h="1" x="16082"/>
        <item h="1" x="16083"/>
        <item h="1" x="16084"/>
        <item h="1" x="16085"/>
        <item h="1" x="16086"/>
        <item h="1" x="16087"/>
        <item h="1" x="16088"/>
        <item h="1" x="16089"/>
        <item h="1" x="16090"/>
        <item h="1" x="16091"/>
        <item h="1" x="16092"/>
        <item h="1" x="16093"/>
        <item h="1" x="16094"/>
        <item h="1" x="16095"/>
        <item h="1" x="16096"/>
        <item h="1" x="16097"/>
        <item h="1" x="16098"/>
        <item h="1" x="16099"/>
        <item h="1" x="16100"/>
        <item h="1" x="16101"/>
        <item h="1" x="16102"/>
        <item h="1" x="16103"/>
        <item h="1" x="16104"/>
        <item h="1" x="16105"/>
        <item h="1" x="16106"/>
        <item h="1" x="16107"/>
        <item h="1" x="16108"/>
        <item h="1" x="16109"/>
        <item h="1" x="16110"/>
        <item h="1" x="16111"/>
        <item h="1" x="16112"/>
        <item h="1" x="16113"/>
        <item h="1" x="16114"/>
        <item h="1" x="16115"/>
        <item h="1" x="16116"/>
        <item h="1" x="16117"/>
        <item h="1" x="16118"/>
        <item h="1" x="16119"/>
        <item h="1" x="16120"/>
        <item h="1" x="16121"/>
        <item h="1" x="16122"/>
        <item h="1" x="16123"/>
        <item h="1" x="16124"/>
        <item h="1" x="16125"/>
        <item h="1" x="16126"/>
        <item h="1" x="16127"/>
        <item h="1" x="16128"/>
        <item h="1" x="16129"/>
        <item h="1" x="16130"/>
        <item h="1" x="16131"/>
        <item h="1" x="16132"/>
        <item h="1" x="16133"/>
        <item h="1" x="16134"/>
        <item h="1" x="16135"/>
        <item h="1" x="16136"/>
        <item h="1" x="16137"/>
        <item h="1" x="16138"/>
        <item h="1" x="16139"/>
        <item h="1" x="16140"/>
        <item h="1" x="16141"/>
        <item h="1" x="16142"/>
        <item h="1" x="16143"/>
        <item h="1" x="16144"/>
        <item h="1" x="16145"/>
        <item h="1" x="16146"/>
        <item h="1" x="16147"/>
        <item h="1" x="16148"/>
        <item h="1" x="16149"/>
        <item h="1" x="16150"/>
        <item h="1" x="16151"/>
        <item h="1" x="16152"/>
        <item h="1" x="16153"/>
        <item h="1" x="16154"/>
        <item h="1" x="16155"/>
        <item h="1" x="16156"/>
        <item h="1" x="16157"/>
        <item h="1" x="16158"/>
        <item h="1" x="16159"/>
        <item h="1" x="16160"/>
        <item h="1" x="16161"/>
        <item h="1" x="16162"/>
        <item h="1" x="16163"/>
        <item h="1" x="16164"/>
        <item h="1" x="16165"/>
        <item h="1" x="16166"/>
        <item h="1" x="16167"/>
        <item h="1" x="16168"/>
        <item h="1" x="16169"/>
        <item h="1" x="16170"/>
        <item h="1" x="16171"/>
        <item h="1" x="16172"/>
        <item h="1" x="16173"/>
        <item h="1" x="16174"/>
        <item h="1" x="16175"/>
        <item h="1" x="16176"/>
        <item h="1" x="16177"/>
        <item h="1" x="16178"/>
        <item h="1" x="16179"/>
        <item h="1" x="16180"/>
        <item h="1" x="16181"/>
        <item h="1" x="16182"/>
        <item h="1" x="16183"/>
        <item h="1" x="16184"/>
        <item h="1" x="16185"/>
        <item h="1" x="16186"/>
        <item h="1" x="16187"/>
        <item h="1" x="16188"/>
        <item h="1" x="16189"/>
        <item h="1" x="16190"/>
        <item h="1" x="16191"/>
        <item h="1" x="16192"/>
        <item h="1" x="16193"/>
        <item h="1" x="16194"/>
        <item h="1" x="16195"/>
        <item h="1" x="16196"/>
        <item h="1" x="16197"/>
        <item h="1" x="16198"/>
        <item h="1" x="16199"/>
        <item h="1" x="16200"/>
        <item h="1" x="16201"/>
        <item h="1" x="16202"/>
        <item h="1" x="16203"/>
        <item h="1" x="16204"/>
        <item h="1" x="16205"/>
        <item h="1" x="16206"/>
        <item h="1" x="16207"/>
        <item h="1" x="16208"/>
        <item h="1" x="16209"/>
        <item h="1" x="16210"/>
        <item h="1" x="16211"/>
        <item h="1" x="16212"/>
        <item h="1" x="16213"/>
        <item h="1" x="16214"/>
        <item h="1" x="16215"/>
        <item h="1" x="16216"/>
        <item h="1" x="16217"/>
        <item h="1" x="16218"/>
        <item h="1" x="16219"/>
        <item h="1" x="16220"/>
        <item h="1" x="16221"/>
        <item h="1" x="16222"/>
        <item h="1" x="16223"/>
        <item h="1" x="16224"/>
        <item h="1" x="16225"/>
        <item h="1" x="16226"/>
        <item h="1" x="16227"/>
        <item h="1" x="16228"/>
        <item h="1" x="16229"/>
        <item h="1" x="16230"/>
        <item h="1" x="16231"/>
        <item h="1" x="16232"/>
        <item h="1" x="16233"/>
        <item h="1" x="16234"/>
        <item h="1" x="16235"/>
        <item h="1" x="16236"/>
        <item h="1" x="16237"/>
        <item h="1" x="16238"/>
        <item h="1" x="16239"/>
        <item h="1" x="16240"/>
        <item h="1" x="16241"/>
        <item h="1" x="16242"/>
        <item h="1" x="16243"/>
        <item h="1" x="16244"/>
        <item h="1" x="16245"/>
        <item h="1" x="16246"/>
        <item h="1" x="16247"/>
        <item h="1" x="16248"/>
        <item h="1" x="16249"/>
        <item h="1" x="16250"/>
        <item h="1" x="16251"/>
        <item h="1" x="16252"/>
        <item h="1" x="16253"/>
        <item h="1" x="16254"/>
        <item h="1" x="16255"/>
        <item h="1" x="16256"/>
        <item h="1" x="16257"/>
        <item h="1" x="16258"/>
        <item h="1" x="16259"/>
        <item h="1" x="16260"/>
        <item h="1" x="16261"/>
        <item h="1" x="16262"/>
        <item h="1" x="16263"/>
        <item h="1" x="16264"/>
        <item h="1" x="16265"/>
        <item h="1" x="16266"/>
        <item h="1" x="16267"/>
        <item h="1" x="16268"/>
        <item h="1" x="16269"/>
        <item h="1" x="16270"/>
        <item h="1" x="16271"/>
        <item h="1" x="16272"/>
        <item h="1" x="16273"/>
        <item h="1" x="16274"/>
        <item h="1" x="16275"/>
        <item h="1" x="16276"/>
        <item h="1" x="16277"/>
        <item h="1" x="16278"/>
        <item h="1" x="16279"/>
        <item h="1" x="16280"/>
        <item h="1" x="16281"/>
        <item h="1" x="16282"/>
        <item h="1" x="16283"/>
        <item h="1" x="16284"/>
        <item h="1" x="16285"/>
        <item h="1" x="16286"/>
        <item h="1" x="16287"/>
        <item h="1" x="16288"/>
        <item h="1" x="16289"/>
        <item h="1" x="16290"/>
        <item h="1" x="16291"/>
        <item h="1" x="16292"/>
        <item h="1" x="16293"/>
        <item h="1" x="16294"/>
        <item h="1" x="16295"/>
        <item h="1" x="16296"/>
        <item h="1" x="16297"/>
        <item h="1" x="16298"/>
        <item h="1" x="16299"/>
        <item h="1" x="16300"/>
        <item h="1" x="16301"/>
        <item h="1" x="16302"/>
        <item h="1" x="16303"/>
        <item h="1" x="16304"/>
        <item h="1" x="16305"/>
        <item h="1" x="16306"/>
        <item h="1" x="16307"/>
        <item h="1" x="16308"/>
        <item h="1" x="16309"/>
        <item h="1" x="16310"/>
        <item h="1" x="16311"/>
        <item h="1" x="16312"/>
        <item h="1" x="16313"/>
        <item h="1" x="16314"/>
        <item h="1" x="16315"/>
        <item h="1" x="16316"/>
        <item h="1" x="16317"/>
        <item h="1" x="16318"/>
        <item h="1" x="16319"/>
        <item h="1" x="16320"/>
        <item h="1" x="16321"/>
        <item h="1" x="16322"/>
        <item h="1" x="16323"/>
        <item h="1" x="16324"/>
        <item h="1" x="16325"/>
        <item h="1" x="16326"/>
        <item h="1" x="16327"/>
        <item h="1" x="16328"/>
        <item h="1" x="16329"/>
        <item h="1" x="16330"/>
        <item h="1" x="16331"/>
        <item h="1" x="16332"/>
        <item h="1" x="16333"/>
        <item h="1" x="16334"/>
        <item h="1" x="16335"/>
        <item h="1" x="16336"/>
        <item h="1" x="16337"/>
        <item h="1" x="16338"/>
        <item h="1" x="16339"/>
        <item h="1" x="16340"/>
        <item h="1" x="16341"/>
        <item h="1" x="16342"/>
        <item h="1" x="16343"/>
        <item h="1" x="16344"/>
        <item h="1" x="16345"/>
        <item h="1" x="16346"/>
        <item h="1" x="16347"/>
        <item h="1" x="16348"/>
        <item h="1" x="16349"/>
        <item h="1" x="16350"/>
        <item h="1" x="16351"/>
        <item h="1" x="16352"/>
        <item h="1" x="16353"/>
        <item h="1" x="16354"/>
        <item h="1" x="16355"/>
        <item h="1" x="16356"/>
        <item h="1" x="16357"/>
        <item h="1" x="16358"/>
        <item h="1" x="16359"/>
        <item h="1" x="16360"/>
        <item h="1" x="16361"/>
        <item h="1" x="16362"/>
        <item h="1" x="16363"/>
        <item h="1" x="16364"/>
        <item h="1" x="16365"/>
        <item h="1" x="16366"/>
        <item h="1" x="16367"/>
        <item h="1" x="16368"/>
        <item h="1" x="16369"/>
        <item h="1" x="16370"/>
        <item h="1" x="16371"/>
        <item h="1" x="16372"/>
        <item h="1" x="16373"/>
        <item h="1" x="16374"/>
        <item h="1" x="16375"/>
        <item h="1" x="16376"/>
        <item h="1" x="16377"/>
        <item h="1" x="16378"/>
        <item h="1" x="16379"/>
        <item h="1" x="16380"/>
        <item h="1" x="16381"/>
        <item h="1" x="16382"/>
        <item h="1" x="16383"/>
        <item h="1" x="16384"/>
        <item h="1" x="16385"/>
        <item h="1" x="16386"/>
        <item h="1" x="16387"/>
        <item h="1" x="16388"/>
        <item h="1" x="16389"/>
        <item h="1" x="16390"/>
        <item h="1" x="16391"/>
        <item h="1" x="16392"/>
        <item h="1" x="16393"/>
        <item h="1" x="16394"/>
        <item h="1" x="16395"/>
        <item h="1" x="16396"/>
        <item h="1" x="16397"/>
        <item h="1" x="16398"/>
        <item h="1" x="16399"/>
        <item h="1" x="16400"/>
        <item h="1" x="16401"/>
        <item h="1" x="16402"/>
        <item h="1" x="16403"/>
        <item h="1" x="16404"/>
        <item h="1" x="16405"/>
        <item h="1" x="16406"/>
        <item h="1" x="16407"/>
        <item h="1" x="16408"/>
        <item h="1" x="16409"/>
        <item h="1" x="16410"/>
        <item h="1" x="16411"/>
        <item h="1" x="16412"/>
        <item h="1" x="16413"/>
        <item h="1" x="16414"/>
        <item h="1" x="16415"/>
        <item h="1" x="16416"/>
        <item h="1" x="16417"/>
        <item h="1" x="16418"/>
        <item h="1" x="16419"/>
        <item h="1" x="16420"/>
        <item h="1" x="16421"/>
        <item h="1" x="16422"/>
        <item h="1" x="16423"/>
        <item h="1" x="16424"/>
        <item h="1" x="16425"/>
        <item h="1" x="16426"/>
        <item h="1" x="16427"/>
        <item h="1" x="16428"/>
        <item h="1" x="16429"/>
        <item h="1" x="16430"/>
        <item h="1" x="16431"/>
        <item h="1" x="16432"/>
        <item h="1" x="16433"/>
        <item h="1" x="16434"/>
        <item h="1" x="16435"/>
        <item h="1" x="16436"/>
        <item h="1" x="16437"/>
        <item h="1" x="16438"/>
        <item h="1" x="16439"/>
        <item h="1" x="16440"/>
        <item h="1" x="16441"/>
        <item h="1" x="16442"/>
        <item h="1" x="16443"/>
        <item h="1" x="16444"/>
        <item h="1" x="16445"/>
        <item h="1" x="16446"/>
        <item h="1" x="16447"/>
        <item h="1" x="16448"/>
        <item h="1" x="16449"/>
        <item h="1" x="16450"/>
        <item h="1" x="16451"/>
        <item h="1" x="16452"/>
        <item h="1" x="16453"/>
        <item h="1" x="16454"/>
        <item h="1" x="16455"/>
        <item h="1" x="16456"/>
        <item h="1" x="16457"/>
        <item h="1" x="16458"/>
        <item h="1" x="16459"/>
        <item h="1" x="16460"/>
        <item h="1" x="16461"/>
        <item h="1" x="16462"/>
        <item h="1" x="16463"/>
        <item h="1" x="16464"/>
        <item h="1" x="16465"/>
        <item h="1" x="16466"/>
        <item h="1" x="16467"/>
        <item h="1" x="16468"/>
        <item h="1" x="16469"/>
        <item h="1" x="16470"/>
        <item h="1" x="16471"/>
        <item h="1" x="16472"/>
        <item h="1" x="16473"/>
        <item h="1" x="16474"/>
        <item h="1" x="16475"/>
        <item h="1" x="16476"/>
        <item h="1" x="16477"/>
        <item h="1" x="16478"/>
        <item h="1" x="16479"/>
        <item h="1" x="16480"/>
        <item h="1" x="16481"/>
        <item h="1" x="16482"/>
        <item h="1" x="16483"/>
        <item h="1" x="16484"/>
        <item h="1" x="16485"/>
        <item h="1" x="16486"/>
        <item h="1" x="16487"/>
        <item h="1" x="16488"/>
        <item h="1" x="16489"/>
        <item h="1" x="16490"/>
        <item h="1" x="16491"/>
        <item h="1" x="16492"/>
        <item h="1" x="16493"/>
        <item h="1" x="16494"/>
        <item h="1" x="16495"/>
        <item h="1" x="16496"/>
        <item h="1" x="16497"/>
        <item h="1" x="16498"/>
        <item h="1" x="16499"/>
        <item h="1" x="16500"/>
        <item h="1" x="16501"/>
        <item h="1" x="16502"/>
        <item h="1" x="16503"/>
        <item h="1" x="16504"/>
        <item h="1" x="16505"/>
        <item h="1" x="16506"/>
        <item h="1" x="16507"/>
        <item h="1" x="16508"/>
        <item h="1" x="16509"/>
        <item h="1" x="16510"/>
        <item h="1" x="16511"/>
        <item h="1" x="16512"/>
        <item h="1" x="16513"/>
        <item h="1" x="16514"/>
        <item h="1" x="16515"/>
        <item h="1" x="16516"/>
        <item h="1" x="16517"/>
        <item h="1" x="16518"/>
        <item h="1" x="16519"/>
        <item h="1" x="16520"/>
        <item h="1" x="16521"/>
        <item h="1" x="16522"/>
        <item h="1" x="16523"/>
        <item h="1" x="16524"/>
        <item h="1" x="16525"/>
        <item h="1" x="16526"/>
        <item h="1" x="16527"/>
        <item h="1" x="16528"/>
        <item h="1" x="16529"/>
        <item h="1" x="16530"/>
        <item h="1" x="16531"/>
        <item h="1" x="16532"/>
        <item h="1" x="16533"/>
        <item h="1" x="16534"/>
        <item h="1" x="16535"/>
        <item h="1" x="16536"/>
        <item h="1" x="16537"/>
        <item h="1" x="16538"/>
        <item h="1" x="16539"/>
        <item h="1" x="16540"/>
        <item h="1" x="16541"/>
        <item h="1" x="16542"/>
        <item h="1" x="16543"/>
        <item h="1" x="16544"/>
        <item h="1" x="16545"/>
        <item h="1" x="16546"/>
        <item h="1" x="16547"/>
        <item h="1" x="16548"/>
        <item h="1" x="16549"/>
        <item h="1" x="16550"/>
        <item h="1" x="16551"/>
        <item h="1" x="16552"/>
        <item h="1" x="16553"/>
        <item h="1" x="16554"/>
        <item h="1" x="16555"/>
        <item h="1" x="16556"/>
        <item h="1" x="16557"/>
        <item h="1" x="16558"/>
        <item h="1" x="16559"/>
        <item h="1" x="16560"/>
        <item h="1" x="16561"/>
        <item h="1" x="16562"/>
        <item h="1" x="16563"/>
        <item h="1" x="16564"/>
        <item h="1" x="16565"/>
        <item h="1" x="16566"/>
        <item h="1" x="16567"/>
        <item h="1" x="16568"/>
        <item h="1" x="16569"/>
        <item h="1" x="16570"/>
        <item h="1" x="16571"/>
        <item h="1" x="16572"/>
        <item h="1" x="16573"/>
        <item h="1" x="16574"/>
        <item h="1" x="16575"/>
        <item h="1" x="16576"/>
        <item h="1" x="16577"/>
        <item h="1" x="16578"/>
        <item h="1" x="16579"/>
        <item h="1" x="16580"/>
        <item h="1" x="16581"/>
        <item h="1" x="16582"/>
        <item h="1" x="16583"/>
        <item h="1" x="16584"/>
        <item h="1" x="16585"/>
        <item h="1" x="16586"/>
        <item h="1" x="16587"/>
        <item h="1" x="16588"/>
        <item h="1" x="16589"/>
        <item h="1" x="16590"/>
        <item h="1" x="16591"/>
        <item h="1" x="16592"/>
        <item h="1" x="16593"/>
        <item h="1" x="16594"/>
        <item h="1" x="16595"/>
        <item h="1" x="16596"/>
        <item h="1" x="16597"/>
        <item h="1" x="16598"/>
        <item h="1" x="16599"/>
        <item h="1" x="16600"/>
        <item h="1" x="16601"/>
        <item h="1" x="16602"/>
        <item h="1" x="16603"/>
        <item h="1" x="16604"/>
        <item h="1" x="16605"/>
        <item h="1" x="16606"/>
        <item h="1" x="16607"/>
        <item h="1" x="16608"/>
        <item h="1" x="16609"/>
        <item h="1" x="16610"/>
        <item h="1" x="16611"/>
        <item h="1" x="16612"/>
        <item h="1" x="16613"/>
        <item h="1" x="16614"/>
        <item h="1" x="16615"/>
        <item h="1" x="16616"/>
        <item h="1" x="16617"/>
        <item h="1" x="16618"/>
        <item h="1" x="16619"/>
        <item h="1" x="16620"/>
        <item h="1" x="16621"/>
        <item h="1" x="16622"/>
        <item h="1" x="16623"/>
        <item h="1" x="16624"/>
        <item h="1" x="16625"/>
        <item h="1" x="16626"/>
        <item h="1" x="16627"/>
        <item h="1" x="16628"/>
        <item h="1" x="16629"/>
        <item h="1" x="16630"/>
        <item h="1" x="16631"/>
        <item h="1" x="16632"/>
        <item h="1" x="16633"/>
        <item h="1" x="16634"/>
        <item h="1" x="16635"/>
        <item h="1" x="16636"/>
        <item h="1" x="16637"/>
        <item h="1" x="16638"/>
        <item h="1" x="16639"/>
        <item h="1" x="16640"/>
        <item h="1" x="16641"/>
        <item h="1" x="16642"/>
        <item h="1" x="16643"/>
        <item h="1" x="16644"/>
        <item h="1" x="16645"/>
        <item h="1" x="16646"/>
        <item h="1" x="16647"/>
        <item h="1" x="16648"/>
        <item h="1" x="16649"/>
        <item h="1" x="16650"/>
        <item h="1" x="16651"/>
        <item h="1" x="16652"/>
        <item h="1" x="16653"/>
        <item h="1" x="16654"/>
        <item h="1" x="16655"/>
        <item h="1" x="16656"/>
        <item h="1" x="16657"/>
        <item h="1" x="16658"/>
        <item h="1" x="16659"/>
        <item h="1" x="16660"/>
        <item h="1" x="16661"/>
        <item h="1" x="16662"/>
        <item h="1" x="16663"/>
        <item h="1" x="16664"/>
        <item h="1" x="16665"/>
        <item h="1" x="16666"/>
        <item h="1" x="16667"/>
        <item h="1" x="16668"/>
        <item h="1" x="16669"/>
        <item h="1" x="16670"/>
        <item h="1" x="16671"/>
        <item h="1" x="16672"/>
        <item h="1" x="16673"/>
        <item h="1" x="16674"/>
        <item h="1" x="16675"/>
        <item h="1" x="16676"/>
        <item h="1" x="16677"/>
        <item h="1" x="16678"/>
        <item h="1" x="16679"/>
        <item h="1" x="16680"/>
        <item h="1" x="16681"/>
        <item h="1" x="16682"/>
        <item h="1" x="16683"/>
        <item h="1" x="16684"/>
        <item h="1" x="16685"/>
        <item h="1" x="16686"/>
        <item h="1" x="16687"/>
        <item h="1" x="16688"/>
        <item h="1" x="16689"/>
        <item h="1" x="16690"/>
        <item h="1" x="16691"/>
        <item h="1" x="16692"/>
        <item h="1" x="16693"/>
        <item h="1" x="16694"/>
        <item h="1" x="16695"/>
        <item h="1" x="16696"/>
        <item h="1" x="16697"/>
        <item h="1" x="16698"/>
        <item h="1" x="16699"/>
        <item h="1" x="16700"/>
        <item h="1" x="16701"/>
        <item h="1" x="16702"/>
        <item h="1" x="16703"/>
        <item h="1" x="16704"/>
        <item h="1" x="16705"/>
        <item h="1" x="16706"/>
        <item h="1" x="16707"/>
        <item h="1" x="16708"/>
        <item h="1" x="16709"/>
        <item h="1" x="16710"/>
        <item h="1" x="16711"/>
        <item h="1" x="16712"/>
        <item h="1" x="16713"/>
        <item h="1" x="16714"/>
        <item h="1" x="16715"/>
        <item h="1" x="16716"/>
        <item h="1" x="16717"/>
        <item h="1" x="16718"/>
        <item h="1" x="16719"/>
        <item h="1" x="16720"/>
        <item h="1" x="16721"/>
        <item h="1" x="16722"/>
        <item h="1" x="16723"/>
        <item h="1" x="16724"/>
        <item h="1" x="16725"/>
        <item h="1" x="16726"/>
        <item h="1" x="16727"/>
        <item h="1" x="16728"/>
        <item h="1" x="16729"/>
        <item h="1" x="16730"/>
        <item h="1" x="16731"/>
        <item h="1" x="16732"/>
        <item h="1" x="16733"/>
        <item h="1" x="16734"/>
        <item h="1" x="16735"/>
        <item h="1" x="16736"/>
        <item h="1" x="16737"/>
        <item h="1" x="16738"/>
        <item h="1" x="16739"/>
        <item h="1" x="16740"/>
        <item h="1" x="16741"/>
        <item h="1" x="16742"/>
        <item h="1" x="16743"/>
        <item h="1" x="16744"/>
        <item h="1" x="16745"/>
        <item h="1" x="16746"/>
        <item h="1" x="16747"/>
        <item h="1" x="16748"/>
        <item h="1" x="16749"/>
        <item h="1" x="16750"/>
        <item h="1" x="16751"/>
        <item h="1" x="16752"/>
        <item h="1" x="16753"/>
        <item h="1" x="16754"/>
        <item h="1" x="16755"/>
        <item h="1" x="16756"/>
        <item h="1" x="16757"/>
        <item h="1" x="16758"/>
        <item h="1" x="16759"/>
        <item h="1" x="16760"/>
        <item h="1" x="16761"/>
        <item h="1" x="16762"/>
        <item h="1" x="16763"/>
        <item h="1" x="16764"/>
        <item h="1" x="16765"/>
        <item h="1" x="16766"/>
        <item h="1" x="16767"/>
        <item h="1" x="16768"/>
        <item h="1" x="16769"/>
        <item h="1" x="16770"/>
        <item h="1" x="16771"/>
        <item h="1" x="16772"/>
        <item h="1" x="16773"/>
        <item h="1" x="16774"/>
        <item h="1" x="16775"/>
        <item h="1" x="16776"/>
        <item h="1" x="16777"/>
        <item h="1" x="16778"/>
        <item h="1" x="16779"/>
        <item h="1" x="16780"/>
        <item h="1" x="16781"/>
        <item h="1" x="16782"/>
        <item h="1" x="16783"/>
        <item h="1" x="16784"/>
        <item h="1" x="16785"/>
        <item h="1" x="16786"/>
        <item h="1" x="16787"/>
        <item h="1" x="16788"/>
        <item h="1" x="16789"/>
        <item h="1" x="16790"/>
        <item h="1" x="16791"/>
        <item h="1" x="16792"/>
        <item h="1" x="16793"/>
        <item h="1" x="16794"/>
        <item h="1" x="16795"/>
        <item h="1" x="16796"/>
        <item h="1" x="16797"/>
        <item h="1" x="16798"/>
        <item h="1" x="16799"/>
        <item h="1" x="16800"/>
        <item h="1" x="16801"/>
        <item h="1" x="16802"/>
        <item h="1" x="16803"/>
        <item h="1" x="16804"/>
        <item h="1" x="16805"/>
        <item h="1" x="16806"/>
        <item h="1" x="16807"/>
        <item h="1" x="16808"/>
        <item h="1" x="16809"/>
        <item h="1" x="16810"/>
        <item h="1" x="16811"/>
        <item h="1" x="16812"/>
        <item h="1" x="16813"/>
        <item h="1" x="16814"/>
        <item h="1" x="16815"/>
        <item h="1" x="16816"/>
        <item h="1" x="16817"/>
        <item h="1" x="16818"/>
        <item h="1" x="16819"/>
        <item h="1" x="16820"/>
        <item h="1" x="16821"/>
        <item h="1" x="16822"/>
        <item h="1" x="16823"/>
        <item h="1" x="16824"/>
        <item h="1" x="16825"/>
        <item h="1" x="16826"/>
        <item h="1" x="16827"/>
        <item h="1" x="16828"/>
        <item h="1" x="16829"/>
        <item h="1" x="16830"/>
        <item h="1" x="16831"/>
        <item h="1" x="16832"/>
        <item h="1" x="16833"/>
        <item h="1" x="16834"/>
        <item h="1" x="16835"/>
        <item h="1" x="16836"/>
        <item h="1" x="16837"/>
        <item h="1" x="16838"/>
        <item h="1" x="16839"/>
        <item h="1" x="16840"/>
        <item h="1" x="16841"/>
        <item h="1" x="16842"/>
        <item h="1" x="16843"/>
        <item h="1" x="16844"/>
        <item h="1" x="16845"/>
        <item h="1" x="16846"/>
        <item h="1" x="16847"/>
        <item h="1" x="16848"/>
        <item h="1" x="16849"/>
        <item h="1" x="16850"/>
        <item h="1" x="16851"/>
        <item h="1" x="16852"/>
        <item h="1" x="16853"/>
        <item h="1" x="16854"/>
        <item h="1" x="16855"/>
        <item h="1" x="16856"/>
        <item h="1" x="16857"/>
        <item h="1" x="16858"/>
        <item h="1" x="16859"/>
        <item h="1" x="16860"/>
        <item h="1" x="16861"/>
        <item h="1" x="16862"/>
        <item h="1" x="16863"/>
        <item h="1" x="16864"/>
        <item h="1" x="16865"/>
        <item h="1" x="16866"/>
        <item h="1" x="16867"/>
        <item h="1" x="16868"/>
        <item h="1" x="16869"/>
        <item h="1" x="16870"/>
        <item h="1" x="16871"/>
        <item h="1" x="16872"/>
        <item h="1" x="16873"/>
        <item h="1" x="16874"/>
        <item h="1" x="16875"/>
        <item h="1" x="16876"/>
        <item h="1" x="16877"/>
        <item h="1" x="16878"/>
        <item h="1" x="16879"/>
        <item h="1" x="16880"/>
        <item h="1" x="16881"/>
        <item h="1" x="16882"/>
        <item h="1" x="16883"/>
        <item h="1" x="16884"/>
        <item h="1" x="16885"/>
        <item h="1" x="16886"/>
        <item h="1" x="16887"/>
        <item h="1" x="16888"/>
        <item h="1" x="16889"/>
        <item h="1" x="16890"/>
        <item h="1" x="16891"/>
        <item h="1" x="16892"/>
        <item h="1" x="16893"/>
        <item h="1" x="16894"/>
        <item h="1" x="16895"/>
        <item h="1" x="16896"/>
        <item h="1" x="16897"/>
        <item h="1" x="16898"/>
        <item h="1" x="16899"/>
        <item h="1" x="16900"/>
        <item h="1" x="16901"/>
        <item h="1" x="16902"/>
        <item h="1" x="16903"/>
        <item h="1" x="16904"/>
        <item h="1" x="16905"/>
        <item h="1" x="16906"/>
        <item h="1" x="16907"/>
        <item h="1" x="16908"/>
        <item h="1" x="16909"/>
        <item h="1" x="16910"/>
        <item h="1" x="16911"/>
        <item h="1" x="16912"/>
        <item h="1" x="16913"/>
        <item h="1" x="16914"/>
        <item h="1" x="16915"/>
        <item h="1" x="16916"/>
        <item h="1" x="16917"/>
        <item h="1" x="16918"/>
        <item h="1" x="16919"/>
        <item h="1" x="16920"/>
        <item h="1" x="16921"/>
        <item h="1" x="16922"/>
        <item h="1" x="16923"/>
        <item h="1" x="16924"/>
        <item h="1" x="16925"/>
        <item h="1" x="16926"/>
        <item h="1" x="16927"/>
        <item h="1" x="16928"/>
        <item h="1" x="16929"/>
        <item h="1" x="16930"/>
        <item h="1" x="16931"/>
        <item h="1" x="16932"/>
        <item h="1" x="16933"/>
        <item h="1" x="16934"/>
        <item h="1" x="16935"/>
        <item h="1" x="16936"/>
        <item h="1" x="16937"/>
        <item h="1" x="16938"/>
        <item h="1" x="16939"/>
        <item h="1" x="16940"/>
        <item h="1" x="16941"/>
        <item h="1" x="16942"/>
        <item h="1" x="16943"/>
        <item h="1" x="16944"/>
        <item h="1" x="16945"/>
        <item h="1" x="16946"/>
        <item h="1" x="16947"/>
        <item h="1" x="16948"/>
        <item h="1" x="16949"/>
        <item h="1" x="16950"/>
        <item h="1" x="16951"/>
        <item h="1" x="16952"/>
        <item h="1" x="16953"/>
        <item h="1" x="16954"/>
        <item h="1" x="16955"/>
        <item h="1" x="16956"/>
        <item h="1" x="16957"/>
        <item h="1" x="16958"/>
        <item h="1" x="16959"/>
        <item h="1" x="16960"/>
        <item h="1" x="16961"/>
        <item h="1" x="16962"/>
        <item h="1" x="16963"/>
        <item h="1" x="16964"/>
        <item h="1" x="16965"/>
        <item h="1" x="16966"/>
        <item h="1" x="16967"/>
        <item h="1" x="16968"/>
        <item h="1" x="16969"/>
        <item h="1" x="16970"/>
        <item h="1" x="16971"/>
        <item h="1" x="16972"/>
        <item h="1" x="16973"/>
        <item h="1" x="16974"/>
        <item h="1" x="16975"/>
        <item h="1" x="16976"/>
        <item h="1" x="16977"/>
        <item h="1" x="16978"/>
        <item h="1" x="16979"/>
        <item h="1" x="16980"/>
        <item h="1" x="16981"/>
        <item h="1" x="16982"/>
        <item h="1" x="16983"/>
        <item h="1" x="16984"/>
        <item h="1" x="16985"/>
        <item h="1" x="16986"/>
        <item h="1" x="16987"/>
        <item h="1" x="16988"/>
        <item h="1" x="16989"/>
        <item h="1" x="16990"/>
        <item h="1" x="16991"/>
        <item h="1" x="16992"/>
        <item h="1" x="16993"/>
        <item h="1" x="16994"/>
        <item h="1" x="16995"/>
        <item h="1" x="16996"/>
        <item h="1" x="16997"/>
        <item h="1" x="16998"/>
        <item h="1" x="16999"/>
        <item h="1" x="17000"/>
        <item h="1" x="17001"/>
        <item h="1" x="17002"/>
        <item h="1" x="17003"/>
        <item h="1" x="17004"/>
        <item h="1" x="17005"/>
        <item h="1" x="17006"/>
        <item h="1" x="17007"/>
        <item h="1" x="17008"/>
        <item h="1" x="17009"/>
        <item h="1" x="17010"/>
        <item h="1" x="17011"/>
        <item h="1" x="17012"/>
        <item h="1" x="17013"/>
        <item h="1" x="17014"/>
        <item h="1" x="17015"/>
        <item h="1" x="17016"/>
        <item h="1" x="17017"/>
        <item h="1" x="17018"/>
        <item h="1" x="17019"/>
        <item h="1" x="17020"/>
        <item h="1" x="17021"/>
        <item h="1" x="17022"/>
        <item h="1" x="17023"/>
        <item h="1" x="17024"/>
        <item h="1" x="17025"/>
        <item h="1" x="17026"/>
        <item h="1" x="17027"/>
        <item h="1" x="17028"/>
        <item h="1" x="17029"/>
        <item h="1" x="17030"/>
        <item h="1" x="17031"/>
        <item h="1" x="17032"/>
        <item h="1" x="17033"/>
        <item h="1" x="17034"/>
        <item h="1" x="17035"/>
        <item h="1" x="17036"/>
        <item h="1" x="17037"/>
        <item h="1" x="17038"/>
        <item h="1" x="17039"/>
        <item h="1" x="17040"/>
        <item h="1" x="17041"/>
        <item h="1" x="17042"/>
        <item h="1" x="17043"/>
        <item h="1" x="17044"/>
        <item h="1" x="17045"/>
        <item h="1" x="17046"/>
        <item h="1" x="17047"/>
        <item h="1" x="17048"/>
        <item h="1" x="17049"/>
        <item h="1" x="17050"/>
        <item h="1" x="17051"/>
        <item h="1" x="17052"/>
        <item h="1" x="17053"/>
        <item h="1" x="17054"/>
        <item h="1" x="17055"/>
        <item h="1" x="17056"/>
        <item h="1" x="17057"/>
        <item h="1" x="17058"/>
        <item h="1" x="17059"/>
        <item h="1" x="17060"/>
        <item h="1" x="17061"/>
        <item h="1" x="17062"/>
        <item h="1" x="17063"/>
        <item h="1" x="17064"/>
        <item h="1" x="17065"/>
        <item h="1" x="17066"/>
        <item h="1" x="17067"/>
        <item h="1" x="17068"/>
        <item h="1" x="17069"/>
        <item h="1" x="17070"/>
        <item h="1" x="17071"/>
        <item h="1" x="17072"/>
        <item h="1" x="17073"/>
        <item h="1" x="17074"/>
        <item h="1" x="17075"/>
        <item h="1" x="17076"/>
        <item h="1" x="17077"/>
        <item h="1" x="17078"/>
        <item h="1" x="17079"/>
        <item h="1" x="17080"/>
        <item h="1" x="17081"/>
        <item h="1" x="17082"/>
        <item h="1" x="17083"/>
        <item h="1" x="17084"/>
        <item h="1" x="17085"/>
        <item h="1" x="17086"/>
        <item h="1" x="17087"/>
        <item h="1" x="17088"/>
        <item h="1" x="17089"/>
        <item h="1" x="17090"/>
        <item h="1" x="17091"/>
        <item h="1" x="17092"/>
        <item h="1" x="17093"/>
        <item h="1" x="17094"/>
        <item h="1" x="17095"/>
        <item h="1" x="17096"/>
        <item h="1" x="17097"/>
        <item h="1" x="17098"/>
        <item h="1" x="17099"/>
        <item h="1" x="17100"/>
        <item h="1" x="17101"/>
        <item h="1" x="17102"/>
        <item h="1" x="17103"/>
        <item h="1" x="17104"/>
        <item h="1" x="17105"/>
        <item h="1" x="17106"/>
        <item h="1" x="17107"/>
        <item h="1" x="17108"/>
        <item h="1" x="17109"/>
        <item h="1" x="17110"/>
        <item h="1" x="17111"/>
        <item h="1" x="17112"/>
        <item h="1" x="17113"/>
        <item h="1" x="17114"/>
        <item h="1" x="17115"/>
        <item h="1" x="17116"/>
        <item h="1" x="17117"/>
        <item h="1" x="17118"/>
        <item h="1" x="17119"/>
        <item h="1" x="17120"/>
        <item h="1" x="17121"/>
        <item h="1" x="17122"/>
        <item h="1" x="17123"/>
        <item h="1" x="17124"/>
        <item h="1" x="17125"/>
        <item h="1" x="17126"/>
        <item h="1" x="17127"/>
        <item h="1" x="17128"/>
        <item h="1" x="17129"/>
        <item h="1" x="17130"/>
        <item h="1" x="17131"/>
        <item h="1" x="17132"/>
        <item h="1" x="17133"/>
        <item h="1" x="17134"/>
        <item h="1" x="17135"/>
        <item h="1" x="17136"/>
        <item h="1" x="17137"/>
        <item h="1" x="17138"/>
        <item h="1" x="17139"/>
        <item h="1" x="17140"/>
        <item h="1" x="17141"/>
        <item h="1" x="17142"/>
        <item h="1" x="17143"/>
        <item h="1" x="17144"/>
        <item h="1" x="17145"/>
        <item h="1" x="17146"/>
        <item h="1" x="17147"/>
        <item h="1" x="17148"/>
        <item h="1" x="17149"/>
        <item h="1" x="17150"/>
        <item h="1" x="17151"/>
        <item h="1" x="17152"/>
        <item h="1" x="17153"/>
        <item h="1" x="17154"/>
        <item h="1" x="17155"/>
        <item h="1" x="17156"/>
        <item h="1" x="17157"/>
        <item h="1" x="17158"/>
        <item h="1" x="17159"/>
        <item h="1" x="17160"/>
        <item h="1" x="17161"/>
        <item h="1" x="17162"/>
        <item h="1" x="17163"/>
        <item h="1" x="17164"/>
        <item h="1" x="17165"/>
        <item h="1" x="17166"/>
        <item h="1" x="17167"/>
        <item h="1" x="17168"/>
        <item h="1" x="17169"/>
        <item h="1" x="17170"/>
        <item h="1" x="17171"/>
        <item h="1" x="17172"/>
        <item h="1" x="17173"/>
        <item h="1" x="17174"/>
        <item h="1" x="17175"/>
        <item h="1" x="17176"/>
        <item h="1" x="17177"/>
        <item h="1" x="17178"/>
        <item h="1" x="17179"/>
        <item h="1" x="17180"/>
        <item h="1" x="17181"/>
        <item h="1" x="17182"/>
        <item h="1" x="17183"/>
        <item h="1" x="17184"/>
        <item h="1" x="17185"/>
        <item h="1" x="17186"/>
        <item h="1" x="17187"/>
        <item h="1" x="17188"/>
        <item h="1" x="17189"/>
        <item h="1" x="17190"/>
        <item h="1" x="17191"/>
        <item h="1" x="17192"/>
        <item h="1" x="17193"/>
        <item h="1" x="17194"/>
        <item h="1" x="17195"/>
        <item h="1" x="17196"/>
        <item h="1" x="17197"/>
        <item h="1" x="17198"/>
        <item h="1" x="17199"/>
        <item h="1" x="17200"/>
        <item h="1" x="17201"/>
        <item h="1" x="17202"/>
        <item h="1" x="17203"/>
        <item h="1" x="17204"/>
        <item h="1" x="17205"/>
        <item h="1" x="17206"/>
        <item h="1" x="17207"/>
        <item h="1" x="17208"/>
        <item h="1" x="17209"/>
        <item h="1" x="17210"/>
        <item h="1" x="17211"/>
        <item h="1" x="17212"/>
        <item h="1" x="17213"/>
        <item h="1" x="17214"/>
        <item h="1" x="17215"/>
        <item h="1" x="17216"/>
        <item h="1" x="17217"/>
        <item h="1" x="17218"/>
        <item h="1" x="17219"/>
        <item h="1" x="17220"/>
        <item h="1" x="17221"/>
        <item h="1" x="17222"/>
        <item h="1" x="17223"/>
        <item h="1" x="17224"/>
        <item h="1" x="17225"/>
        <item h="1" x="17226"/>
        <item h="1" x="17227"/>
        <item h="1" x="17228"/>
        <item h="1" x="17229"/>
        <item h="1" x="17230"/>
        <item h="1" x="17231"/>
        <item h="1" x="17232"/>
        <item h="1" x="17233"/>
        <item h="1" x="17234"/>
        <item h="1" x="17235"/>
        <item h="1" x="17236"/>
        <item h="1" x="17237"/>
        <item h="1" x="17238"/>
        <item h="1" x="17239"/>
        <item h="1" x="17240"/>
        <item h="1" x="17241"/>
        <item h="1" x="17242"/>
        <item h="1" x="17243"/>
        <item h="1" x="17244"/>
        <item h="1" x="17245"/>
        <item h="1" x="17246"/>
        <item h="1" x="17247"/>
        <item h="1" x="17248"/>
        <item h="1" x="17249"/>
        <item h="1" x="17250"/>
        <item h="1" x="17251"/>
        <item h="1" x="17252"/>
        <item h="1" x="17253"/>
        <item h="1" x="17254"/>
        <item h="1" x="17255"/>
        <item h="1" x="17256"/>
        <item h="1" x="17257"/>
        <item h="1" x="17258"/>
        <item h="1" x="17259"/>
        <item h="1" x="17260"/>
        <item h="1" x="17261"/>
        <item h="1" x="17262"/>
        <item h="1" x="17263"/>
        <item h="1" x="17264"/>
        <item h="1" x="17265"/>
        <item h="1" x="17266"/>
        <item h="1" x="17267"/>
        <item h="1" x="17268"/>
        <item h="1" x="17269"/>
        <item h="1" x="17270"/>
        <item h="1" x="17271"/>
        <item h="1" x="17272"/>
        <item h="1" x="17273"/>
        <item h="1" x="17274"/>
        <item h="1" x="17275"/>
        <item h="1" x="17276"/>
        <item h="1" x="17277"/>
        <item h="1" x="17278"/>
        <item h="1" x="17279"/>
        <item h="1" x="17280"/>
        <item h="1" x="17281"/>
        <item h="1" x="17282"/>
        <item h="1" x="17283"/>
        <item h="1" x="17284"/>
        <item h="1" x="17285"/>
        <item h="1" x="17286"/>
        <item h="1" x="17287"/>
        <item h="1" x="17288"/>
        <item h="1" x="17289"/>
        <item h="1" x="17290"/>
        <item h="1" x="17291"/>
        <item h="1" x="17292"/>
        <item h="1" x="17293"/>
        <item h="1" x="17294"/>
        <item h="1" x="17295"/>
        <item h="1" x="17296"/>
        <item h="1" x="17297"/>
        <item h="1" x="17298"/>
        <item h="1" x="17299"/>
        <item h="1" x="17300"/>
        <item h="1" x="17301"/>
        <item h="1" x="17302"/>
        <item h="1" x="17303"/>
        <item h="1" x="17304"/>
        <item h="1" x="17305"/>
        <item h="1" x="17306"/>
        <item h="1" x="17307"/>
        <item h="1" x="17308"/>
        <item h="1" x="17309"/>
        <item h="1" x="17310"/>
        <item h="1" x="17311"/>
        <item h="1" x="17312"/>
        <item h="1" x="17313"/>
        <item h="1" x="17314"/>
        <item h="1" x="17315"/>
        <item h="1" x="17316"/>
        <item h="1" x="17317"/>
        <item h="1" x="17318"/>
        <item h="1" x="17319"/>
        <item h="1" x="17320"/>
        <item h="1" x="17321"/>
        <item h="1" x="17322"/>
        <item h="1" x="17323"/>
        <item h="1" x="17324"/>
        <item h="1" x="17325"/>
        <item h="1" x="17326"/>
        <item h="1" x="17327"/>
        <item h="1" x="17328"/>
        <item h="1" x="17329"/>
        <item h="1" x="17330"/>
        <item h="1" x="17331"/>
        <item h="1" x="17332"/>
        <item h="1" x="17333"/>
        <item h="1" x="17334"/>
        <item h="1" x="17335"/>
        <item h="1" x="17336"/>
        <item h="1" x="17337"/>
        <item h="1" x="17338"/>
        <item h="1" x="17339"/>
        <item h="1" x="17340"/>
        <item h="1" x="17341"/>
        <item h="1" x="17342"/>
        <item h="1" x="17343"/>
        <item h="1" x="17344"/>
        <item h="1" x="17345"/>
        <item h="1" x="17346"/>
        <item h="1" x="17347"/>
        <item h="1" x="17348"/>
        <item h="1" x="17349"/>
        <item h="1" x="17350"/>
        <item h="1" x="17351"/>
        <item h="1" x="17352"/>
        <item h="1" x="17353"/>
        <item h="1" x="17354"/>
        <item h="1" x="17355"/>
        <item h="1" x="17356"/>
        <item h="1" x="17357"/>
        <item h="1" x="17358"/>
        <item h="1" x="17359"/>
        <item h="1" x="17360"/>
        <item h="1" x="17361"/>
        <item h="1" x="17362"/>
        <item h="1" x="17363"/>
        <item h="1" x="17364"/>
        <item h="1" x="17365"/>
        <item h="1" x="17366"/>
        <item h="1" x="17367"/>
        <item h="1" x="17368"/>
        <item h="1" x="17369"/>
        <item h="1" x="17370"/>
        <item h="1" x="17371"/>
        <item h="1" x="17372"/>
        <item h="1" x="17373"/>
        <item h="1" x="17374"/>
        <item h="1" x="17375"/>
        <item h="1" x="17376"/>
        <item h="1" x="17377"/>
        <item h="1" x="17378"/>
        <item h="1" x="17379"/>
        <item h="1" x="17380"/>
        <item h="1" x="17381"/>
        <item h="1" x="17382"/>
        <item h="1" x="17383"/>
        <item h="1" x="17384"/>
        <item h="1" x="17385"/>
        <item h="1" x="17386"/>
        <item h="1" x="17387"/>
        <item h="1" x="17388"/>
        <item h="1" x="17389"/>
        <item h="1" x="17390"/>
        <item h="1" x="17391"/>
        <item h="1" x="17392"/>
        <item h="1" x="17393"/>
        <item h="1" x="17394"/>
        <item h="1" x="17395"/>
        <item h="1" x="17396"/>
        <item h="1" x="17397"/>
        <item h="1" x="17398"/>
        <item h="1" x="17399"/>
        <item h="1" x="17400"/>
        <item h="1" x="17401"/>
        <item h="1" x="17402"/>
        <item h="1" x="17403"/>
        <item h="1" x="17404"/>
        <item h="1" x="17405"/>
        <item h="1" x="17406"/>
        <item h="1" x="17407"/>
        <item h="1" x="17408"/>
        <item h="1" x="17409"/>
        <item h="1" x="17410"/>
        <item h="1" x="17411"/>
        <item h="1" x="17412"/>
        <item h="1" x="17413"/>
        <item h="1" x="17414"/>
        <item h="1" x="17415"/>
        <item h="1" x="17416"/>
        <item h="1" x="17417"/>
        <item h="1" x="17418"/>
        <item h="1" x="17419"/>
        <item h="1" x="17420"/>
        <item h="1" x="17421"/>
        <item h="1" x="17422"/>
        <item h="1" x="17423"/>
        <item h="1" x="17424"/>
        <item h="1" x="17425"/>
        <item h="1" x="17426"/>
        <item h="1" x="17427"/>
        <item h="1" x="17428"/>
        <item h="1" x="17429"/>
        <item h="1" x="17430"/>
        <item h="1" x="17431"/>
        <item h="1" x="17432"/>
        <item h="1" x="17433"/>
        <item h="1" x="17434"/>
        <item h="1" x="17435"/>
        <item h="1" x="17436"/>
        <item h="1" x="17437"/>
        <item h="1" x="17438"/>
        <item h="1" x="17439"/>
        <item h="1" x="17440"/>
        <item h="1" x="17441"/>
        <item h="1" x="17442"/>
        <item h="1" x="17443"/>
        <item h="1" x="17444"/>
        <item h="1" x="17445"/>
        <item h="1" x="17446"/>
        <item h="1" x="17447"/>
        <item h="1" x="17448"/>
        <item h="1" x="17449"/>
        <item h="1" x="17450"/>
        <item h="1" x="17451"/>
        <item h="1" x="17452"/>
        <item h="1" x="17453"/>
        <item h="1" x="17454"/>
        <item h="1" x="17455"/>
        <item h="1" x="17456"/>
        <item h="1" x="17457"/>
        <item h="1" x="17458"/>
        <item h="1" x="17459"/>
        <item h="1" x="17460"/>
        <item h="1" x="17461"/>
        <item h="1" x="17462"/>
        <item h="1" x="17463"/>
        <item h="1" x="17464"/>
        <item h="1" x="17465"/>
        <item h="1" x="17466"/>
        <item h="1" x="17467"/>
        <item h="1" x="17468"/>
        <item h="1" x="17469"/>
        <item h="1" x="17470"/>
        <item h="1" x="17471"/>
        <item h="1" x="17472"/>
        <item h="1" x="17473"/>
        <item h="1" x="17474"/>
        <item h="1" x="17475"/>
        <item h="1" x="17476"/>
        <item h="1" x="17477"/>
        <item h="1" x="17478"/>
        <item h="1" x="17479"/>
        <item h="1" x="17480"/>
        <item h="1" x="17481"/>
        <item h="1" x="17482"/>
        <item h="1" x="17483"/>
        <item h="1" x="17484"/>
        <item h="1" x="17485"/>
        <item h="1" x="17486"/>
        <item h="1" x="17487"/>
        <item h="1" x="17488"/>
        <item h="1" x="17489"/>
        <item h="1" x="17490"/>
        <item h="1" x="17491"/>
        <item h="1" x="17492"/>
        <item h="1" x="17493"/>
        <item h="1" x="17494"/>
        <item h="1" x="17495"/>
        <item h="1" x="17496"/>
        <item h="1" x="17497"/>
        <item h="1" x="17498"/>
        <item h="1" x="17499"/>
        <item h="1" x="17500"/>
        <item h="1" x="17501"/>
        <item h="1" x="17502"/>
        <item h="1" x="17503"/>
        <item h="1" x="17504"/>
        <item h="1" x="17505"/>
        <item h="1" x="17506"/>
        <item h="1" x="17507"/>
        <item h="1" x="17508"/>
        <item h="1" x="17509"/>
        <item h="1" x="17510"/>
        <item h="1" x="17511"/>
        <item h="1" x="17512"/>
        <item h="1" x="17513"/>
        <item h="1" x="17514"/>
        <item h="1" x="17515"/>
        <item h="1" x="17516"/>
        <item h="1" x="17517"/>
        <item h="1" x="17518"/>
        <item h="1" x="17519"/>
        <item h="1" x="17520"/>
        <item h="1" x="17521"/>
        <item h="1" x="17522"/>
        <item h="1" x="17523"/>
        <item h="1" x="17524"/>
        <item h="1" x="17525"/>
        <item h="1" x="17526"/>
        <item h="1" x="17527"/>
        <item h="1" x="17528"/>
        <item h="1" x="17529"/>
        <item h="1" x="17530"/>
        <item h="1" x="17531"/>
        <item h="1" x="17532"/>
        <item h="1" x="17533"/>
        <item h="1" x="17534"/>
        <item h="1" x="17535"/>
        <item h="1" x="17536"/>
        <item h="1" x="17537"/>
        <item h="1" x="17538"/>
        <item h="1" x="17539"/>
        <item h="1" x="17540"/>
        <item h="1" x="17541"/>
        <item h="1" x="17542"/>
        <item h="1" x="17543"/>
        <item h="1" x="17544"/>
        <item h="1" x="17545"/>
        <item h="1" x="17546"/>
        <item h="1" x="17547"/>
        <item h="1" x="17548"/>
        <item h="1" x="17549"/>
        <item h="1" x="17550"/>
        <item h="1" x="17551"/>
        <item h="1" x="17552"/>
        <item h="1" x="17553"/>
        <item h="1" x="17554"/>
        <item h="1" x="17555"/>
        <item h="1" x="17556"/>
        <item h="1" x="17557"/>
        <item h="1" x="17558"/>
        <item h="1" x="17559"/>
        <item h="1" x="17560"/>
        <item h="1" x="17561"/>
        <item h="1" x="17562"/>
        <item h="1" x="17563"/>
        <item h="1" x="17564"/>
        <item h="1" x="17565"/>
        <item h="1" x="17566"/>
        <item h="1" x="17567"/>
        <item h="1" x="17568"/>
        <item h="1" x="17569"/>
        <item h="1" x="17570"/>
        <item h="1" x="17571"/>
        <item h="1" x="17572"/>
        <item h="1" x="17573"/>
        <item h="1" x="17574"/>
        <item h="1" x="17575"/>
        <item h="1" x="17576"/>
        <item h="1" x="17577"/>
        <item h="1" x="17578"/>
        <item h="1" x="17579"/>
        <item h="1" x="17580"/>
        <item h="1" x="17581"/>
        <item h="1" x="17582"/>
        <item h="1" x="17583"/>
        <item h="1" x="17584"/>
        <item h="1" x="17585"/>
        <item h="1" x="17586"/>
        <item h="1" x="17587"/>
        <item h="1" x="17588"/>
        <item h="1" x="17589"/>
        <item h="1" x="17590"/>
        <item h="1" x="17591"/>
        <item h="1" x="17592"/>
        <item h="1" x="17593"/>
        <item h="1" x="17594"/>
        <item h="1" x="17595"/>
        <item h="1" x="17596"/>
        <item h="1" x="17597"/>
        <item h="1" x="17598"/>
        <item h="1" x="17599"/>
        <item h="1" x="17600"/>
        <item h="1" x="17601"/>
        <item h="1" x="17602"/>
        <item h="1" x="17603"/>
        <item h="1" x="17604"/>
        <item h="1" x="17605"/>
        <item h="1" x="17606"/>
        <item h="1" x="17607"/>
        <item h="1" x="17608"/>
        <item h="1" x="17609"/>
        <item h="1" x="17610"/>
        <item h="1" x="17611"/>
        <item h="1" x="17612"/>
        <item h="1" x="17613"/>
        <item h="1" x="17614"/>
        <item h="1" x="17615"/>
        <item h="1" x="17616"/>
        <item h="1" x="17617"/>
        <item h="1" x="17618"/>
        <item h="1" x="17619"/>
        <item h="1" x="17620"/>
        <item h="1" x="17621"/>
        <item h="1" x="17622"/>
        <item h="1" x="17623"/>
        <item h="1" x="17624"/>
        <item h="1" x="17625"/>
        <item h="1" x="17626"/>
        <item h="1" x="17627"/>
        <item h="1" x="17628"/>
        <item h="1" x="17629"/>
        <item h="1" x="17630"/>
        <item h="1" x="17631"/>
        <item h="1" x="17632"/>
        <item h="1" x="17633"/>
        <item h="1" x="17634"/>
        <item h="1" x="17635"/>
        <item h="1" x="17636"/>
        <item h="1" x="17637"/>
        <item h="1" x="17638"/>
        <item h="1" x="17639"/>
        <item h="1" x="17640"/>
        <item h="1" x="17641"/>
        <item h="1" x="17642"/>
        <item h="1" x="17643"/>
        <item h="1" x="17644"/>
        <item h="1" x="17645"/>
        <item h="1" x="17646"/>
        <item h="1" x="17647"/>
        <item h="1" x="17648"/>
        <item h="1" x="17649"/>
        <item h="1" x="17650"/>
        <item h="1" x="17651"/>
        <item h="1" x="17652"/>
        <item h="1" x="17653"/>
        <item h="1" x="17654"/>
        <item h="1" x="17655"/>
        <item h="1" x="17656"/>
        <item h="1" x="17657"/>
        <item h="1" x="17658"/>
        <item h="1" x="17659"/>
        <item h="1" x="17660"/>
        <item h="1" x="17661"/>
        <item h="1" x="17662"/>
        <item h="1" x="17663"/>
        <item h="1" x="17664"/>
        <item h="1" x="17665"/>
        <item h="1" x="17666"/>
        <item h="1" x="17667"/>
        <item h="1" x="17668"/>
        <item h="1" x="17669"/>
        <item h="1" x="17670"/>
        <item h="1" x="17671"/>
        <item h="1" x="17672"/>
        <item h="1" x="17673"/>
        <item h="1" x="17674"/>
        <item h="1" x="17675"/>
        <item h="1" x="17676"/>
        <item h="1" x="17677"/>
        <item h="1" x="17678"/>
        <item h="1" x="17679"/>
        <item h="1" x="17680"/>
        <item h="1" x="17681"/>
        <item h="1" x="17682"/>
        <item h="1" x="17683"/>
        <item h="1" x="17684"/>
        <item h="1" x="17685"/>
        <item h="1" x="17686"/>
        <item h="1" x="17687"/>
        <item h="1" x="17688"/>
        <item h="1" x="17689"/>
        <item h="1" x="17690"/>
        <item h="1" x="17691"/>
        <item h="1" x="17692"/>
        <item h="1" x="17693"/>
        <item h="1" x="17694"/>
        <item h="1" x="17695"/>
        <item h="1" x="17696"/>
        <item h="1" x="17697"/>
        <item h="1" x="17698"/>
        <item h="1" x="17699"/>
        <item h="1" x="17700"/>
        <item h="1" x="17701"/>
        <item h="1" x="17702"/>
        <item h="1" x="17703"/>
        <item h="1" x="17704"/>
        <item h="1" x="17705"/>
        <item h="1" x="17706"/>
        <item h="1" x="17707"/>
        <item h="1" x="17708"/>
        <item h="1" x="17709"/>
        <item h="1" x="17710"/>
        <item h="1" x="17711"/>
        <item h="1" x="17712"/>
        <item h="1" x="17713"/>
        <item h="1" x="17714"/>
        <item h="1" x="17715"/>
        <item h="1" x="17716"/>
        <item h="1" x="17717"/>
        <item h="1" x="17718"/>
        <item h="1" x="17719"/>
        <item h="1" x="17720"/>
        <item h="1" x="17721"/>
        <item h="1" x="17722"/>
        <item h="1" x="17723"/>
        <item h="1" x="17724"/>
        <item h="1" x="17725"/>
        <item h="1" x="17726"/>
        <item h="1" x="17727"/>
        <item h="1" x="17728"/>
        <item h="1" x="17729"/>
        <item h="1" x="17730"/>
        <item h="1" x="17731"/>
        <item h="1" x="17732"/>
        <item h="1" x="17733"/>
        <item h="1" x="17734"/>
        <item h="1" x="17735"/>
        <item h="1" x="17736"/>
        <item h="1" x="17737"/>
        <item h="1" x="17738"/>
        <item h="1" x="17739"/>
        <item h="1" x="17740"/>
        <item h="1" x="17741"/>
        <item h="1" x="17742"/>
        <item h="1" x="17743"/>
        <item h="1" x="17744"/>
        <item h="1" x="17745"/>
        <item h="1" x="17746"/>
        <item h="1" x="17747"/>
        <item h="1" x="17748"/>
        <item h="1" x="17749"/>
        <item h="1" x="17750"/>
        <item h="1" x="17751"/>
        <item h="1" x="17752"/>
        <item h="1" x="17753"/>
        <item h="1" x="17754"/>
        <item h="1" x="17755"/>
        <item h="1" x="17756"/>
        <item h="1" x="17757"/>
        <item h="1" x="17758"/>
        <item h="1" x="17759"/>
        <item h="1" x="17760"/>
        <item h="1" x="17761"/>
        <item h="1" x="17762"/>
        <item h="1" x="17763"/>
        <item h="1" x="17764"/>
        <item h="1" x="17765"/>
        <item h="1" x="17766"/>
        <item h="1" x="17767"/>
        <item h="1" x="17768"/>
        <item h="1" x="17769"/>
        <item h="1" x="17770"/>
        <item h="1" x="17771"/>
        <item h="1" x="17772"/>
        <item h="1" x="17773"/>
        <item h="1" x="17774"/>
        <item h="1" x="17775"/>
        <item h="1" x="17776"/>
        <item h="1" x="17777"/>
        <item h="1" x="17778"/>
        <item h="1" x="17779"/>
        <item h="1" x="17780"/>
        <item h="1" x="17781"/>
        <item h="1" x="17782"/>
        <item h="1" x="17783"/>
        <item h="1" x="17784"/>
        <item h="1" x="17785"/>
        <item h="1" x="17786"/>
        <item h="1" x="17787"/>
        <item h="1" x="17788"/>
        <item h="1" x="17789"/>
        <item h="1" x="17790"/>
        <item h="1" x="17791"/>
        <item h="1" x="17792"/>
        <item h="1" x="17793"/>
        <item h="1" x="17794"/>
        <item h="1" x="17795"/>
        <item h="1" x="17796"/>
        <item h="1" x="17797"/>
        <item h="1" x="17798"/>
        <item h="1" x="17799"/>
        <item h="1" x="17800"/>
        <item h="1" x="17801"/>
        <item h="1" x="17802"/>
        <item h="1" x="17803"/>
        <item h="1" x="17804"/>
        <item h="1" x="17805"/>
        <item h="1" x="17806"/>
        <item h="1" x="17807"/>
        <item h="1" x="17808"/>
        <item h="1" x="17809"/>
        <item h="1" x="17810"/>
        <item h="1" x="17811"/>
        <item h="1" x="17812"/>
        <item h="1" x="17813"/>
        <item h="1" x="17814"/>
        <item h="1" x="17815"/>
        <item h="1" x="17816"/>
        <item h="1" x="17817"/>
        <item h="1" x="17818"/>
        <item h="1" x="17819"/>
        <item h="1" x="17820"/>
        <item h="1" x="17821"/>
        <item h="1" x="17822"/>
        <item h="1" x="17823"/>
        <item h="1" x="17824"/>
        <item h="1" x="17825"/>
        <item h="1" x="17826"/>
        <item h="1" x="17827"/>
        <item h="1" x="17828"/>
        <item h="1" x="17829"/>
        <item h="1" x="17830"/>
        <item h="1" x="17831"/>
        <item h="1" x="17832"/>
        <item h="1" x="17833"/>
        <item h="1" x="17834"/>
        <item h="1" x="17835"/>
        <item h="1" x="17836"/>
        <item h="1" x="17837"/>
        <item h="1" x="17838"/>
        <item h="1" x="17839"/>
        <item h="1" x="17840"/>
        <item h="1" x="17841"/>
        <item h="1" x="17842"/>
        <item h="1" x="17843"/>
        <item h="1" x="17844"/>
        <item h="1" x="17845"/>
        <item h="1" x="17846"/>
        <item h="1" x="17847"/>
        <item h="1" x="17848"/>
        <item h="1" x="17849"/>
        <item h="1" x="17850"/>
        <item h="1" x="17851"/>
        <item h="1" x="17852"/>
        <item h="1" x="17853"/>
        <item h="1" x="17854"/>
        <item h="1" x="17855"/>
        <item h="1" x="17856"/>
        <item h="1" x="17857"/>
        <item h="1" x="17858"/>
        <item h="1" x="17859"/>
        <item h="1" x="17860"/>
        <item h="1" x="17861"/>
        <item h="1" x="17862"/>
        <item h="1" x="17863"/>
        <item h="1" x="17864"/>
        <item h="1" x="17865"/>
        <item h="1" x="17866"/>
        <item h="1" x="17867"/>
        <item h="1" x="17868"/>
        <item h="1" x="17869"/>
        <item h="1" x="17870"/>
        <item h="1" x="17871"/>
        <item h="1" x="17872"/>
        <item h="1" x="17873"/>
        <item h="1" x="17874"/>
        <item h="1" x="17875"/>
        <item h="1" x="17876"/>
        <item h="1" x="17877"/>
        <item h="1" x="17878"/>
        <item h="1" x="17879"/>
        <item h="1" x="17880"/>
        <item h="1" x="17881"/>
        <item h="1" x="17882"/>
        <item h="1" x="17883"/>
        <item h="1" x="17884"/>
        <item h="1" x="17885"/>
        <item h="1" x="17886"/>
        <item h="1" x="17887"/>
        <item h="1" x="17888"/>
        <item h="1" x="17889"/>
        <item h="1" x="17890"/>
        <item h="1" x="17891"/>
        <item h="1" x="17892"/>
        <item h="1" x="17893"/>
        <item h="1" x="17894"/>
        <item h="1" x="17895"/>
        <item h="1" x="17896"/>
        <item h="1" x="17897"/>
        <item h="1" x="17898"/>
        <item h="1" x="17899"/>
        <item h="1" x="17900"/>
        <item h="1" x="17901"/>
        <item h="1" x="17902"/>
        <item h="1" x="17903"/>
        <item h="1" x="17904"/>
        <item h="1" x="17905"/>
        <item h="1" x="17906"/>
        <item h="1" x="17907"/>
        <item h="1" x="17908"/>
        <item h="1" x="17909"/>
        <item h="1" x="17910"/>
        <item h="1" x="17911"/>
        <item h="1" x="17912"/>
        <item h="1" x="17913"/>
        <item h="1" x="17914"/>
        <item h="1" x="17915"/>
        <item h="1" x="17916"/>
        <item h="1" x="17917"/>
        <item h="1" x="17918"/>
        <item h="1" x="17919"/>
        <item h="1" x="17920"/>
        <item h="1" x="17921"/>
        <item h="1" x="17922"/>
        <item h="1" x="17923"/>
        <item h="1" x="17924"/>
        <item h="1" x="17925"/>
        <item h="1" x="17926"/>
        <item h="1" x="17927"/>
        <item h="1" x="17928"/>
        <item h="1" x="17929"/>
        <item h="1" x="17930"/>
        <item h="1" x="17931"/>
        <item h="1" x="17932"/>
        <item h="1" x="17933"/>
        <item h="1" x="17934"/>
        <item h="1" x="17935"/>
        <item h="1" x="17936"/>
        <item h="1" x="17937"/>
        <item h="1" x="17938"/>
        <item h="1" x="17939"/>
        <item h="1" x="17940"/>
        <item h="1" x="17941"/>
        <item h="1" x="17942"/>
        <item h="1" x="17943"/>
        <item h="1" x="17944"/>
        <item h="1" x="17945"/>
        <item h="1" x="17946"/>
        <item h="1" x="17947"/>
        <item h="1" x="17948"/>
        <item h="1" x="17949"/>
        <item h="1" x="17950"/>
        <item h="1" x="17951"/>
        <item h="1" x="17952"/>
        <item h="1" x="17953"/>
        <item h="1" x="17954"/>
        <item h="1" x="17955"/>
        <item h="1" x="17956"/>
        <item h="1" x="17957"/>
        <item h="1" x="17958"/>
        <item h="1" x="17959"/>
        <item h="1" x="17960"/>
        <item h="1" x="17961"/>
        <item h="1" x="17962"/>
        <item h="1" x="17963"/>
        <item h="1" x="17964"/>
        <item h="1" x="17965"/>
        <item h="1" x="17966"/>
        <item h="1" x="17967"/>
        <item h="1" x="17968"/>
        <item h="1" x="17969"/>
        <item h="1" x="17970"/>
        <item h="1" x="17971"/>
        <item h="1" x="17972"/>
        <item h="1" x="17973"/>
        <item h="1" x="17974"/>
        <item h="1" x="17975"/>
        <item h="1" x="17976"/>
        <item h="1" x="17977"/>
        <item h="1" x="17978"/>
        <item h="1" x="17979"/>
        <item h="1" x="17980"/>
        <item h="1" x="17981"/>
        <item h="1" x="17982"/>
        <item h="1" x="17983"/>
        <item h="1" x="17984"/>
        <item h="1" x="17985"/>
        <item h="1" x="17986"/>
        <item h="1" x="17987"/>
        <item h="1" x="17988"/>
        <item h="1" x="17989"/>
        <item h="1" x="17990"/>
        <item h="1" x="17991"/>
        <item h="1" x="17992"/>
        <item h="1" x="17993"/>
        <item h="1" x="17994"/>
        <item h="1" x="17995"/>
        <item h="1" x="17996"/>
        <item h="1" x="17997"/>
        <item h="1" x="17998"/>
        <item h="1" x="17999"/>
        <item h="1" x="18000"/>
        <item h="1" x="18001"/>
        <item h="1" x="18002"/>
        <item h="1" x="18003"/>
        <item h="1" x="18004"/>
        <item h="1" x="18005"/>
        <item h="1" x="18006"/>
        <item h="1" x="18007"/>
        <item h="1" x="18008"/>
        <item h="1" x="18009"/>
        <item h="1" x="18010"/>
        <item h="1" x="18011"/>
        <item h="1" x="18012"/>
        <item h="1" x="18013"/>
        <item h="1" x="18014"/>
        <item h="1" x="18015"/>
        <item h="1" x="18016"/>
        <item h="1" x="18017"/>
        <item h="1" x="18018"/>
        <item h="1" x="18019"/>
        <item h="1" x="18020"/>
        <item h="1" x="18021"/>
        <item h="1" x="18022"/>
        <item h="1" x="18023"/>
        <item h="1" x="18024"/>
        <item h="1" x="18025"/>
        <item h="1" x="18026"/>
        <item h="1" x="18027"/>
        <item h="1" x="18028"/>
        <item h="1" x="18029"/>
        <item h="1" x="18030"/>
        <item h="1" x="18031"/>
        <item h="1" x="18032"/>
        <item h="1" x="18033"/>
        <item h="1" x="18034"/>
        <item h="1" x="18035"/>
        <item h="1" x="18036"/>
        <item h="1" x="18037"/>
        <item h="1" x="18038"/>
        <item h="1" x="18039"/>
        <item h="1" x="18040"/>
        <item h="1" x="18041"/>
        <item h="1" x="18042"/>
        <item h="1" x="18043"/>
        <item h="1" x="18044"/>
        <item h="1" x="18045"/>
        <item h="1" x="18046"/>
        <item h="1" x="18047"/>
        <item h="1" x="18048"/>
        <item h="1" x="18049"/>
        <item h="1" x="18050"/>
        <item h="1" x="18051"/>
        <item h="1" x="18052"/>
        <item h="1" x="18053"/>
        <item h="1" x="18054"/>
        <item h="1" x="18055"/>
        <item h="1" x="18056"/>
        <item h="1" x="18057"/>
        <item h="1" x="18058"/>
        <item h="1" x="18059"/>
        <item h="1" x="18060"/>
        <item h="1" x="18061"/>
        <item h="1" x="18062"/>
        <item h="1" x="18063"/>
        <item h="1" x="18064"/>
        <item h="1" x="18065"/>
        <item h="1" x="18066"/>
        <item h="1" x="18067"/>
        <item h="1" x="18068"/>
        <item h="1" x="18069"/>
        <item h="1" x="18070"/>
        <item h="1" x="18071"/>
        <item h="1" x="18072"/>
        <item h="1" x="18073"/>
        <item h="1" x="18074"/>
        <item h="1" x="18075"/>
        <item h="1" x="18076"/>
        <item h="1" x="18077"/>
        <item h="1" x="18078"/>
        <item h="1" x="18079"/>
        <item h="1" x="18080"/>
        <item h="1" x="18081"/>
        <item h="1" x="18082"/>
        <item h="1" x="18083"/>
        <item h="1" x="18084"/>
        <item h="1" x="18085"/>
        <item h="1" x="18086"/>
        <item h="1" x="18087"/>
        <item h="1" x="18088"/>
        <item h="1" x="18089"/>
        <item h="1" x="18090"/>
        <item h="1" x="18091"/>
        <item h="1" x="18092"/>
        <item h="1" x="18093"/>
        <item h="1" x="18094"/>
        <item h="1" x="18095"/>
        <item h="1" x="18096"/>
        <item h="1" x="18097"/>
        <item h="1" x="18098"/>
        <item h="1" x="18099"/>
        <item h="1" x="18100"/>
        <item h="1" x="18101"/>
        <item h="1" x="18102"/>
        <item h="1" x="18103"/>
        <item h="1" x="18104"/>
        <item h="1" x="18105"/>
        <item h="1" x="18106"/>
        <item h="1" x="18107"/>
        <item h="1" x="18108"/>
        <item h="1" x="18109"/>
        <item h="1" x="18110"/>
        <item h="1" x="18111"/>
        <item h="1" x="18112"/>
        <item h="1" x="18113"/>
        <item h="1" x="18114"/>
        <item h="1" x="18115"/>
        <item h="1" x="18116"/>
        <item h="1" x="18117"/>
        <item h="1" x="18118"/>
        <item h="1" x="18119"/>
        <item h="1" x="18120"/>
        <item h="1" x="18121"/>
        <item h="1" x="18122"/>
        <item h="1" x="18123"/>
        <item h="1" x="18124"/>
        <item h="1" x="18125"/>
        <item h="1" x="18126"/>
        <item h="1" x="18127"/>
        <item h="1" x="18128"/>
        <item h="1" x="18129"/>
        <item h="1" x="18130"/>
        <item h="1" x="18131"/>
        <item h="1" x="18132"/>
        <item h="1" x="18133"/>
        <item h="1" x="18134"/>
        <item h="1" x="18135"/>
        <item h="1" x="18136"/>
        <item h="1" x="18137"/>
        <item h="1" x="18138"/>
        <item h="1" x="18139"/>
        <item h="1" x="18140"/>
        <item h="1" x="18141"/>
        <item h="1" x="18142"/>
        <item h="1" x="18143"/>
        <item h="1" x="18144"/>
        <item h="1" x="18145"/>
        <item h="1" x="18146"/>
        <item h="1" x="18147"/>
        <item h="1" x="18148"/>
        <item h="1" x="18149"/>
        <item h="1" x="18150"/>
        <item h="1" x="18151"/>
        <item h="1" x="18152"/>
        <item h="1" x="18153"/>
        <item h="1" x="18154"/>
        <item h="1" x="18155"/>
        <item h="1" x="18156"/>
        <item h="1" x="18157"/>
        <item h="1" x="18158"/>
        <item h="1" x="18159"/>
        <item h="1" x="18160"/>
        <item h="1" x="18161"/>
        <item h="1" x="18162"/>
        <item h="1" x="18163"/>
        <item h="1" x="18164"/>
        <item h="1" x="18165"/>
        <item h="1" x="18166"/>
        <item h="1" x="18167"/>
        <item h="1" x="18168"/>
        <item h="1" x="18169"/>
        <item h="1" x="18170"/>
        <item h="1" x="18171"/>
        <item h="1" x="18172"/>
        <item h="1" x="18173"/>
        <item h="1" x="18174"/>
        <item h="1" x="18175"/>
        <item h="1" x="18176"/>
        <item h="1" x="18177"/>
        <item h="1" x="18178"/>
        <item h="1" x="18179"/>
        <item h="1" x="18180"/>
        <item h="1" x="18181"/>
        <item h="1" x="18182"/>
        <item h="1" x="18183"/>
        <item h="1" x="18184"/>
        <item h="1" x="18185"/>
        <item h="1" x="18186"/>
        <item h="1" x="18187"/>
        <item h="1" x="18188"/>
        <item h="1" x="18189"/>
        <item h="1" x="18190"/>
        <item h="1" x="18191"/>
        <item h="1" x="18192"/>
        <item h="1" x="18193"/>
        <item h="1" x="18194"/>
        <item h="1" x="18195"/>
        <item h="1" x="18196"/>
        <item h="1" x="18197"/>
        <item h="1" x="18198"/>
        <item h="1" x="18199"/>
        <item h="1" x="18200"/>
        <item h="1" x="18201"/>
        <item h="1" x="18202"/>
        <item h="1" x="18203"/>
        <item h="1" x="18204"/>
        <item h="1" x="18205"/>
        <item h="1" x="18206"/>
        <item h="1" x="18207"/>
        <item h="1" x="18208"/>
        <item h="1" x="18209"/>
        <item h="1" x="18210"/>
        <item h="1" x="18211"/>
        <item h="1" x="18212"/>
        <item h="1" x="18213"/>
        <item h="1" x="18214"/>
        <item h="1" x="18215"/>
        <item h="1" x="18216"/>
        <item h="1" x="18217"/>
        <item h="1" x="18218"/>
        <item h="1" x="18219"/>
        <item h="1" x="18220"/>
        <item h="1" x="18221"/>
        <item h="1" x="18222"/>
        <item h="1" x="18223"/>
        <item h="1" x="18224"/>
        <item h="1" x="18225"/>
        <item h="1" x="18226"/>
        <item h="1" x="18227"/>
        <item h="1" x="18228"/>
        <item h="1" x="18229"/>
        <item h="1" x="18230"/>
        <item h="1" x="18231"/>
        <item h="1" x="18232"/>
        <item h="1" x="18233"/>
        <item h="1" x="18234"/>
        <item h="1" x="18235"/>
        <item h="1" x="18236"/>
        <item h="1" x="18237"/>
        <item h="1" x="18238"/>
        <item h="1" x="18239"/>
        <item h="1" x="18240"/>
        <item h="1" x="18241"/>
        <item h="1" x="18242"/>
        <item h="1" x="18243"/>
        <item h="1" x="18244"/>
        <item h="1" x="18245"/>
        <item h="1" x="18246"/>
        <item h="1" x="18247"/>
        <item h="1" x="18248"/>
        <item h="1" x="18249"/>
        <item h="1" x="18250"/>
        <item h="1" x="18251"/>
        <item h="1" x="18252"/>
        <item h="1" x="18253"/>
        <item h="1" x="18254"/>
        <item h="1" x="18255"/>
        <item h="1" x="18256"/>
        <item h="1" x="18257"/>
        <item h="1" x="18258"/>
        <item h="1" x="18259"/>
        <item h="1" x="18260"/>
        <item h="1" x="18261"/>
        <item h="1" x="18262"/>
        <item h="1" x="18263"/>
        <item h="1" x="18264"/>
        <item h="1" x="18265"/>
        <item h="1" x="18266"/>
        <item h="1" x="18267"/>
        <item h="1" x="18268"/>
        <item h="1" x="18269"/>
        <item h="1" x="18270"/>
        <item h="1" x="18271"/>
        <item h="1" x="18272"/>
        <item h="1" x="18273"/>
        <item h="1" x="18274"/>
        <item h="1" x="18275"/>
        <item h="1" x="18276"/>
        <item h="1" x="18277"/>
        <item h="1" x="18278"/>
        <item h="1" x="18279"/>
        <item h="1" x="18280"/>
        <item h="1" x="18281"/>
        <item h="1" x="18282"/>
        <item h="1" x="18283"/>
        <item h="1" x="18284"/>
        <item h="1" x="18285"/>
        <item h="1" x="18286"/>
        <item h="1" x="18287"/>
        <item h="1" x="18288"/>
        <item h="1" x="18289"/>
        <item h="1" x="18290"/>
        <item h="1" x="18291"/>
        <item h="1" x="18292"/>
        <item h="1" x="18293"/>
        <item h="1" x="18294"/>
        <item h="1" x="18295"/>
        <item h="1" x="18296"/>
        <item h="1" x="18297"/>
        <item h="1" x="18298"/>
        <item h="1" x="18299"/>
        <item h="1" x="18300"/>
        <item h="1" x="18301"/>
        <item h="1" x="18302"/>
        <item h="1" x="18303"/>
        <item h="1" x="18304"/>
        <item h="1" x="18305"/>
        <item h="1" x="18306"/>
        <item h="1" x="18307"/>
        <item h="1" x="18308"/>
        <item h="1" x="18309"/>
        <item h="1" x="18310"/>
        <item h="1" x="18311"/>
        <item h="1" x="18312"/>
        <item h="1" x="18313"/>
        <item h="1" x="18314"/>
        <item h="1" x="18315"/>
        <item h="1" x="18316"/>
        <item h="1" x="18317"/>
        <item h="1" x="18318"/>
        <item h="1" x="18319"/>
        <item h="1" x="18320"/>
        <item h="1" x="18321"/>
        <item h="1" x="18322"/>
        <item h="1" x="18323"/>
        <item h="1" x="18324"/>
        <item h="1" x="18325"/>
        <item h="1" x="18326"/>
        <item h="1" x="18327"/>
        <item h="1" x="18328"/>
        <item h="1" x="18329"/>
        <item h="1" x="18330"/>
        <item h="1" x="18331"/>
        <item h="1" x="18332"/>
        <item h="1" x="18333"/>
        <item h="1" x="18334"/>
        <item h="1" x="18335"/>
        <item h="1" x="18336"/>
        <item h="1" x="18337"/>
        <item h="1" x="18338"/>
        <item h="1" x="18339"/>
        <item h="1" x="18340"/>
        <item h="1" x="18341"/>
        <item h="1" x="18342"/>
        <item h="1" x="18343"/>
        <item h="1" x="18344"/>
        <item h="1" x="18345"/>
        <item h="1" x="18346"/>
        <item h="1" x="18347"/>
        <item h="1" x="18348"/>
        <item h="1" x="18349"/>
        <item h="1" x="18350"/>
        <item h="1" x="18351"/>
        <item h="1" x="18352"/>
        <item h="1" x="18353"/>
        <item h="1" x="18354"/>
        <item h="1" x="18355"/>
        <item h="1" x="18356"/>
        <item h="1" x="18357"/>
        <item h="1" x="18358"/>
        <item h="1" x="18359"/>
        <item h="1" x="18360"/>
        <item h="1" x="18361"/>
        <item h="1" x="18362"/>
        <item h="1" x="18363"/>
        <item h="1" x="18364"/>
        <item h="1" x="18365"/>
        <item h="1" x="18366"/>
        <item h="1" x="18367"/>
        <item h="1" x="18368"/>
        <item h="1" x="18369"/>
        <item h="1" x="18370"/>
        <item h="1" x="18371"/>
        <item h="1" x="18372"/>
        <item h="1" x="18373"/>
        <item h="1" x="18374"/>
        <item h="1" x="18375"/>
        <item h="1" x="18376"/>
        <item h="1" x="18377"/>
        <item h="1" x="18378"/>
        <item h="1" x="18379"/>
        <item h="1" x="18380"/>
        <item h="1" x="18381"/>
        <item h="1" x="18382"/>
        <item h="1" x="18383"/>
        <item h="1" x="18384"/>
        <item h="1" x="18385"/>
        <item h="1" x="18386"/>
        <item h="1" x="18387"/>
        <item h="1" x="18388"/>
        <item h="1" x="18389"/>
        <item h="1" x="18390"/>
        <item h="1" x="18391"/>
        <item h="1" x="18392"/>
        <item h="1" x="18393"/>
        <item h="1" x="18394"/>
        <item h="1" x="18395"/>
        <item h="1" x="18396"/>
        <item h="1" x="18397"/>
        <item h="1" x="18398"/>
        <item h="1" x="18399"/>
        <item h="1" x="18400"/>
        <item h="1" x="18401"/>
        <item h="1" x="18402"/>
        <item h="1" x="18403"/>
        <item h="1" x="18404"/>
        <item h="1" x="18405"/>
        <item h="1" x="18406"/>
        <item h="1" x="18407"/>
        <item h="1" x="18408"/>
        <item h="1" x="18409"/>
        <item h="1" x="18410"/>
        <item h="1" x="18411"/>
        <item h="1" x="18412"/>
        <item h="1" x="18413"/>
        <item h="1" x="18414"/>
        <item h="1" x="18415"/>
        <item h="1" x="18416"/>
        <item h="1" x="18417"/>
        <item h="1" x="18418"/>
        <item h="1" x="18419"/>
        <item h="1" x="18420"/>
        <item h="1" x="18421"/>
        <item h="1" x="18422"/>
        <item h="1" x="18423"/>
        <item h="1" x="18424"/>
        <item h="1" x="18425"/>
        <item h="1" x="18426"/>
        <item h="1" x="18427"/>
        <item h="1" x="18428"/>
        <item h="1" x="18429"/>
        <item h="1" x="18430"/>
        <item h="1" x="18431"/>
        <item h="1" x="18432"/>
        <item h="1" x="18433"/>
        <item h="1" x="18434"/>
        <item h="1" x="18435"/>
        <item h="1" x="18436"/>
        <item h="1" x="18437"/>
        <item h="1" x="18438"/>
        <item h="1" x="18439"/>
        <item h="1" x="18440"/>
        <item h="1" x="18441"/>
        <item h="1" x="18442"/>
        <item h="1" x="18443"/>
        <item h="1" x="18444"/>
        <item h="1" x="18445"/>
        <item h="1" x="18446"/>
        <item h="1" x="18447"/>
        <item h="1" x="18448"/>
        <item h="1" x="18449"/>
        <item h="1" x="18450"/>
        <item h="1" x="18451"/>
        <item h="1" x="18452"/>
        <item h="1" x="18453"/>
        <item h="1" x="18454"/>
        <item h="1" x="18455"/>
        <item h="1" x="18456"/>
        <item h="1" x="18457"/>
        <item h="1" x="18458"/>
        <item h="1" x="18459"/>
        <item h="1" x="18460"/>
        <item h="1" x="18461"/>
        <item h="1" x="18462"/>
        <item h="1" x="18463"/>
        <item h="1" x="18464"/>
        <item h="1" x="18465"/>
        <item h="1" x="18466"/>
        <item h="1" x="18467"/>
        <item h="1" x="18468"/>
        <item h="1" x="18469"/>
        <item h="1" x="18470"/>
        <item h="1" x="18471"/>
        <item h="1" x="18472"/>
        <item h="1" x="18473"/>
        <item h="1" x="18474"/>
        <item h="1" x="18475"/>
        <item h="1" x="18476"/>
        <item h="1" x="18477"/>
        <item h="1" x="18478"/>
        <item h="1" x="18479"/>
        <item h="1" x="18480"/>
        <item h="1" x="18481"/>
        <item h="1" x="18482"/>
        <item h="1" x="18483"/>
        <item h="1" x="18484"/>
        <item h="1" x="18485"/>
        <item h="1" x="18486"/>
        <item h="1" x="18487"/>
        <item h="1" x="18488"/>
        <item h="1" x="18489"/>
        <item h="1" x="18490"/>
        <item h="1" x="18491"/>
        <item h="1" x="18492"/>
        <item h="1" x="18493"/>
        <item h="1" x="18494"/>
        <item h="1" x="18495"/>
        <item h="1" x="18496"/>
        <item h="1" x="18497"/>
        <item h="1" x="18498"/>
        <item h="1" x="18499"/>
        <item h="1" x="18500"/>
        <item h="1" x="18501"/>
        <item h="1" x="18502"/>
        <item h="1" x="18503"/>
        <item h="1" x="18504"/>
        <item h="1" x="18505"/>
        <item h="1" x="18506"/>
        <item h="1" x="18507"/>
        <item h="1" x="18508"/>
        <item h="1" x="18509"/>
        <item h="1" x="18510"/>
        <item h="1" x="18511"/>
        <item h="1" x="18512"/>
        <item h="1" x="18513"/>
        <item h="1" x="18514"/>
        <item h="1" x="18515"/>
        <item h="1" x="18516"/>
        <item h="1" x="18517"/>
        <item h="1" x="18518"/>
        <item h="1" x="18519"/>
        <item h="1" x="18520"/>
        <item h="1" x="18521"/>
        <item h="1" x="18522"/>
        <item h="1" x="18523"/>
        <item h="1" x="18524"/>
        <item h="1" x="18525"/>
        <item h="1" x="18526"/>
        <item h="1" x="18527"/>
        <item h="1" x="18528"/>
        <item h="1" x="18529"/>
        <item h="1" x="18530"/>
        <item h="1" x="18531"/>
        <item h="1" x="18532"/>
        <item h="1" x="18533"/>
        <item h="1" x="18534"/>
        <item h="1" x="18535"/>
        <item h="1" x="18536"/>
        <item h="1" x="18537"/>
        <item h="1" x="18538"/>
        <item h="1" x="18539"/>
        <item h="1" x="18540"/>
        <item h="1" x="18541"/>
        <item h="1" x="18542"/>
        <item h="1" x="18543"/>
        <item h="1" x="18544"/>
        <item h="1" x="18545"/>
        <item h="1" x="18546"/>
        <item h="1" x="18547"/>
        <item h="1" x="18548"/>
        <item h="1" x="18549"/>
        <item h="1" x="18550"/>
        <item h="1" x="18551"/>
        <item h="1" x="18552"/>
        <item h="1" x="18553"/>
        <item h="1" x="18554"/>
        <item h="1" x="18555"/>
        <item h="1" x="18556"/>
        <item h="1" x="18557"/>
        <item h="1" x="18558"/>
        <item h="1" x="18559"/>
        <item h="1" x="18560"/>
        <item h="1" x="18561"/>
        <item h="1" x="18562"/>
        <item h="1" x="18563"/>
        <item h="1" x="18564"/>
        <item h="1" x="18565"/>
        <item h="1" x="18566"/>
        <item h="1" x="18567"/>
        <item h="1" x="18568"/>
        <item h="1" x="18569"/>
        <item h="1" x="18570"/>
        <item h="1" x="18571"/>
        <item h="1" x="18572"/>
        <item h="1" x="18573"/>
        <item h="1" x="18574"/>
        <item h="1" x="18575"/>
        <item h="1" x="18576"/>
        <item h="1" x="18577"/>
        <item h="1" x="18578"/>
        <item h="1" x="18579"/>
        <item h="1" x="18580"/>
        <item h="1" x="18581"/>
        <item h="1" x="18582"/>
        <item h="1" x="18583"/>
        <item h="1" x="18584"/>
        <item h="1" x="18585"/>
        <item h="1" x="18586"/>
        <item h="1" x="18587"/>
        <item h="1" x="18588"/>
        <item h="1" x="18589"/>
        <item h="1" x="18590"/>
        <item h="1" x="18591"/>
        <item h="1" x="18592"/>
        <item h="1" x="18593"/>
        <item h="1" x="18594"/>
        <item h="1" x="18595"/>
        <item h="1" x="18596"/>
        <item h="1" x="18597"/>
        <item h="1" x="18598"/>
        <item h="1" x="18599"/>
        <item h="1" x="18600"/>
        <item h="1" x="18601"/>
        <item h="1" x="18602"/>
        <item h="1" x="18603"/>
        <item h="1" x="18604"/>
        <item h="1" x="18605"/>
        <item h="1" x="18606"/>
        <item h="1" x="18607"/>
        <item h="1" x="18608"/>
        <item h="1" x="18609"/>
        <item h="1" x="18610"/>
        <item h="1" x="18611"/>
        <item h="1" x="18612"/>
        <item h="1" x="18613"/>
        <item h="1" x="18614"/>
        <item h="1" x="18615"/>
        <item h="1" x="18616"/>
        <item h="1" x="18617"/>
        <item h="1" x="18618"/>
        <item h="1" x="18619"/>
        <item h="1" x="18620"/>
        <item h="1" x="18621"/>
        <item h="1" x="18622"/>
        <item h="1" x="18623"/>
        <item h="1" x="18624"/>
        <item h="1" x="18625"/>
        <item h="1" x="18626"/>
        <item h="1" x="18627"/>
        <item h="1" x="18628"/>
        <item h="1" x="18629"/>
        <item h="1" x="18630"/>
        <item h="1" x="18631"/>
        <item h="1" x="18632"/>
        <item h="1" x="18633"/>
        <item h="1" x="18634"/>
        <item h="1" x="18635"/>
        <item h="1" x="18636"/>
        <item h="1" x="18637"/>
        <item h="1" x="18638"/>
        <item h="1" x="18639"/>
        <item h="1" x="18640"/>
        <item h="1" x="18641"/>
        <item h="1" x="18642"/>
        <item h="1" x="18643"/>
        <item h="1" x="18644"/>
        <item h="1" x="18645"/>
        <item h="1" x="18646"/>
        <item h="1" x="18647"/>
        <item h="1" x="18648"/>
        <item h="1" x="18649"/>
        <item h="1" x="18650"/>
        <item h="1" x="18651"/>
        <item h="1" x="18652"/>
        <item h="1" x="18653"/>
        <item h="1" x="18654"/>
        <item h="1" x="18655"/>
        <item h="1" x="18656"/>
        <item h="1" x="18657"/>
        <item h="1" x="18658"/>
        <item h="1" x="18659"/>
        <item h="1" x="18660"/>
        <item h="1" x="18661"/>
        <item h="1" x="18662"/>
        <item h="1" x="18663"/>
        <item h="1" x="18664"/>
        <item h="1" x="18665"/>
        <item h="1" x="18666"/>
        <item h="1" x="18667"/>
        <item h="1" x="18668"/>
        <item h="1" x="18669"/>
        <item h="1" x="18670"/>
        <item h="1" x="18671"/>
        <item h="1" x="18672"/>
        <item h="1" x="18673"/>
        <item h="1" x="18674"/>
        <item h="1" x="18675"/>
        <item h="1" x="18676"/>
        <item h="1" x="18677"/>
        <item h="1" x="18678"/>
        <item h="1" x="18679"/>
        <item h="1" x="18680"/>
        <item h="1" x="18681"/>
        <item h="1" x="18682"/>
        <item h="1" x="18683"/>
        <item h="1" x="18684"/>
        <item h="1" x="18685"/>
        <item h="1" x="18686"/>
        <item h="1" x="18687"/>
        <item h="1" x="18688"/>
        <item h="1" x="18689"/>
        <item h="1" x="18690"/>
        <item h="1" x="18691"/>
        <item h="1" x="18692"/>
        <item h="1" x="18693"/>
        <item h="1" x="18694"/>
        <item h="1" x="18695"/>
        <item h="1" x="18696"/>
        <item h="1" x="18697"/>
        <item h="1" x="18698"/>
        <item h="1" x="18699"/>
        <item h="1" x="18700"/>
        <item h="1" x="18701"/>
        <item h="1" x="18702"/>
        <item h="1" x="18703"/>
        <item h="1" x="18704"/>
        <item h="1" x="18705"/>
        <item h="1" x="18706"/>
        <item h="1" x="18707"/>
        <item h="1" x="18708"/>
        <item h="1" x="18709"/>
        <item h="1" x="18710"/>
        <item h="1" x="18711"/>
        <item h="1" x="18712"/>
        <item h="1" x="18713"/>
        <item h="1" x="18714"/>
        <item h="1" x="18715"/>
        <item h="1" x="18716"/>
        <item h="1" x="18717"/>
        <item h="1" x="18718"/>
        <item h="1" x="18719"/>
        <item h="1" x="18720"/>
        <item h="1" x="18721"/>
        <item h="1" x="18722"/>
        <item h="1" x="18723"/>
        <item h="1" x="18724"/>
        <item h="1" x="18725"/>
        <item h="1" x="18726"/>
        <item h="1" x="18727"/>
        <item h="1" x="18728"/>
        <item h="1" x="18729"/>
        <item h="1" x="18730"/>
        <item h="1" x="18731"/>
        <item h="1" x="18732"/>
        <item h="1" x="18733"/>
        <item h="1" x="18734"/>
        <item h="1" x="18735"/>
        <item h="1" x="18736"/>
        <item h="1" x="18737"/>
        <item h="1" x="18738"/>
        <item h="1" x="18739"/>
        <item h="1" x="18740"/>
        <item h="1" x="18741"/>
        <item h="1" x="18742"/>
        <item h="1" x="18743"/>
        <item h="1" x="18744"/>
        <item h="1" x="18745"/>
        <item h="1" x="18746"/>
        <item h="1" x="18747"/>
        <item h="1" x="18748"/>
        <item h="1" x="18749"/>
        <item h="1" x="18750"/>
        <item h="1" x="18751"/>
        <item h="1" x="18752"/>
        <item h="1" x="18753"/>
        <item h="1" x="18754"/>
        <item h="1" x="18755"/>
        <item h="1" x="18756"/>
        <item h="1" x="18757"/>
        <item h="1" x="18758"/>
        <item h="1" x="18759"/>
        <item h="1" x="18760"/>
        <item h="1" x="18761"/>
        <item h="1" x="18762"/>
        <item h="1" x="18763"/>
        <item h="1" x="18764"/>
        <item h="1" x="18765"/>
        <item h="1" x="18766"/>
        <item h="1" x="18767"/>
        <item h="1" x="18768"/>
        <item h="1" x="18769"/>
        <item h="1" x="18770"/>
        <item h="1" x="18771"/>
        <item h="1" x="18772"/>
        <item h="1" x="18773"/>
        <item h="1" x="18774"/>
        <item h="1" x="18775"/>
        <item h="1" x="18776"/>
        <item h="1" x="18777"/>
        <item h="1" x="18778"/>
        <item h="1" x="18779"/>
        <item h="1" x="18780"/>
        <item h="1" x="18781"/>
        <item h="1" x="18782"/>
        <item h="1" x="18783"/>
        <item h="1" x="18784"/>
        <item h="1" x="18785"/>
        <item h="1" x="18786"/>
        <item h="1" x="18787"/>
        <item h="1" x="18788"/>
        <item h="1" x="18789"/>
        <item h="1" x="18790"/>
        <item h="1" x="18791"/>
        <item h="1" x="18792"/>
        <item h="1" x="18793"/>
        <item h="1" x="18794"/>
        <item h="1" x="18795"/>
        <item h="1" x="18796"/>
        <item h="1" x="18797"/>
        <item h="1" x="18798"/>
        <item h="1" x="18799"/>
        <item h="1" x="18800"/>
        <item h="1" x="18801"/>
        <item h="1" x="18802"/>
        <item h="1" x="18803"/>
        <item h="1" x="18804"/>
        <item h="1" x="18805"/>
        <item h="1" x="18806"/>
        <item h="1" x="18807"/>
        <item h="1" x="18808"/>
        <item h="1" x="18809"/>
        <item h="1" x="18810"/>
        <item h="1" x="18811"/>
        <item h="1" x="18812"/>
        <item h="1" x="18813"/>
        <item h="1" x="18814"/>
        <item h="1" x="18815"/>
        <item h="1" x="18816"/>
        <item h="1" x="18817"/>
        <item h="1" x="18818"/>
        <item h="1" x="18819"/>
        <item h="1" x="18820"/>
        <item h="1" x="18821"/>
        <item h="1" x="18822"/>
        <item h="1" x="18823"/>
        <item h="1" x="18824"/>
        <item h="1" x="18825"/>
        <item h="1" x="18826"/>
        <item h="1" x="18827"/>
        <item h="1" x="18828"/>
        <item h="1" x="18829"/>
        <item h="1" x="18830"/>
        <item h="1" x="18831"/>
        <item h="1" x="18832"/>
        <item h="1" x="18833"/>
        <item h="1" x="18834"/>
        <item h="1" x="18835"/>
        <item h="1" x="18836"/>
        <item h="1" x="18837"/>
        <item h="1" x="18838"/>
        <item h="1" x="18839"/>
        <item h="1" x="18840"/>
        <item h="1" x="18841"/>
        <item h="1" x="18842"/>
        <item h="1" x="18843"/>
        <item h="1" x="18844"/>
        <item h="1" x="18845"/>
        <item h="1" x="18846"/>
        <item h="1" x="18847"/>
        <item h="1" x="18848"/>
        <item h="1" x="18849"/>
        <item h="1" x="18850"/>
        <item h="1" x="18851"/>
        <item h="1" x="18852"/>
        <item h="1" x="18853"/>
        <item h="1" x="18854"/>
        <item h="1" x="18855"/>
        <item h="1" x="18856"/>
        <item h="1" x="18857"/>
        <item h="1" x="18858"/>
        <item h="1" x="18859"/>
        <item h="1" x="18860"/>
        <item h="1" x="18861"/>
        <item h="1" x="18862"/>
        <item h="1" x="18863"/>
        <item h="1" x="18864"/>
        <item h="1" x="18865"/>
        <item h="1" x="18866"/>
        <item h="1" x="18867"/>
        <item h="1" x="18868"/>
        <item h="1" x="18869"/>
        <item h="1" x="18870"/>
        <item h="1" x="18871"/>
        <item h="1" x="18872"/>
        <item h="1" x="18873"/>
        <item h="1" x="18874"/>
        <item h="1" x="18875"/>
        <item h="1" x="18876"/>
        <item h="1" x="18877"/>
        <item h="1" x="18878"/>
        <item h="1" x="18879"/>
        <item h="1" x="18880"/>
        <item h="1" x="18881"/>
        <item h="1" x="18882"/>
        <item h="1" x="18883"/>
        <item h="1" x="18884"/>
        <item h="1" x="18885"/>
        <item h="1" x="18886"/>
        <item h="1" x="18887"/>
        <item h="1" x="18888"/>
        <item h="1" x="18889"/>
        <item h="1" x="18890"/>
        <item h="1" x="18891"/>
        <item h="1" x="18892"/>
        <item h="1" x="18893"/>
        <item h="1" x="18894"/>
        <item h="1" x="18895"/>
        <item h="1" x="18896"/>
        <item h="1" x="18897"/>
        <item h="1" x="18898"/>
        <item h="1" x="18899"/>
        <item h="1" x="18900"/>
        <item h="1" x="18901"/>
        <item h="1" x="18902"/>
        <item h="1" x="18903"/>
        <item h="1" x="18904"/>
        <item h="1" x="18905"/>
        <item h="1" x="18906"/>
        <item h="1" x="18907"/>
        <item h="1" x="18908"/>
        <item h="1" x="18909"/>
        <item h="1" x="18910"/>
        <item h="1" x="18911"/>
        <item h="1" x="18912"/>
        <item h="1" x="18913"/>
        <item h="1" x="18914"/>
        <item h="1" x="18915"/>
        <item h="1" x="18916"/>
        <item h="1" x="18917"/>
        <item h="1" x="18918"/>
        <item h="1" x="18919"/>
        <item h="1" x="18920"/>
        <item h="1" x="18921"/>
        <item h="1" x="18922"/>
        <item h="1" x="18923"/>
        <item h="1" x="18924"/>
        <item h="1" x="18925"/>
        <item h="1" x="18926"/>
        <item h="1" x="18927"/>
        <item h="1" x="18928"/>
        <item h="1" x="18929"/>
        <item h="1" x="18930"/>
        <item h="1" x="18931"/>
        <item h="1" x="18932"/>
        <item h="1" x="18933"/>
        <item h="1" x="18934"/>
        <item h="1" x="18935"/>
        <item h="1" x="18936"/>
        <item h="1" x="18937"/>
        <item h="1" x="18938"/>
        <item h="1" x="18939"/>
        <item h="1" x="18940"/>
        <item h="1" x="18941"/>
        <item h="1" x="18942"/>
        <item h="1" x="18943"/>
        <item h="1" x="18944"/>
        <item h="1" x="18945"/>
        <item h="1" x="18946"/>
        <item h="1" x="18947"/>
        <item h="1" x="18948"/>
        <item h="1" x="18949"/>
        <item h="1" x="18950"/>
        <item h="1" x="18951"/>
        <item h="1" x="18952"/>
        <item h="1" x="18953"/>
        <item h="1" x="18954"/>
        <item h="1" x="18955"/>
        <item h="1" x="18956"/>
        <item h="1" x="18957"/>
        <item h="1" x="18958"/>
        <item h="1" x="18959"/>
        <item h="1" x="18960"/>
        <item h="1" x="18961"/>
        <item h="1" x="18962"/>
        <item h="1" x="18963"/>
        <item h="1" x="18964"/>
        <item h="1" x="18965"/>
        <item h="1" x="18966"/>
        <item h="1" x="18967"/>
        <item h="1" x="18968"/>
        <item h="1" x="18969"/>
        <item h="1" x="18970"/>
        <item h="1" x="18971"/>
        <item h="1" x="18972"/>
        <item h="1" x="18973"/>
        <item h="1" x="18974"/>
        <item h="1" x="18975"/>
        <item h="1" x="18976"/>
        <item h="1" x="18977"/>
        <item h="1" x="18978"/>
        <item h="1" x="18979"/>
        <item h="1" x="18980"/>
        <item h="1" x="18981"/>
        <item h="1" x="18982"/>
        <item h="1" x="18983"/>
        <item h="1" x="18984"/>
        <item h="1" x="18985"/>
        <item h="1" x="18986"/>
        <item h="1" x="18987"/>
        <item h="1" x="18988"/>
        <item h="1" x="18989"/>
        <item h="1" x="18990"/>
        <item h="1" x="18991"/>
        <item h="1" x="18992"/>
        <item h="1" x="18993"/>
        <item h="1" x="18994"/>
        <item h="1" x="18995"/>
        <item h="1" x="18996"/>
        <item h="1" x="18997"/>
        <item h="1" x="18998"/>
        <item h="1" x="18999"/>
        <item h="1" x="19000"/>
        <item h="1" x="19001"/>
        <item h="1" x="19002"/>
        <item h="1" x="19003"/>
        <item h="1" x="19004"/>
        <item h="1" x="19005"/>
        <item h="1" x="19006"/>
        <item h="1" x="19007"/>
        <item h="1" x="19008"/>
        <item h="1" x="19009"/>
        <item h="1" x="19010"/>
        <item h="1" x="19011"/>
        <item h="1" x="19012"/>
        <item h="1" x="19013"/>
        <item h="1" x="19014"/>
        <item h="1" x="19015"/>
        <item h="1" x="19016"/>
        <item h="1" x="19017"/>
        <item h="1" x="19018"/>
        <item h="1" x="19019"/>
        <item h="1" x="19020"/>
        <item h="1" x="19021"/>
        <item h="1" x="19022"/>
        <item h="1" x="19023"/>
        <item h="1" x="19024"/>
        <item h="1" x="19025"/>
        <item h="1" x="19026"/>
        <item h="1" x="19027"/>
        <item h="1" x="19028"/>
        <item h="1" x="19029"/>
        <item h="1" x="19030"/>
        <item h="1" x="19031"/>
        <item h="1" x="19032"/>
        <item h="1" x="19033"/>
        <item h="1" x="19034"/>
        <item h="1" x="19035"/>
        <item h="1" x="19036"/>
        <item h="1" x="19037"/>
        <item h="1" x="19038"/>
        <item h="1" x="19039"/>
        <item h="1" x="19040"/>
        <item h="1" x="19041"/>
        <item h="1" x="19042"/>
        <item h="1" x="19043"/>
        <item h="1" x="19044"/>
        <item h="1" x="19045"/>
        <item h="1" x="19046"/>
        <item h="1" x="19047"/>
        <item h="1" x="19048"/>
        <item h="1" x="19049"/>
        <item h="1" x="19050"/>
        <item h="1" x="19051"/>
        <item h="1" x="19052"/>
        <item h="1" x="19053"/>
        <item h="1" x="19054"/>
        <item h="1" x="19055"/>
        <item h="1" x="19056"/>
        <item h="1" x="19057"/>
        <item h="1" x="19058"/>
        <item h="1" x="19059"/>
        <item h="1" x="19060"/>
        <item h="1" x="19061"/>
        <item h="1" x="19062"/>
        <item h="1" x="19063"/>
        <item h="1" x="19064"/>
        <item h="1" x="19065"/>
        <item h="1" x="19066"/>
        <item h="1" x="19067"/>
        <item h="1" x="19068"/>
        <item h="1" x="19069"/>
        <item h="1" x="19070"/>
        <item h="1" x="19071"/>
        <item h="1" x="19072"/>
        <item h="1" x="19073"/>
        <item h="1" x="19074"/>
        <item h="1" x="19075"/>
        <item h="1" x="19076"/>
        <item h="1" x="19077"/>
        <item h="1" x="19078"/>
        <item h="1" x="19079"/>
        <item h="1" x="19080"/>
        <item h="1" x="19081"/>
        <item h="1" x="19082"/>
        <item h="1" x="19083"/>
        <item h="1" x="19084"/>
        <item h="1" x="19085"/>
        <item h="1" x="19086"/>
        <item h="1" x="19087"/>
        <item h="1" x="19088"/>
        <item h="1" x="19089"/>
        <item h="1" x="19090"/>
        <item h="1" x="19091"/>
        <item h="1" x="19092"/>
        <item h="1" x="19093"/>
        <item h="1" x="19094"/>
        <item h="1" x="19095"/>
        <item h="1" x="19096"/>
        <item h="1" x="19097"/>
        <item h="1" x="19098"/>
        <item h="1" x="19099"/>
        <item h="1" x="19100"/>
        <item h="1" x="19101"/>
        <item h="1" x="19102"/>
        <item h="1" x="19103"/>
        <item h="1" x="19104"/>
        <item h="1" x="19105"/>
        <item h="1" x="19106"/>
        <item h="1" x="19107"/>
        <item h="1" x="19108"/>
        <item h="1" x="19109"/>
        <item h="1" x="19110"/>
        <item h="1" x="19111"/>
        <item h="1" x="19112"/>
        <item h="1" x="19113"/>
        <item h="1" x="19114"/>
        <item h="1" x="19115"/>
        <item h="1" x="19116"/>
        <item h="1" x="19117"/>
        <item h="1" x="19118"/>
        <item h="1" x="19119"/>
        <item h="1" x="19120"/>
        <item h="1" x="19121"/>
        <item h="1" x="19122"/>
        <item h="1" x="19123"/>
        <item h="1" x="19124"/>
        <item h="1" x="19125"/>
        <item h="1" x="19126"/>
        <item h="1" x="19127"/>
        <item h="1" x="19128"/>
        <item h="1" x="19129"/>
        <item h="1" x="19130"/>
        <item h="1" x="19131"/>
        <item h="1" x="19132"/>
        <item h="1" x="19133"/>
        <item h="1" x="19134"/>
        <item h="1" x="19135"/>
        <item h="1" x="19136"/>
        <item h="1" x="19137"/>
        <item h="1" x="19138"/>
        <item h="1" x="19139"/>
        <item h="1" x="19140"/>
        <item h="1" x="19141"/>
        <item h="1" x="19142"/>
        <item h="1" x="19143"/>
        <item h="1" x="19144"/>
        <item h="1" x="19145"/>
        <item h="1" x="19146"/>
        <item h="1" x="19147"/>
        <item h="1" x="19148"/>
        <item h="1" x="19149"/>
        <item h="1" x="19150"/>
        <item h="1" x="19151"/>
        <item h="1" x="19152"/>
        <item h="1" x="19153"/>
        <item h="1" x="19154"/>
        <item h="1" x="19155"/>
        <item h="1" x="19156"/>
        <item h="1" x="19157"/>
        <item h="1" x="19158"/>
        <item h="1" x="19159"/>
        <item h="1" x="19160"/>
        <item h="1" x="19161"/>
        <item h="1" x="19162"/>
        <item h="1" x="19163"/>
        <item h="1" x="19164"/>
        <item h="1" x="19165"/>
        <item h="1" x="19166"/>
        <item h="1" x="19167"/>
        <item h="1" x="19168"/>
        <item h="1" x="19169"/>
        <item h="1" x="19170"/>
        <item h="1" x="19171"/>
        <item h="1" x="19172"/>
        <item h="1" x="19173"/>
        <item h="1" x="19174"/>
        <item h="1" x="19175"/>
        <item h="1" x="19176"/>
        <item h="1" x="19177"/>
        <item h="1" x="19178"/>
        <item h="1" x="19179"/>
        <item h="1" x="19180"/>
        <item h="1" x="19181"/>
        <item h="1" x="19182"/>
        <item h="1" x="19183"/>
        <item h="1" x="19184"/>
        <item h="1" x="19185"/>
        <item h="1" x="19186"/>
        <item h="1" x="19187"/>
        <item h="1" x="19188"/>
        <item h="1" x="19189"/>
        <item h="1" x="19190"/>
        <item h="1" x="19191"/>
        <item h="1" x="19192"/>
        <item h="1" x="19193"/>
        <item h="1" x="19194"/>
        <item h="1" x="19195"/>
        <item h="1" x="19196"/>
        <item h="1" x="19197"/>
        <item h="1" x="19198"/>
        <item h="1" x="19199"/>
        <item h="1" x="19200"/>
        <item h="1" x="19201"/>
        <item h="1" x="19202"/>
        <item h="1" x="19203"/>
        <item h="1" x="19204"/>
        <item h="1" x="19205"/>
        <item h="1" x="19206"/>
        <item h="1" x="19207"/>
        <item h="1" x="19208"/>
        <item h="1" x="19209"/>
        <item h="1" x="19210"/>
        <item h="1" x="19211"/>
        <item h="1" x="19212"/>
        <item h="1" x="19213"/>
        <item h="1" x="19214"/>
        <item h="1" x="19215"/>
        <item h="1" x="19216"/>
        <item h="1" x="19217"/>
        <item h="1" x="19218"/>
        <item h="1" x="19219"/>
        <item h="1" x="19220"/>
        <item h="1" x="19221"/>
        <item h="1" x="19222"/>
        <item h="1" x="19223"/>
        <item h="1" x="19224"/>
        <item h="1" x="19225"/>
        <item h="1" x="19226"/>
        <item h="1" x="19227"/>
        <item h="1" x="19228"/>
        <item h="1" x="19229"/>
        <item h="1" x="19230"/>
        <item h="1" x="19231"/>
        <item h="1" x="19232"/>
        <item h="1" x="19233"/>
        <item h="1" x="19234"/>
        <item h="1" x="19235"/>
        <item h="1" x="19236"/>
        <item h="1" x="19237"/>
        <item h="1" x="19238"/>
        <item h="1" x="19239"/>
        <item h="1" x="19240"/>
        <item h="1" x="19241"/>
        <item h="1" x="19242"/>
        <item h="1" x="19243"/>
        <item h="1" x="19244"/>
        <item h="1" x="19245"/>
        <item h="1" x="19246"/>
        <item h="1" x="19247"/>
        <item h="1" x="19248"/>
        <item h="1" x="19249"/>
        <item h="1" x="19250"/>
        <item h="1" x="19251"/>
        <item h="1" x="19252"/>
        <item h="1" x="19253"/>
        <item h="1" x="19254"/>
        <item h="1" x="19255"/>
        <item h="1" x="19256"/>
        <item h="1" x="19257"/>
        <item h="1" x="19258"/>
        <item h="1" x="19259"/>
        <item h="1" x="19260"/>
        <item h="1" x="19261"/>
        <item h="1" x="19262"/>
        <item h="1" x="19263"/>
        <item h="1" x="19264"/>
        <item h="1" x="19265"/>
        <item h="1" x="19266"/>
        <item h="1" x="19267"/>
        <item h="1" x="19268"/>
        <item h="1" x="19269"/>
        <item h="1" x="19270"/>
        <item h="1" x="19271"/>
        <item h="1" x="19272"/>
        <item h="1" x="19273"/>
        <item h="1" x="19274"/>
        <item h="1" x="19275"/>
        <item h="1" x="19276"/>
        <item h="1" x="19277"/>
        <item h="1" x="19278"/>
        <item h="1" x="19279"/>
        <item h="1" x="19280"/>
        <item h="1" x="19281"/>
        <item h="1" x="19282"/>
        <item h="1" x="19283"/>
        <item h="1" x="19284"/>
        <item h="1" x="19285"/>
        <item h="1" x="19286"/>
        <item h="1" x="19287"/>
        <item h="1" x="19288"/>
        <item h="1" x="19289"/>
        <item h="1" x="19290"/>
        <item h="1" x="19291"/>
        <item h="1" x="19292"/>
        <item h="1" x="19293"/>
        <item h="1" x="19294"/>
        <item h="1" x="19295"/>
        <item h="1" x="19296"/>
        <item h="1" x="19297"/>
        <item h="1" x="19298"/>
        <item h="1" x="19299"/>
        <item h="1" x="19300"/>
        <item h="1" x="19301"/>
        <item h="1" x="19302"/>
        <item h="1" x="19303"/>
        <item h="1" x="19304"/>
        <item h="1" x="19305"/>
        <item h="1" x="19306"/>
        <item h="1" x="19307"/>
        <item h="1" x="19308"/>
        <item h="1" x="19309"/>
        <item h="1" x="19310"/>
        <item h="1" x="19311"/>
        <item h="1" x="19312"/>
        <item h="1" x="19313"/>
        <item h="1" x="19314"/>
        <item h="1" x="19315"/>
        <item h="1" x="19316"/>
        <item h="1" x="19317"/>
        <item h="1" x="19318"/>
        <item h="1" x="19319"/>
        <item h="1" x="19320"/>
        <item h="1" x="19321"/>
        <item h="1" x="19322"/>
        <item h="1" x="19323"/>
        <item h="1" x="19324"/>
        <item h="1" x="19325"/>
        <item h="1" x="19326"/>
        <item h="1" x="19327"/>
        <item h="1" x="19328"/>
        <item h="1" x="19329"/>
        <item h="1" x="19330"/>
        <item h="1" x="19331"/>
        <item h="1" x="19332"/>
        <item h="1" x="19333"/>
        <item h="1" x="19334"/>
        <item h="1" x="19335"/>
        <item h="1" x="19336"/>
        <item h="1" x="19337"/>
        <item h="1" x="19338"/>
        <item h="1" x="19339"/>
        <item h="1" x="19340"/>
        <item h="1" x="19341"/>
        <item h="1" x="19342"/>
        <item h="1" x="19343"/>
        <item h="1" x="19344"/>
        <item h="1" x="19345"/>
        <item h="1" x="19346"/>
        <item h="1" x="19347"/>
        <item h="1" x="19348"/>
        <item h="1" x="19349"/>
        <item h="1" x="19350"/>
        <item h="1" x="19351"/>
        <item h="1" x="19352"/>
        <item h="1" x="19353"/>
        <item h="1" x="19354"/>
        <item h="1" x="19355"/>
        <item h="1" x="19356"/>
        <item h="1" x="19357"/>
        <item h="1" x="19358"/>
        <item h="1" x="19359"/>
        <item h="1" x="19360"/>
        <item h="1" x="19361"/>
        <item h="1" x="19362"/>
        <item h="1" x="19363"/>
        <item h="1" x="19364"/>
        <item h="1" x="19365"/>
        <item h="1" x="19366"/>
        <item h="1" x="19367"/>
        <item h="1" x="19368"/>
        <item h="1" x="19369"/>
        <item h="1" x="19370"/>
        <item h="1" x="19371"/>
        <item h="1" x="19372"/>
        <item h="1" x="19373"/>
        <item h="1" x="19374"/>
        <item h="1" x="19375"/>
        <item h="1" x="19376"/>
        <item h="1" x="19377"/>
        <item h="1" x="19378"/>
        <item h="1" x="19379"/>
        <item h="1" x="19380"/>
        <item h="1" x="19381"/>
        <item h="1" x="19382"/>
        <item h="1" x="19383"/>
        <item h="1" x="19384"/>
        <item h="1" x="19385"/>
        <item h="1" x="19386"/>
        <item h="1" x="19387"/>
        <item h="1" x="19388"/>
        <item h="1" x="19389"/>
        <item h="1" x="19390"/>
        <item h="1" x="19391"/>
        <item h="1" x="19392"/>
        <item h="1" x="19393"/>
        <item h="1" x="19394"/>
        <item h="1" x="19395"/>
        <item h="1" x="19396"/>
        <item h="1" x="19397"/>
        <item h="1" x="19398"/>
        <item h="1" x="19399"/>
        <item h="1" x="19400"/>
        <item h="1" x="19401"/>
        <item h="1" x="19402"/>
        <item h="1" x="19403"/>
        <item h="1" x="19404"/>
        <item h="1" x="19405"/>
        <item h="1" x="19406"/>
        <item h="1" x="19407"/>
        <item h="1" x="19408"/>
        <item h="1" x="19409"/>
        <item h="1" x="19410"/>
        <item h="1" x="19411"/>
        <item h="1" x="19412"/>
        <item h="1" x="19413"/>
        <item h="1" x="19414"/>
        <item h="1" x="19415"/>
        <item h="1" x="19416"/>
        <item h="1" x="19417"/>
        <item h="1" x="19418"/>
        <item h="1" x="19419"/>
        <item h="1" x="19420"/>
        <item h="1" x="19421"/>
        <item h="1" x="19422"/>
        <item h="1" x="19423"/>
        <item h="1" x="19424"/>
        <item h="1" x="19425"/>
        <item h="1" x="19426"/>
        <item h="1" x="19427"/>
        <item h="1" x="19428"/>
        <item h="1" x="19429"/>
        <item h="1" x="19430"/>
        <item h="1" x="19431"/>
        <item h="1" x="19432"/>
        <item h="1" x="19433"/>
        <item h="1" x="19434"/>
        <item h="1" x="19435"/>
        <item h="1" x="19436"/>
        <item h="1" x="19437"/>
        <item h="1" x="19438"/>
        <item h="1" x="19439"/>
        <item h="1" x="19440"/>
        <item h="1" x="19441"/>
        <item h="1" x="19442"/>
        <item h="1" x="19443"/>
        <item h="1" x="19444"/>
        <item h="1" x="19445"/>
        <item h="1" x="19446"/>
        <item h="1" x="19447"/>
        <item h="1" x="19448"/>
        <item h="1" x="19449"/>
        <item h="1" x="19450"/>
        <item h="1" x="19451"/>
        <item h="1" x="19452"/>
        <item h="1" x="19453"/>
        <item h="1" x="19454"/>
        <item h="1" x="19455"/>
        <item h="1" x="19456"/>
        <item h="1" x="19457"/>
        <item h="1" x="19458"/>
        <item h="1" x="19459"/>
        <item h="1" x="19460"/>
        <item h="1" x="19461"/>
        <item h="1" x="19462"/>
        <item h="1" x="19463"/>
        <item h="1" x="19464"/>
        <item h="1" x="19465"/>
        <item h="1" x="19466"/>
        <item h="1" x="19467"/>
        <item h="1" x="19468"/>
        <item h="1" x="19469"/>
        <item h="1" x="19470"/>
        <item h="1" x="19471"/>
        <item h="1" x="19472"/>
        <item h="1" x="19473"/>
        <item h="1" x="19474"/>
        <item h="1" x="19475"/>
        <item h="1" x="19476"/>
        <item h="1" x="19477"/>
        <item h="1" x="19478"/>
        <item h="1" x="19479"/>
        <item h="1" x="19480"/>
        <item h="1" x="19481"/>
        <item h="1" x="19482"/>
        <item h="1" x="19483"/>
        <item h="1" x="19484"/>
        <item h="1" x="19485"/>
        <item h="1" x="19486"/>
        <item h="1" x="19487"/>
        <item h="1" x="19488"/>
        <item h="1" x="19489"/>
        <item h="1" x="19490"/>
        <item h="1" x="19491"/>
        <item h="1" x="19492"/>
        <item h="1" x="19493"/>
        <item h="1" x="19494"/>
        <item h="1" x="19495"/>
        <item h="1" x="19496"/>
        <item h="1" x="19497"/>
        <item h="1" x="19498"/>
        <item h="1" x="19499"/>
        <item h="1" x="19500"/>
        <item h="1" x="19501"/>
        <item h="1" x="19502"/>
        <item h="1" x="19503"/>
        <item h="1" x="19504"/>
        <item h="1" x="19505"/>
        <item h="1" x="19506"/>
        <item h="1" x="19507"/>
        <item h="1" x="19508"/>
        <item h="1" x="19509"/>
        <item h="1" x="19510"/>
        <item h="1" x="19511"/>
        <item h="1" x="19512"/>
        <item h="1" x="19513"/>
        <item h="1" x="19514"/>
        <item h="1" x="19515"/>
        <item h="1" x="19516"/>
        <item h="1" x="19517"/>
        <item h="1" x="19518"/>
        <item h="1" x="19519"/>
        <item h="1" x="19520"/>
        <item h="1" x="19521"/>
        <item h="1" x="19522"/>
        <item h="1" x="19523"/>
        <item h="1" x="19524"/>
        <item h="1" x="19525"/>
        <item h="1" x="19526"/>
        <item h="1" x="19527"/>
        <item h="1" x="19528"/>
        <item h="1" x="19529"/>
        <item h="1" x="19530"/>
        <item h="1" x="19531"/>
        <item h="1" x="19532"/>
        <item h="1" x="19533"/>
        <item h="1" x="19534"/>
        <item h="1" x="19535"/>
        <item h="1" x="19536"/>
        <item h="1" x="19537"/>
        <item h="1" x="19538"/>
        <item h="1" x="19539"/>
        <item h="1" x="19540"/>
        <item h="1" x="19541"/>
        <item h="1" x="19542"/>
        <item h="1" x="19543"/>
        <item h="1" x="19544"/>
        <item h="1" x="19545"/>
        <item h="1" x="19546"/>
        <item h="1" x="19547"/>
        <item h="1" x="19548"/>
        <item h="1" x="19549"/>
        <item h="1" x="19550"/>
        <item h="1" x="19551"/>
        <item h="1" x="19552"/>
        <item h="1" x="19553"/>
        <item h="1" x="19554"/>
        <item h="1" x="19555"/>
        <item h="1" x="19556"/>
        <item h="1" x="19557"/>
        <item h="1" x="19558"/>
        <item h="1" x="19559"/>
        <item h="1" x="19560"/>
        <item h="1" x="19561"/>
        <item h="1" x="19562"/>
        <item h="1" x="19563"/>
        <item h="1" x="19564"/>
        <item h="1" x="19565"/>
        <item h="1" x="19566"/>
        <item h="1" x="19567"/>
        <item h="1" x="19568"/>
        <item h="1" x="19569"/>
        <item h="1" x="19570"/>
        <item h="1" x="19571"/>
        <item h="1" x="19572"/>
        <item h="1" x="19573"/>
        <item h="1" x="19574"/>
        <item h="1" x="19575"/>
        <item h="1" x="19576"/>
        <item h="1" x="19577"/>
        <item h="1" x="19578"/>
        <item h="1" x="19579"/>
        <item h="1" x="19580"/>
        <item h="1" x="19581"/>
        <item h="1" x="19582"/>
        <item h="1" x="19583"/>
        <item h="1" x="19584"/>
        <item h="1" x="19585"/>
        <item h="1" x="19586"/>
        <item h="1" x="19587"/>
        <item h="1" x="19588"/>
        <item h="1" x="19589"/>
        <item h="1" x="19590"/>
        <item h="1" x="19591"/>
        <item h="1" x="19592"/>
        <item h="1" x="19593"/>
        <item h="1" x="19594"/>
        <item h="1" x="19595"/>
        <item h="1" x="19596"/>
        <item h="1" x="19597"/>
        <item h="1" x="19598"/>
        <item h="1" x="19599"/>
        <item h="1" x="19600"/>
        <item h="1" x="19601"/>
        <item h="1" x="19602"/>
        <item h="1" x="19603"/>
        <item h="1" x="19604"/>
        <item h="1" x="19605"/>
        <item h="1" x="19606"/>
        <item h="1" x="19607"/>
        <item h="1" x="19608"/>
        <item h="1" x="19609"/>
        <item h="1" x="19610"/>
        <item h="1" x="19611"/>
        <item h="1" x="19612"/>
        <item h="1" x="19613"/>
        <item h="1" x="19614"/>
        <item h="1" x="19615"/>
        <item h="1" x="19616"/>
        <item h="1" x="19617"/>
        <item h="1" x="19618"/>
        <item h="1" x="19619"/>
        <item h="1" x="19620"/>
        <item h="1" x="19621"/>
        <item h="1" x="19622"/>
        <item h="1" x="19623"/>
        <item h="1" x="19624"/>
        <item h="1" x="19625"/>
        <item h="1" x="19626"/>
        <item h="1" x="19627"/>
        <item h="1" x="19628"/>
        <item h="1" x="19629"/>
        <item h="1" x="19630"/>
        <item h="1" x="19631"/>
        <item h="1" x="19632"/>
        <item h="1" x="19633"/>
        <item h="1" x="19634"/>
        <item h="1" x="19635"/>
        <item h="1" x="19636"/>
        <item h="1" x="19637"/>
        <item h="1" x="19638"/>
        <item h="1" x="19639"/>
        <item h="1" x="19640"/>
        <item h="1" x="19641"/>
        <item h="1" x="19642"/>
        <item h="1" x="19643"/>
        <item h="1" x="19644"/>
        <item h="1" x="19645"/>
        <item h="1" x="19646"/>
        <item h="1" x="19647"/>
        <item h="1" x="19648"/>
        <item h="1" x="19649"/>
        <item h="1" x="19650"/>
        <item h="1" x="19651"/>
        <item h="1" x="19652"/>
        <item h="1" x="19653"/>
        <item h="1" x="19654"/>
        <item h="1" x="19655"/>
        <item h="1" x="19656"/>
        <item h="1" x="19657"/>
        <item h="1" x="19658"/>
        <item h="1" x="19659"/>
        <item h="1" x="19660"/>
        <item h="1" x="19661"/>
        <item h="1" x="19662"/>
        <item h="1" x="19663"/>
        <item h="1" x="19664"/>
        <item h="1" x="19665"/>
        <item h="1" x="19666"/>
        <item h="1" x="19667"/>
        <item h="1" x="19668"/>
        <item h="1" x="19669"/>
        <item h="1" x="19670"/>
        <item h="1" x="19671"/>
        <item h="1" x="19672"/>
        <item h="1" x="19673"/>
        <item h="1" x="19674"/>
        <item h="1" x="19675"/>
        <item h="1" x="19676"/>
        <item h="1" x="19677"/>
        <item h="1" x="19678"/>
        <item h="1" x="19679"/>
        <item h="1" x="19680"/>
        <item h="1" x="19681"/>
        <item h="1" x="19682"/>
        <item h="1" x="19683"/>
        <item h="1" x="19684"/>
        <item h="1" x="19685"/>
        <item h="1" x="19686"/>
        <item h="1" x="19687"/>
        <item h="1" x="19688"/>
        <item h="1" x="19689"/>
        <item h="1" x="19690"/>
        <item h="1" x="19691"/>
        <item h="1" x="19692"/>
        <item h="1" x="19693"/>
        <item h="1" x="19694"/>
        <item h="1" x="19695"/>
        <item h="1" x="19696"/>
        <item h="1" x="19697"/>
        <item h="1" x="19698"/>
        <item h="1" x="19699"/>
        <item h="1" x="19700"/>
        <item h="1" x="19701"/>
        <item h="1" x="19702"/>
        <item h="1" x="19703"/>
        <item h="1" x="19704"/>
        <item h="1" x="19705"/>
        <item h="1" x="19706"/>
        <item h="1" x="19707"/>
        <item h="1" x="19708"/>
        <item h="1" x="19709"/>
        <item h="1" x="19710"/>
        <item h="1" x="19711"/>
        <item h="1" x="19712"/>
        <item h="1" x="19713"/>
        <item h="1" x="19714"/>
        <item h="1" x="19715"/>
        <item h="1" x="19716"/>
        <item h="1" x="19717"/>
        <item h="1" x="19718"/>
        <item h="1" x="19719"/>
        <item h="1" x="19720"/>
        <item h="1" x="19721"/>
        <item h="1" x="19722"/>
        <item h="1" x="19723"/>
        <item h="1" x="19724"/>
        <item h="1" x="19725"/>
        <item h="1" x="19726"/>
        <item h="1" x="19727"/>
        <item h="1" x="19728"/>
        <item h="1" x="19729"/>
        <item h="1" x="19730"/>
        <item h="1" x="19731"/>
        <item h="1" x="19732"/>
        <item h="1" x="19733"/>
        <item h="1" x="19734"/>
        <item h="1" x="19735"/>
        <item h="1" x="19736"/>
        <item h="1" x="19737"/>
        <item h="1" x="19738"/>
        <item h="1" x="19739"/>
        <item h="1" x="19740"/>
        <item h="1" x="19741"/>
        <item h="1" x="19742"/>
        <item h="1" x="19743"/>
        <item h="1" x="19744"/>
        <item h="1" x="19745"/>
        <item h="1" x="19746"/>
        <item h="1" x="19747"/>
        <item h="1" x="19748"/>
        <item h="1" x="19749"/>
        <item h="1" x="19750"/>
        <item h="1" x="19751"/>
        <item h="1" x="19752"/>
        <item h="1" x="19753"/>
        <item h="1" x="19754"/>
        <item h="1" x="19755"/>
        <item h="1" x="19756"/>
        <item h="1" x="19757"/>
        <item h="1" x="19758"/>
        <item h="1" x="19759"/>
        <item h="1" x="19760"/>
        <item h="1" x="19761"/>
        <item h="1" x="19762"/>
        <item h="1" x="19763"/>
        <item h="1" x="19764"/>
        <item h="1" x="19765"/>
        <item h="1" x="19766"/>
        <item h="1" x="19767"/>
        <item h="1" x="19768"/>
        <item h="1" x="19769"/>
        <item h="1" x="19770"/>
        <item h="1" x="19771"/>
        <item h="1" x="19772"/>
        <item h="1" x="19773"/>
        <item h="1" x="19774"/>
        <item h="1" x="19775"/>
        <item h="1" x="19776"/>
        <item h="1" x="19777"/>
        <item h="1" x="19778"/>
        <item h="1" x="19779"/>
        <item h="1" x="19780"/>
        <item h="1" x="19781"/>
        <item h="1" x="19782"/>
        <item h="1" x="19783"/>
        <item h="1" x="19784"/>
        <item h="1" x="19785"/>
        <item h="1" x="19786"/>
        <item h="1" x="19787"/>
        <item h="1" x="19788"/>
        <item h="1" x="19789"/>
        <item h="1" x="19790"/>
        <item h="1" x="19791"/>
        <item h="1" x="19792"/>
        <item h="1" x="19793"/>
        <item h="1" x="19794"/>
        <item h="1" x="19795"/>
        <item h="1" x="19796"/>
        <item h="1" x="19797"/>
        <item h="1" x="19798"/>
        <item h="1" x="19799"/>
        <item h="1" x="19800"/>
        <item h="1" x="19801"/>
        <item h="1" x="19802"/>
        <item h="1" x="19803"/>
        <item h="1" x="19804"/>
        <item h="1" x="19805"/>
        <item h="1" x="19806"/>
        <item h="1" x="19807"/>
        <item h="1" x="19808"/>
        <item h="1" x="19809"/>
        <item h="1" x="19810"/>
        <item h="1" x="19811"/>
        <item h="1" x="19812"/>
        <item h="1" x="19813"/>
        <item h="1" x="19814"/>
        <item h="1" x="19815"/>
        <item h="1" x="19816"/>
        <item h="1" x="19817"/>
        <item h="1" x="19818"/>
        <item h="1" x="19819"/>
        <item h="1" x="19820"/>
        <item h="1" x="19821"/>
        <item h="1" x="19822"/>
        <item h="1" x="19823"/>
        <item h="1" x="19824"/>
        <item h="1" x="19825"/>
        <item h="1" x="19826"/>
        <item h="1" x="19827"/>
        <item h="1" x="19828"/>
        <item h="1" x="19829"/>
        <item h="1" x="19830"/>
        <item h="1" x="19831"/>
        <item h="1" x="19832"/>
        <item h="1" x="19833"/>
        <item h="1" x="19834"/>
        <item h="1" x="19835"/>
        <item h="1" x="19836"/>
        <item h="1" x="19837"/>
        <item h="1" x="19838"/>
        <item h="1" x="19839"/>
        <item h="1" x="19840"/>
        <item h="1" x="19841"/>
        <item h="1" x="19842"/>
        <item h="1" x="19843"/>
        <item h="1" x="19844"/>
        <item h="1" x="19845"/>
        <item h="1" x="19846"/>
        <item h="1" x="19847"/>
        <item h="1" x="19848"/>
        <item h="1" x="19849"/>
        <item h="1" x="19850"/>
        <item h="1" x="19851"/>
        <item h="1" x="19852"/>
        <item h="1" x="19853"/>
        <item h="1" x="19854"/>
        <item h="1" x="19855"/>
        <item h="1" x="19856"/>
        <item h="1" x="19857"/>
        <item h="1" x="19858"/>
        <item h="1" x="19859"/>
        <item h="1" x="19860"/>
        <item h="1" x="19861"/>
        <item h="1" x="19862"/>
        <item h="1" x="19863"/>
        <item h="1" x="19864"/>
        <item h="1" x="19865"/>
        <item h="1" x="19866"/>
        <item h="1" x="19867"/>
        <item h="1" x="19868"/>
        <item h="1" x="19869"/>
        <item h="1" x="19870"/>
        <item h="1" x="19871"/>
        <item h="1" x="19872"/>
        <item h="1" x="19873"/>
        <item h="1" x="19874"/>
        <item h="1" x="19875"/>
        <item h="1" x="19876"/>
        <item h="1" x="19877"/>
        <item h="1" x="19878"/>
        <item h="1" x="19879"/>
        <item h="1" x="19880"/>
        <item h="1" x="19881"/>
        <item h="1" x="19882"/>
        <item h="1" x="19883"/>
        <item h="1" x="19884"/>
        <item h="1" x="19885"/>
        <item h="1" x="19886"/>
        <item h="1" x="19887"/>
        <item h="1" x="19888"/>
        <item h="1" x="19889"/>
        <item h="1" x="19890"/>
        <item h="1" x="19891"/>
        <item h="1" x="19892"/>
        <item h="1" x="19893"/>
        <item h="1" x="19894"/>
        <item h="1" x="19895"/>
        <item h="1" x="19896"/>
        <item h="1" x="19897"/>
        <item h="1" x="19898"/>
        <item h="1" x="19899"/>
        <item h="1" x="19900"/>
        <item h="1" x="19901"/>
        <item h="1" x="19902"/>
        <item h="1" x="19903"/>
        <item h="1" x="19904"/>
        <item h="1" x="19905"/>
        <item h="1" x="19906"/>
        <item h="1" x="19907"/>
        <item h="1" x="19908"/>
        <item h="1" x="19909"/>
        <item h="1" x="19910"/>
        <item h="1" x="19911"/>
        <item h="1" x="19912"/>
        <item h="1" x="19913"/>
        <item h="1" x="19914"/>
        <item h="1" x="19915"/>
        <item h="1" x="19916"/>
        <item h="1" x="19917"/>
        <item h="1" x="19918"/>
        <item h="1" x="19919"/>
        <item h="1" x="19920"/>
        <item h="1" x="19921"/>
        <item h="1" x="19922"/>
        <item h="1" x="19923"/>
        <item h="1" x="19924"/>
        <item h="1" x="19925"/>
        <item h="1" x="19926"/>
        <item h="1" x="19927"/>
        <item h="1" x="19928"/>
        <item h="1" x="19929"/>
        <item h="1" x="19930"/>
        <item h="1" x="19931"/>
        <item h="1" x="19932"/>
        <item h="1" x="19933"/>
        <item h="1" x="19934"/>
        <item h="1" x="19935"/>
        <item h="1" x="19936"/>
        <item h="1" x="19937"/>
        <item h="1" x="19938"/>
        <item h="1" x="19939"/>
        <item h="1" x="19940"/>
        <item h="1" x="19941"/>
        <item h="1" x="19942"/>
        <item h="1" x="19943"/>
        <item h="1" x="19944"/>
        <item h="1" x="19945"/>
        <item h="1" x="19946"/>
        <item h="1" x="19947"/>
        <item h="1" x="19948"/>
        <item h="1" x="19949"/>
        <item h="1" x="19950"/>
        <item h="1" x="19951"/>
        <item h="1" x="19952"/>
        <item h="1" x="19953"/>
        <item h="1" x="19954"/>
        <item h="1" x="19955"/>
        <item h="1" x="19956"/>
        <item h="1" x="19957"/>
        <item h="1" x="19958"/>
        <item h="1" x="19959"/>
        <item h="1" x="19960"/>
        <item h="1" x="19961"/>
        <item h="1" x="19962"/>
        <item h="1" x="19963"/>
        <item h="1" x="19964"/>
        <item h="1" x="19965"/>
        <item h="1" x="19966"/>
        <item h="1" x="19967"/>
        <item h="1" x="19968"/>
        <item h="1" x="19969"/>
        <item h="1" x="19970"/>
        <item h="1" x="19971"/>
        <item h="1" x="19972"/>
        <item h="1" x="19973"/>
        <item h="1" x="19974"/>
        <item h="1" x="19975"/>
        <item h="1" x="19976"/>
        <item h="1" x="19977"/>
        <item h="1" x="19978"/>
        <item h="1" x="19979"/>
        <item h="1" x="19980"/>
        <item h="1" x="19981"/>
        <item h="1" x="19982"/>
        <item h="1" x="19983"/>
        <item h="1" x="19984"/>
        <item h="1" x="19985"/>
        <item h="1" x="19986"/>
        <item h="1" x="19987"/>
        <item h="1" x="19988"/>
        <item h="1" x="19989"/>
        <item h="1" x="19990"/>
        <item h="1" x="19991"/>
        <item h="1" x="19992"/>
        <item h="1" x="19993"/>
        <item h="1" x="19994"/>
        <item h="1" x="19995"/>
        <item h="1" x="19996"/>
        <item h="1" x="19997"/>
        <item h="1" x="19998"/>
        <item h="1" x="19999"/>
        <item h="1" x="20000"/>
        <item h="1" x="20001"/>
        <item h="1" x="20002"/>
        <item h="1" x="20003"/>
        <item h="1" x="20004"/>
        <item h="1" x="20005"/>
        <item h="1" x="20006"/>
        <item h="1" x="20007"/>
        <item h="1" x="20008"/>
        <item h="1" x="20009"/>
        <item h="1" x="20010"/>
        <item h="1" x="20011"/>
        <item h="1" x="20012"/>
        <item h="1" x="20013"/>
        <item h="1" x="20014"/>
        <item h="1" x="20015"/>
        <item h="1" x="20016"/>
        <item h="1" x="20017"/>
        <item h="1" x="20018"/>
        <item h="1" x="20019"/>
        <item h="1" x="20020"/>
        <item h="1" x="20021"/>
        <item h="1" x="20022"/>
        <item h="1" x="20023"/>
        <item h="1" x="20024"/>
        <item h="1" x="20025"/>
        <item h="1" x="20026"/>
        <item h="1" x="20027"/>
        <item h="1" x="20028"/>
        <item h="1" x="20029"/>
        <item h="1" x="20030"/>
        <item h="1" x="20031"/>
        <item h="1" x="20032"/>
        <item h="1" x="20033"/>
        <item h="1" x="20034"/>
        <item h="1" x="20035"/>
        <item h="1" x="20036"/>
        <item h="1" x="20037"/>
        <item h="1" x="20038"/>
        <item h="1" x="20039"/>
        <item h="1" x="20040"/>
        <item h="1" x="20041"/>
        <item h="1" x="20042"/>
        <item h="1" x="20043"/>
        <item h="1" x="20044"/>
        <item h="1" x="20045"/>
        <item h="1" x="20046"/>
        <item h="1" x="20047"/>
        <item h="1" x="20048"/>
        <item h="1" x="20049"/>
        <item h="1" x="20050"/>
        <item h="1" x="20051"/>
        <item h="1" x="20052"/>
        <item h="1" x="20053"/>
        <item h="1" x="20054"/>
        <item h="1" x="20055"/>
        <item h="1" x="20056"/>
        <item h="1" x="20057"/>
        <item h="1" x="20058"/>
        <item h="1" x="20059"/>
        <item h="1" x="20060"/>
        <item h="1" x="20061"/>
        <item h="1" x="20062"/>
        <item h="1" x="20063"/>
        <item h="1" x="20064"/>
        <item h="1" x="20065"/>
        <item h="1" x="20066"/>
        <item h="1" x="20067"/>
        <item h="1" x="20068"/>
        <item h="1" x="20069"/>
        <item h="1" x="20070"/>
        <item h="1" x="20071"/>
        <item h="1" x="20072"/>
        <item h="1" x="20073"/>
        <item h="1" x="20074"/>
        <item h="1" x="20075"/>
        <item h="1" x="20076"/>
        <item h="1" x="20077"/>
        <item h="1" x="20078"/>
        <item h="1" x="20079"/>
        <item h="1" x="20080"/>
        <item h="1" x="20081"/>
        <item h="1" x="20082"/>
        <item h="1" x="20083"/>
        <item h="1" x="20084"/>
        <item h="1" x="20085"/>
        <item h="1" x="20086"/>
        <item h="1" x="20087"/>
        <item h="1" x="20088"/>
        <item h="1" x="20089"/>
        <item h="1" x="20090"/>
        <item h="1" x="20091"/>
        <item h="1" x="20092"/>
        <item h="1" x="20093"/>
        <item h="1" x="20094"/>
        <item h="1" x="20095"/>
        <item h="1" x="20096"/>
        <item h="1" x="20097"/>
        <item h="1" x="20098"/>
        <item h="1" x="20099"/>
        <item h="1" x="20100"/>
        <item h="1" x="20101"/>
        <item h="1" x="20102"/>
        <item h="1" x="20103"/>
        <item h="1" x="20104"/>
        <item h="1" x="20105"/>
        <item h="1" x="20106"/>
        <item h="1" x="20107"/>
        <item h="1" x="20108"/>
        <item h="1" x="20109"/>
        <item h="1" x="20110"/>
        <item h="1" x="20111"/>
        <item h="1" x="20112"/>
        <item h="1" x="20113"/>
        <item h="1" x="20114"/>
        <item h="1" x="20115"/>
        <item h="1" x="20116"/>
        <item h="1" x="20117"/>
        <item h="1" x="20118"/>
        <item h="1" x="20119"/>
        <item h="1" x="20120"/>
        <item h="1" x="20121"/>
        <item h="1" x="20122"/>
        <item h="1" x="20123"/>
        <item h="1" x="20124"/>
        <item h="1" x="20125"/>
        <item h="1" x="20126"/>
        <item h="1" x="20127"/>
        <item h="1" x="20128"/>
        <item h="1" x="20129"/>
        <item h="1" x="20130"/>
        <item h="1" x="20131"/>
        <item h="1" x="20132"/>
        <item h="1" x="20133"/>
        <item h="1" x="20134"/>
        <item h="1" x="20135"/>
        <item h="1" x="20136"/>
        <item h="1" x="20137"/>
        <item h="1" x="20138"/>
        <item h="1" x="20139"/>
        <item h="1" x="20140"/>
        <item h="1" x="20141"/>
        <item h="1" x="20142"/>
        <item h="1" x="20143"/>
        <item h="1" x="20144"/>
        <item h="1" x="20145"/>
        <item h="1" x="20146"/>
        <item h="1" x="20147"/>
        <item h="1" x="20148"/>
        <item h="1" x="20149"/>
        <item h="1" x="20150"/>
        <item h="1" x="20151"/>
        <item h="1" x="20152"/>
        <item h="1" x="20153"/>
        <item h="1" x="20154"/>
        <item h="1" x="20155"/>
        <item h="1" x="20156"/>
        <item h="1" x="20157"/>
        <item h="1" x="20158"/>
        <item h="1" x="20159"/>
        <item h="1" x="20160"/>
        <item h="1" x="20161"/>
        <item h="1" x="20162"/>
        <item h="1" x="20163"/>
        <item h="1" x="20164"/>
        <item h="1" x="20165"/>
        <item h="1" x="20166"/>
        <item h="1" x="20167"/>
        <item h="1" x="20168"/>
        <item h="1" x="20169"/>
        <item h="1" x="20170"/>
        <item h="1" x="20171"/>
        <item h="1" x="20172"/>
        <item h="1" x="20173"/>
        <item h="1" x="20174"/>
        <item h="1" x="20175"/>
        <item h="1" x="20176"/>
        <item h="1" x="20177"/>
        <item h="1" x="20178"/>
        <item h="1" x="20179"/>
        <item h="1" x="20180"/>
        <item h="1" x="20181"/>
        <item h="1" x="20182"/>
        <item h="1" x="20183"/>
        <item h="1" x="20184"/>
        <item h="1" x="20185"/>
        <item h="1" x="20186"/>
        <item h="1" x="20187"/>
        <item h="1" x="20188"/>
        <item h="1" x="20189"/>
        <item h="1" x="20190"/>
        <item h="1" x="20191"/>
        <item h="1" x="20192"/>
        <item h="1" x="20193"/>
        <item h="1" x="20194"/>
        <item h="1" x="20195"/>
        <item h="1" x="20196"/>
        <item h="1" x="20197"/>
        <item h="1" x="20198"/>
        <item h="1" x="20199"/>
        <item h="1" x="20200"/>
        <item h="1" x="20201"/>
        <item h="1" x="20202"/>
        <item h="1" x="20203"/>
        <item h="1" x="20204"/>
        <item h="1" x="20205"/>
        <item h="1" x="20206"/>
        <item h="1" x="20207"/>
        <item h="1" x="20208"/>
        <item h="1" x="20209"/>
        <item h="1" x="20210"/>
        <item h="1" x="20211"/>
        <item h="1" x="20212"/>
        <item h="1" x="20213"/>
        <item h="1" x="20214"/>
        <item h="1" x="20215"/>
        <item h="1" x="20216"/>
        <item h="1" x="20217"/>
        <item h="1" x="20218"/>
        <item h="1" x="20219"/>
        <item h="1" x="20220"/>
        <item h="1" x="20221"/>
        <item h="1" x="20222"/>
        <item h="1" x="20223"/>
        <item h="1" x="20224"/>
        <item h="1" x="20225"/>
        <item h="1" x="20226"/>
        <item h="1" x="20227"/>
        <item h="1" x="20228"/>
        <item h="1" x="20229"/>
        <item h="1" x="20230"/>
        <item h="1" x="20231"/>
        <item h="1" x="20232"/>
        <item h="1" x="20233"/>
        <item h="1" x="20234"/>
        <item h="1" x="20235"/>
        <item h="1" x="20236"/>
        <item h="1" x="20237"/>
        <item h="1" x="20238"/>
        <item h="1" x="20239"/>
        <item h="1" x="20240"/>
        <item h="1" x="20241"/>
        <item h="1" x="20242"/>
        <item h="1" x="20243"/>
        <item h="1" x="20244"/>
        <item h="1" x="20245"/>
        <item h="1" x="20246"/>
        <item h="1" x="20247"/>
        <item h="1" x="20248"/>
        <item h="1" x="20249"/>
        <item h="1" x="20250"/>
        <item h="1" x="20251"/>
        <item h="1" x="20252"/>
        <item h="1" x="20253"/>
        <item h="1" x="20254"/>
        <item h="1" x="20255"/>
        <item h="1" x="20256"/>
        <item h="1" x="20257"/>
        <item h="1" x="20258"/>
        <item h="1" x="20259"/>
        <item h="1" x="20260"/>
        <item h="1" x="20261"/>
        <item h="1" x="20262"/>
        <item h="1" x="20263"/>
        <item h="1" x="20264"/>
        <item h="1" x="20265"/>
        <item h="1" x="20266"/>
        <item h="1" x="20267"/>
        <item h="1" x="20268"/>
        <item h="1" x="20269"/>
        <item h="1" x="20270"/>
        <item h="1" x="20271"/>
        <item h="1" x="20272"/>
        <item h="1" x="20273"/>
        <item h="1" x="20274"/>
        <item h="1" x="20275"/>
        <item h="1" x="20276"/>
        <item h="1" x="20277"/>
        <item h="1" x="20278"/>
        <item h="1" x="20279"/>
        <item h="1" x="20280"/>
        <item h="1" x="20281"/>
        <item h="1" x="20282"/>
        <item h="1" x="20283"/>
        <item h="1" x="20284"/>
        <item h="1" x="20285"/>
        <item h="1" x="20286"/>
        <item h="1" x="20287"/>
        <item h="1" x="20288"/>
        <item h="1" x="20289"/>
        <item h="1" x="20290"/>
        <item h="1" x="20291"/>
        <item h="1" x="20292"/>
        <item h="1" x="20293"/>
        <item h="1" x="20294"/>
        <item h="1" x="20295"/>
        <item h="1" x="20296"/>
        <item h="1" x="20297"/>
        <item h="1" x="20298"/>
        <item h="1" x="20299"/>
        <item h="1" x="20300"/>
        <item h="1" x="20301"/>
        <item h="1" x="20302"/>
        <item h="1" x="20303"/>
        <item h="1" x="20304"/>
        <item h="1" x="20305"/>
        <item h="1" x="20306"/>
        <item h="1" x="20307"/>
        <item h="1" x="20308"/>
        <item h="1" x="20309"/>
        <item h="1" x="20310"/>
        <item h="1" x="20311"/>
        <item h="1" x="20312"/>
        <item h="1" x="20313"/>
        <item h="1" x="20314"/>
        <item h="1" x="20315"/>
        <item h="1" x="20316"/>
        <item h="1" x="20317"/>
        <item h="1" x="20318"/>
        <item h="1" x="20319"/>
        <item h="1" x="20320"/>
        <item h="1" x="20321"/>
        <item h="1" x="20322"/>
        <item h="1" x="20323"/>
        <item h="1" x="20324"/>
        <item h="1" x="20325"/>
        <item h="1" x="20326"/>
        <item h="1" x="20327"/>
        <item h="1" x="20328"/>
        <item h="1" x="20329"/>
        <item h="1" x="20330"/>
        <item h="1" x="20331"/>
        <item h="1" x="20332"/>
        <item h="1" x="20333"/>
        <item h="1" x="20334"/>
        <item h="1" x="20335"/>
        <item h="1" x="20336"/>
        <item h="1" x="20337"/>
        <item h="1" x="20338"/>
        <item h="1" x="20339"/>
        <item h="1" x="20340"/>
        <item h="1" x="20341"/>
        <item h="1" x="20342"/>
        <item h="1" x="20343"/>
        <item h="1" x="20344"/>
        <item h="1" x="20345"/>
        <item h="1" x="20346"/>
        <item h="1" x="20347"/>
        <item h="1" x="20348"/>
        <item h="1" x="20349"/>
        <item h="1" x="20350"/>
        <item h="1" x="20351"/>
        <item h="1" x="20352"/>
        <item h="1" x="20353"/>
        <item h="1" x="20354"/>
        <item h="1" x="20355"/>
        <item h="1" x="20356"/>
        <item h="1" x="20357"/>
        <item h="1" x="20358"/>
        <item h="1" x="20359"/>
        <item h="1" x="20360"/>
        <item h="1" x="20361"/>
        <item h="1" x="20362"/>
        <item h="1" x="20363"/>
        <item h="1" x="20364"/>
        <item h="1" x="20365"/>
        <item h="1" x="20366"/>
        <item h="1" x="20367"/>
        <item h="1" x="20368"/>
        <item h="1" x="20369"/>
        <item h="1" x="20370"/>
        <item h="1" x="20371"/>
        <item h="1" x="20372"/>
        <item h="1" x="20373"/>
        <item h="1" x="20374"/>
        <item h="1" x="20375"/>
        <item h="1" x="20376"/>
        <item h="1" x="20377"/>
        <item h="1" x="20378"/>
        <item h="1" x="20379"/>
        <item h="1" x="20380"/>
        <item h="1" x="20381"/>
        <item h="1" x="20382"/>
        <item h="1" x="20383"/>
        <item h="1" x="20384"/>
        <item h="1" x="20385"/>
        <item h="1" x="20386"/>
        <item h="1" x="20387"/>
        <item h="1" x="20388"/>
        <item h="1" x="20389"/>
        <item h="1" x="20390"/>
        <item h="1" x="20391"/>
        <item h="1" x="20392"/>
        <item h="1" x="20393"/>
        <item h="1" x="20394"/>
        <item h="1" x="20395"/>
        <item h="1" x="20396"/>
        <item h="1" x="20397"/>
        <item h="1" x="20398"/>
        <item h="1" x="20399"/>
        <item h="1" x="20400"/>
        <item h="1" x="20401"/>
        <item h="1" x="20402"/>
        <item h="1" x="20403"/>
        <item h="1" x="20404"/>
        <item h="1" x="20405"/>
        <item h="1" x="20406"/>
        <item h="1" x="20407"/>
        <item h="1" x="20408"/>
        <item h="1" x="20409"/>
        <item h="1" x="20410"/>
        <item h="1" x="20411"/>
        <item h="1" x="20412"/>
        <item h="1" x="20413"/>
        <item h="1" x="20414"/>
        <item h="1" x="20415"/>
        <item h="1" x="20416"/>
        <item h="1" x="20417"/>
        <item h="1" x="20418"/>
        <item h="1" x="20419"/>
        <item h="1" x="20420"/>
        <item h="1" x="20421"/>
        <item h="1" x="20422"/>
        <item h="1" x="20423"/>
        <item h="1" x="20424"/>
        <item h="1" x="20425"/>
        <item h="1" x="20426"/>
        <item h="1" x="20427"/>
        <item h="1" x="20428"/>
        <item h="1" x="20429"/>
        <item h="1" x="20430"/>
        <item h="1" x="20431"/>
        <item h="1" x="20432"/>
        <item h="1" x="20433"/>
        <item h="1" x="20434"/>
        <item h="1" x="20435"/>
        <item h="1" x="20436"/>
        <item h="1" x="20437"/>
        <item h="1" x="20438"/>
        <item h="1" x="20439"/>
        <item h="1" x="20440"/>
        <item h="1" x="20441"/>
        <item h="1" x="20442"/>
        <item h="1" x="20443"/>
        <item h="1" x="20444"/>
        <item h="1" x="20445"/>
        <item h="1" x="20446"/>
        <item h="1" x="20447"/>
        <item h="1" x="20448"/>
        <item h="1" x="20449"/>
        <item h="1" x="20450"/>
        <item h="1" x="20451"/>
        <item h="1" x="20452"/>
        <item h="1" x="20453"/>
        <item h="1" x="20454"/>
        <item h="1" x="20455"/>
        <item h="1" x="20456"/>
        <item h="1" x="20457"/>
        <item h="1" x="20458"/>
        <item h="1" x="20459"/>
        <item h="1" x="20460"/>
        <item h="1" x="20461"/>
        <item h="1" x="20462"/>
        <item h="1" x="20463"/>
        <item h="1" x="20464"/>
        <item h="1" x="20465"/>
        <item h="1" x="20466"/>
        <item h="1" x="20467"/>
        <item h="1" x="20468"/>
        <item h="1" x="20469"/>
        <item h="1" x="20470"/>
        <item h="1" x="20471"/>
        <item h="1" x="20472"/>
        <item h="1" x="20473"/>
        <item h="1" x="20474"/>
        <item h="1" x="20475"/>
        <item h="1" x="20476"/>
        <item h="1" x="20477"/>
        <item h="1" x="20478"/>
        <item h="1" x="20479"/>
        <item h="1" x="20480"/>
        <item h="1" x="20481"/>
        <item h="1" x="20482"/>
        <item h="1" x="20483"/>
        <item h="1" x="20484"/>
        <item h="1" x="20485"/>
        <item h="1" x="20486"/>
        <item h="1" x="20487"/>
        <item h="1" x="20488"/>
        <item h="1" x="20489"/>
        <item h="1" x="20490"/>
        <item h="1" x="20491"/>
        <item h="1" x="20492"/>
        <item h="1" x="20493"/>
        <item h="1" x="20494"/>
        <item h="1" x="20495"/>
        <item h="1" x="20496"/>
        <item h="1" x="20497"/>
        <item h="1" x="20498"/>
        <item h="1" x="20499"/>
        <item h="1" x="20500"/>
        <item h="1" x="20501"/>
        <item h="1" x="20502"/>
        <item h="1" x="20503"/>
        <item h="1" x="20504"/>
        <item h="1" x="20505"/>
        <item h="1" x="20506"/>
        <item h="1" x="20507"/>
        <item h="1" x="20508"/>
        <item h="1" x="20509"/>
        <item h="1" x="20510"/>
        <item h="1" x="20511"/>
        <item h="1" x="20512"/>
        <item h="1" x="20513"/>
        <item h="1" x="20514"/>
        <item h="1" x="20515"/>
        <item h="1" x="20516"/>
        <item h="1" x="20517"/>
        <item h="1" x="20518"/>
        <item h="1" x="20519"/>
        <item h="1" x="20520"/>
        <item h="1" x="20521"/>
        <item h="1" x="20522"/>
        <item h="1" x="20523"/>
        <item h="1" x="20524"/>
        <item h="1" x="20525"/>
        <item h="1" x="20526"/>
        <item h="1" x="20527"/>
        <item h="1" x="20528"/>
        <item h="1" x="20529"/>
        <item h="1" x="20530"/>
        <item h="1" x="20531"/>
        <item h="1" x="20532"/>
        <item h="1" x="20533"/>
        <item h="1" x="20534"/>
        <item h="1" x="20535"/>
        <item h="1" x="20536"/>
        <item h="1" x="20537"/>
        <item h="1" x="20538"/>
        <item h="1" x="20539"/>
        <item h="1" x="20540"/>
        <item h="1" x="20541"/>
        <item h="1" x="20542"/>
        <item h="1" x="20543"/>
        <item h="1" x="20544"/>
        <item h="1" x="20545"/>
        <item h="1" x="20546"/>
        <item h="1" x="20547"/>
        <item h="1" x="20548"/>
        <item h="1" x="20549"/>
        <item h="1" x="20550"/>
        <item h="1" x="20551"/>
        <item h="1" x="20552"/>
        <item h="1" x="20553"/>
        <item h="1" x="20554"/>
        <item h="1" x="20555"/>
        <item h="1" x="20556"/>
        <item h="1" x="20557"/>
        <item h="1" x="20558"/>
        <item h="1" x="20559"/>
        <item h="1" x="20560"/>
        <item h="1" x="20561"/>
        <item h="1" x="20562"/>
        <item h="1" x="20563"/>
        <item h="1" x="20564"/>
        <item h="1" x="20565"/>
        <item h="1" x="20566"/>
        <item h="1" x="20567"/>
        <item h="1" x="20568"/>
        <item h="1" x="20569"/>
        <item h="1" x="20570"/>
        <item h="1" x="20571"/>
        <item h="1" x="20572"/>
        <item h="1" x="20573"/>
        <item h="1" x="20574"/>
        <item h="1" x="20575"/>
        <item h="1" x="20576"/>
        <item h="1" x="20577"/>
        <item h="1" x="20578"/>
        <item h="1" x="20579"/>
        <item h="1" x="20580"/>
        <item h="1" x="20581"/>
        <item h="1" x="20582"/>
        <item h="1" x="20583"/>
        <item h="1" x="20584"/>
        <item h="1" x="20585"/>
        <item h="1" x="20586"/>
        <item h="1" x="20587"/>
        <item h="1" x="20588"/>
        <item h="1" x="20589"/>
        <item h="1" x="20590"/>
        <item h="1" x="20591"/>
        <item h="1" x="20592"/>
        <item h="1" x="20593"/>
        <item h="1" x="20594"/>
        <item h="1" x="20595"/>
        <item h="1" x="20596"/>
        <item h="1" x="20597"/>
        <item h="1" x="20598"/>
        <item h="1" x="20599"/>
        <item h="1" x="20600"/>
        <item h="1" x="20601"/>
        <item h="1" x="20602"/>
        <item h="1" x="20603"/>
        <item h="1" x="20604"/>
        <item h="1" x="20605"/>
        <item h="1" x="20606"/>
        <item h="1" x="20607"/>
        <item h="1" x="20608"/>
        <item h="1" x="20609"/>
        <item h="1" x="20610"/>
        <item h="1" x="20611"/>
        <item h="1" x="20612"/>
        <item h="1" x="20613"/>
        <item h="1" x="20614"/>
        <item h="1" x="20615"/>
        <item h="1" x="20616"/>
        <item h="1" x="20617"/>
        <item h="1" x="20618"/>
        <item h="1" x="20619"/>
        <item h="1" x="20620"/>
        <item h="1" x="20621"/>
        <item h="1" x="20622"/>
        <item h="1" x="20623"/>
        <item h="1" x="20624"/>
        <item h="1" x="20625"/>
        <item h="1" x="20626"/>
        <item h="1" x="20627"/>
        <item h="1" x="20628"/>
        <item h="1" x="20629"/>
        <item h="1" x="20630"/>
        <item h="1" x="20631"/>
        <item h="1" x="20632"/>
        <item h="1" x="20633"/>
        <item h="1" x="20634"/>
        <item h="1" x="20635"/>
        <item h="1" x="20636"/>
        <item h="1" x="20637"/>
        <item h="1" x="20638"/>
        <item h="1" x="20639"/>
        <item h="1" x="20640"/>
        <item h="1" x="20641"/>
        <item h="1" x="20642"/>
        <item h="1" x="20643"/>
        <item h="1" x="20644"/>
        <item h="1" x="20645"/>
        <item h="1" x="20646"/>
        <item h="1" x="20647"/>
        <item h="1" x="20648"/>
        <item h="1" x="20649"/>
        <item h="1" x="20650"/>
        <item h="1" x="20651"/>
        <item h="1" x="20652"/>
        <item h="1" x="20653"/>
        <item h="1" x="20654"/>
        <item h="1" x="20655"/>
        <item h="1" x="20656"/>
        <item h="1" x="20657"/>
        <item h="1" x="20658"/>
        <item h="1" x="20659"/>
        <item h="1" x="20660"/>
        <item h="1" x="20661"/>
        <item h="1" x="20662"/>
        <item h="1" x="20663"/>
        <item h="1" x="20664"/>
        <item h="1" x="20665"/>
        <item h="1" x="20666"/>
        <item h="1" x="20667"/>
        <item h="1" x="20668"/>
        <item h="1" x="20669"/>
        <item h="1" x="20670"/>
        <item h="1" x="20671"/>
        <item h="1" x="20672"/>
        <item h="1" x="20673"/>
        <item h="1" x="20674"/>
        <item h="1" x="20675"/>
        <item h="1" x="20676"/>
        <item h="1" x="20677"/>
        <item h="1" x="20678"/>
        <item h="1" x="20679"/>
        <item h="1" x="20680"/>
        <item h="1" x="20681"/>
        <item h="1" x="20682"/>
        <item h="1" x="20683"/>
        <item h="1" x="20684"/>
        <item h="1" x="20685"/>
        <item h="1" x="20686"/>
        <item h="1" x="20687"/>
        <item h="1" x="20688"/>
        <item h="1" x="20689"/>
        <item h="1" x="20690"/>
        <item h="1" x="20691"/>
        <item h="1" x="20692"/>
        <item h="1" x="20693"/>
        <item h="1" x="20694"/>
        <item h="1" x="20695"/>
        <item h="1" x="20696"/>
        <item h="1" x="20697"/>
        <item h="1" x="20698"/>
        <item h="1" x="20699"/>
        <item h="1" x="20700"/>
        <item h="1" x="20701"/>
        <item h="1" x="20702"/>
        <item h="1" x="20703"/>
        <item h="1" x="20704"/>
        <item h="1" x="20705"/>
        <item h="1" x="20706"/>
        <item h="1" x="20707"/>
        <item h="1" x="20708"/>
        <item h="1" x="20709"/>
        <item h="1" x="20710"/>
        <item h="1" x="20711"/>
        <item h="1" x="20712"/>
        <item h="1" x="20713"/>
        <item h="1" x="20714"/>
        <item h="1" x="20715"/>
        <item h="1" x="20716"/>
        <item h="1" x="20717"/>
        <item h="1" x="20718"/>
        <item h="1" x="20719"/>
        <item h="1" x="20720"/>
        <item h="1" x="20721"/>
        <item h="1" x="20722"/>
        <item h="1" x="20723"/>
        <item h="1" x="20724"/>
        <item h="1" x="20725"/>
        <item h="1" x="20726"/>
        <item h="1" x="20727"/>
        <item h="1" x="20728"/>
        <item h="1" x="20729"/>
        <item h="1" x="20730"/>
        <item h="1" x="20731"/>
        <item h="1" x="20732"/>
        <item h="1" x="20733"/>
        <item h="1" x="20734"/>
        <item h="1" x="20735"/>
        <item h="1" x="20736"/>
        <item h="1" x="20737"/>
        <item h="1" x="20738"/>
        <item h="1" x="20739"/>
        <item h="1" x="20740"/>
        <item h="1" x="20741"/>
        <item h="1" x="20742"/>
        <item h="1" x="20743"/>
        <item h="1" x="20744"/>
        <item h="1" x="20745"/>
        <item h="1" x="20746"/>
        <item h="1" x="20747"/>
        <item h="1" x="20748"/>
        <item h="1" x="20749"/>
        <item h="1" x="20750"/>
        <item h="1" x="20751"/>
        <item h="1" x="20752"/>
        <item h="1" x="20753"/>
        <item h="1" x="20754"/>
        <item h="1" x="20755"/>
        <item h="1" x="20756"/>
        <item h="1" x="20757"/>
        <item h="1" x="20758"/>
        <item h="1" x="20759"/>
        <item h="1" x="20760"/>
        <item h="1" x="20761"/>
        <item h="1" x="20762"/>
        <item h="1" x="20763"/>
        <item h="1" x="20764"/>
        <item h="1" x="20765"/>
        <item h="1" x="20766"/>
        <item h="1" x="20767"/>
        <item h="1" x="20768"/>
        <item h="1" x="20769"/>
        <item h="1" x="20770"/>
        <item h="1" x="20771"/>
        <item h="1" x="20772"/>
        <item h="1" x="20773"/>
        <item h="1" x="20774"/>
        <item h="1" x="20775"/>
        <item h="1" x="20776"/>
        <item h="1" x="20777"/>
        <item h="1" x="20778"/>
        <item h="1" x="20779"/>
        <item h="1" x="20780"/>
        <item h="1" x="20781"/>
        <item h="1" x="20782"/>
        <item h="1" x="20783"/>
        <item h="1" x="20784"/>
        <item h="1" x="20785"/>
        <item h="1" x="20786"/>
        <item h="1" x="20787"/>
        <item h="1" x="20788"/>
        <item h="1" x="20789"/>
        <item h="1" x="20790"/>
        <item h="1" x="20791"/>
        <item h="1" x="20792"/>
        <item h="1" x="20793"/>
        <item h="1" x="20794"/>
        <item h="1" x="20795"/>
        <item h="1" x="20796"/>
        <item h="1" x="20797"/>
        <item h="1" x="20798"/>
        <item h="1" x="20799"/>
        <item h="1" x="20800"/>
        <item h="1" x="20801"/>
        <item h="1" x="20802"/>
        <item h="1" x="20803"/>
        <item h="1" x="20804"/>
        <item h="1" x="20805"/>
        <item h="1" x="20806"/>
        <item h="1" x="20807"/>
        <item h="1" x="20808"/>
        <item h="1" x="20809"/>
        <item h="1" x="20810"/>
        <item h="1" x="20811"/>
        <item h="1" x="20812"/>
        <item h="1" x="20813"/>
        <item h="1" x="20814"/>
        <item h="1" x="20815"/>
        <item h="1" x="20816"/>
        <item h="1" x="20817"/>
        <item h="1" x="20818"/>
        <item h="1" x="20819"/>
        <item h="1" x="20820"/>
        <item h="1" x="20821"/>
        <item h="1" x="20822"/>
        <item h="1" x="20823"/>
        <item h="1" x="20824"/>
        <item h="1" x="20825"/>
        <item h="1" x="20826"/>
        <item h="1" x="20827"/>
        <item h="1" x="20828"/>
        <item h="1" x="20829"/>
        <item h="1" x="20830"/>
        <item h="1" x="20831"/>
        <item h="1" x="20832"/>
        <item h="1" x="20833"/>
        <item h="1" x="20834"/>
        <item h="1" x="20835"/>
        <item h="1" x="20836"/>
        <item h="1" x="20837"/>
        <item h="1" x="20838"/>
        <item h="1" x="20839"/>
        <item h="1" x="20840"/>
        <item h="1" x="20841"/>
        <item h="1" x="20842"/>
        <item h="1" x="20843"/>
        <item h="1" x="20844"/>
        <item h="1" x="20845"/>
        <item h="1" x="20846"/>
        <item h="1" x="20847"/>
        <item h="1" x="20848"/>
        <item h="1" x="20849"/>
        <item h="1" x="20850"/>
        <item h="1" x="20851"/>
        <item h="1" x="20852"/>
        <item h="1" x="20853"/>
        <item h="1" x="20854"/>
        <item h="1" x="20855"/>
        <item h="1" x="20856"/>
        <item h="1" x="20857"/>
        <item h="1" x="20858"/>
        <item h="1" x="20859"/>
        <item h="1" x="20860"/>
        <item h="1" x="20861"/>
        <item h="1" x="20862"/>
        <item h="1" x="20863"/>
        <item h="1" x="20864"/>
        <item h="1" x="20865"/>
        <item h="1" x="20866"/>
        <item h="1" x="20867"/>
        <item h="1" x="20868"/>
        <item h="1" x="20869"/>
        <item h="1" x="20870"/>
        <item h="1" x="20871"/>
        <item h="1" x="20872"/>
        <item h="1" x="20873"/>
        <item h="1" x="20874"/>
        <item h="1" x="20875"/>
        <item h="1" x="20876"/>
        <item h="1" x="20877"/>
        <item h="1" x="20878"/>
        <item h="1" x="20879"/>
        <item h="1" x="20880"/>
        <item h="1" x="20881"/>
        <item h="1" x="20882"/>
        <item h="1" x="20883"/>
        <item h="1" x="20884"/>
        <item h="1" x="20885"/>
        <item h="1" x="20886"/>
        <item h="1" x="20887"/>
        <item h="1" x="20888"/>
        <item h="1" x="20889"/>
        <item h="1" x="20890"/>
        <item h="1" x="20891"/>
        <item h="1" x="20892"/>
        <item h="1" x="20893"/>
        <item h="1" x="20894"/>
        <item h="1" x="20895"/>
        <item h="1" x="20896"/>
        <item h="1" x="20897"/>
        <item h="1" x="20898"/>
        <item h="1" x="20899"/>
        <item h="1" x="20900"/>
        <item h="1" x="20901"/>
        <item h="1" x="20902"/>
        <item h="1" x="20903"/>
        <item h="1" x="20904"/>
        <item h="1" x="20905"/>
        <item h="1" x="20906"/>
        <item h="1" x="20907"/>
        <item h="1" x="20908"/>
        <item h="1" x="20909"/>
        <item h="1" x="20910"/>
        <item h="1" x="20911"/>
        <item h="1" x="20912"/>
        <item h="1" x="20913"/>
        <item h="1" x="20914"/>
        <item h="1" x="20915"/>
        <item h="1" x="20916"/>
        <item h="1" x="20917"/>
        <item h="1" x="20918"/>
        <item h="1" x="20919"/>
        <item h="1" x="20920"/>
        <item h="1" x="20921"/>
        <item h="1" x="20922"/>
        <item h="1" x="20923"/>
        <item h="1" x="20924"/>
        <item h="1" x="20925"/>
        <item h="1" x="20926"/>
        <item h="1" x="20927"/>
        <item h="1" x="20928"/>
        <item h="1" x="20929"/>
        <item h="1" x="20930"/>
        <item h="1" x="20931"/>
        <item h="1" x="20932"/>
        <item h="1" x="20933"/>
        <item h="1" x="20934"/>
        <item h="1" x="20935"/>
        <item h="1" x="20936"/>
        <item h="1" x="20937"/>
        <item h="1" x="20938"/>
        <item h="1" x="20939"/>
        <item h="1" x="20940"/>
        <item h="1" x="20941"/>
        <item h="1" x="20942"/>
        <item h="1" x="20943"/>
        <item h="1" x="20944"/>
        <item h="1" x="20945"/>
        <item h="1" x="20946"/>
        <item h="1" x="20947"/>
        <item h="1" x="20948"/>
        <item h="1" x="20949"/>
        <item h="1" x="20950"/>
        <item h="1" x="20951"/>
        <item h="1" x="20952"/>
        <item h="1" x="20953"/>
        <item h="1" x="20954"/>
        <item h="1" x="20955"/>
        <item h="1" x="20956"/>
        <item h="1" x="20957"/>
        <item h="1" x="20958"/>
        <item h="1" x="20959"/>
        <item h="1" x="20960"/>
        <item h="1" x="20961"/>
        <item h="1" x="20962"/>
        <item h="1" x="20963"/>
        <item h="1" x="20964"/>
        <item h="1" x="20965"/>
        <item h="1" x="20966"/>
        <item h="1" x="20967"/>
        <item h="1" x="20968"/>
        <item h="1" x="20969"/>
        <item h="1" x="20970"/>
        <item h="1" x="20971"/>
        <item h="1" x="20972"/>
        <item h="1" x="20973"/>
        <item h="1" x="20974"/>
        <item h="1" x="20975"/>
        <item h="1" x="20976"/>
        <item h="1" x="20977"/>
        <item h="1" x="20978"/>
        <item h="1" x="20979"/>
        <item h="1" x="20980"/>
        <item h="1" x="20981"/>
        <item h="1" x="20982"/>
        <item h="1" x="20983"/>
        <item h="1" x="20984"/>
        <item h="1" x="20985"/>
        <item h="1" x="20986"/>
        <item h="1" x="20987"/>
        <item h="1" x="20988"/>
        <item h="1" x="20989"/>
        <item h="1" x="20990"/>
        <item h="1" x="20991"/>
        <item h="1" x="20992"/>
        <item h="1" x="20993"/>
        <item h="1" x="20994"/>
        <item h="1" x="20995"/>
        <item h="1" x="20996"/>
        <item h="1" x="20997"/>
        <item h="1" x="20998"/>
        <item h="1" x="20999"/>
        <item h="1" x="21000"/>
        <item h="1" x="21001"/>
        <item h="1" x="21002"/>
        <item h="1" x="21003"/>
        <item h="1" x="21004"/>
        <item h="1" x="21005"/>
        <item h="1" x="21006"/>
        <item h="1" x="21007"/>
        <item h="1" x="21008"/>
        <item h="1" x="21009"/>
        <item h="1" x="21010"/>
        <item h="1" x="21011"/>
        <item h="1" x="21012"/>
        <item h="1" x="21013"/>
        <item h="1" x="21014"/>
        <item h="1" x="21015"/>
        <item h="1" x="21016"/>
        <item h="1" x="21017"/>
        <item h="1" x="21018"/>
        <item h="1" x="21019"/>
        <item h="1" x="21020"/>
        <item h="1" x="21021"/>
        <item h="1" x="21022"/>
        <item h="1" x="21023"/>
        <item h="1" x="21024"/>
        <item h="1" x="21025"/>
        <item h="1" x="21026"/>
        <item h="1" x="21027"/>
        <item h="1" x="21028"/>
        <item h="1" x="21029"/>
        <item h="1" x="21030"/>
        <item h="1" x="21031"/>
        <item h="1" x="21032"/>
        <item h="1" x="21033"/>
        <item h="1" x="21034"/>
        <item h="1" x="21035"/>
        <item h="1" x="21036"/>
        <item h="1" x="21037"/>
        <item h="1" x="21038"/>
        <item h="1" x="21039"/>
        <item h="1" x="21040"/>
        <item h="1" x="21041"/>
        <item h="1" x="21042"/>
        <item h="1" x="21043"/>
        <item h="1" x="21044"/>
        <item h="1" x="21045"/>
        <item h="1" x="21046"/>
        <item h="1" x="21047"/>
        <item h="1" x="21048"/>
        <item h="1" x="21049"/>
        <item h="1" x="21050"/>
        <item h="1" x="21051"/>
        <item h="1" x="21052"/>
        <item h="1" x="21053"/>
        <item h="1" x="21054"/>
        <item h="1" x="21055"/>
        <item h="1" x="21056"/>
        <item h="1" x="21057"/>
        <item h="1" x="21058"/>
        <item h="1" x="21059"/>
        <item h="1" x="21060"/>
        <item h="1" x="21061"/>
        <item h="1" x="21062"/>
        <item h="1" x="21063"/>
        <item h="1" x="21064"/>
        <item h="1" x="21065"/>
        <item h="1" x="21066"/>
        <item h="1" x="21067"/>
        <item h="1" x="21068"/>
        <item h="1" x="21069"/>
        <item h="1" x="21070"/>
        <item h="1" x="21071"/>
        <item h="1" x="21072"/>
        <item h="1" x="21073"/>
        <item h="1" x="21074"/>
        <item h="1" x="21075"/>
        <item h="1" x="21076"/>
        <item h="1" x="21077"/>
        <item h="1" x="21078"/>
        <item h="1" x="21079"/>
        <item h="1" x="21080"/>
        <item h="1" x="21081"/>
        <item h="1" x="21082"/>
        <item h="1" x="21083"/>
        <item h="1" x="21084"/>
        <item h="1" x="21085"/>
        <item h="1" x="21086"/>
        <item h="1" x="21087"/>
        <item h="1" x="21088"/>
        <item h="1" x="21089"/>
        <item h="1" x="21090"/>
        <item h="1" x="21091"/>
        <item h="1" x="21092"/>
        <item h="1" x="21093"/>
        <item h="1" x="21094"/>
        <item h="1" x="21095"/>
        <item h="1" x="21096"/>
        <item h="1" x="21097"/>
        <item h="1" x="21098"/>
        <item h="1" x="21099"/>
        <item h="1" x="21100"/>
        <item h="1" x="21101"/>
        <item h="1" x="21102"/>
        <item h="1" x="21103"/>
        <item h="1" x="21104"/>
        <item h="1" x="21105"/>
        <item h="1" x="21106"/>
        <item h="1" x="21107"/>
        <item h="1" x="21108"/>
        <item h="1" x="21109"/>
        <item h="1" x="21110"/>
        <item h="1" x="21111"/>
        <item h="1" x="21112"/>
        <item h="1" x="21113"/>
        <item h="1" x="21114"/>
        <item h="1" x="21115"/>
        <item h="1" x="21116"/>
        <item h="1" x="21117"/>
        <item h="1" x="21118"/>
        <item h="1" x="21119"/>
        <item h="1" x="21120"/>
        <item h="1" x="21121"/>
        <item h="1" x="21122"/>
        <item h="1" x="21123"/>
        <item h="1" x="21124"/>
        <item h="1" x="21125"/>
        <item h="1" x="21126"/>
        <item h="1" x="21127"/>
        <item h="1" x="21128"/>
        <item h="1" x="21129"/>
        <item h="1" x="21130"/>
        <item h="1" x="21131"/>
        <item h="1" x="21132"/>
        <item h="1" x="21133"/>
        <item h="1" x="21134"/>
        <item h="1" x="21135"/>
        <item h="1" x="21136"/>
        <item h="1" x="21137"/>
        <item h="1" x="21138"/>
        <item h="1" x="21139"/>
        <item h="1" x="21140"/>
        <item h="1" x="21141"/>
        <item h="1" x="21142"/>
        <item h="1" x="21143"/>
        <item h="1" x="21144"/>
        <item h="1" x="21145"/>
        <item h="1" x="21146"/>
        <item h="1" x="21147"/>
        <item h="1" x="21148"/>
        <item h="1" x="21149"/>
        <item h="1" x="21150"/>
        <item h="1" x="21151"/>
        <item h="1" x="21152"/>
        <item h="1" x="21153"/>
        <item h="1" x="21154"/>
        <item h="1" x="21155"/>
        <item h="1" x="21156"/>
        <item h="1" x="21157"/>
        <item h="1" x="21158"/>
        <item h="1" x="21159"/>
        <item h="1" x="21160"/>
        <item h="1" x="21161"/>
        <item h="1" x="21162"/>
        <item h="1" x="21163"/>
        <item h="1" x="21164"/>
        <item h="1" x="21165"/>
        <item h="1" x="21166"/>
        <item h="1" x="21167"/>
        <item h="1" x="21168"/>
        <item h="1" x="21169"/>
        <item h="1" x="21170"/>
        <item h="1" x="21171"/>
        <item h="1" x="21172"/>
        <item h="1" x="21173"/>
        <item h="1" x="21174"/>
        <item h="1" x="21175"/>
        <item h="1" x="21176"/>
        <item h="1" x="21177"/>
        <item h="1" x="21178"/>
        <item h="1" x="21179"/>
        <item h="1" x="21180"/>
        <item h="1" x="21181"/>
        <item h="1" x="21182"/>
        <item h="1" x="21183"/>
        <item h="1" x="21184"/>
        <item h="1" x="21185"/>
        <item h="1" x="21186"/>
        <item h="1" x="21187"/>
        <item h="1" x="21188"/>
        <item h="1" x="21189"/>
        <item h="1" x="21190"/>
        <item h="1" x="21191"/>
        <item h="1" x="21192"/>
        <item h="1" x="21193"/>
        <item h="1" x="21194"/>
        <item h="1" x="21195"/>
        <item h="1" x="21196"/>
        <item h="1" x="21197"/>
        <item h="1" x="21198"/>
        <item h="1" x="21199"/>
        <item h="1" x="21200"/>
        <item h="1" x="21201"/>
        <item h="1" x="21202"/>
        <item h="1" x="21203"/>
        <item h="1" x="21204"/>
        <item h="1" x="21205"/>
        <item h="1" x="21206"/>
        <item h="1" x="21207"/>
        <item h="1" x="21208"/>
        <item h="1" x="21209"/>
        <item h="1" x="21210"/>
        <item h="1" x="21211"/>
        <item h="1" x="21212"/>
        <item h="1" x="21213"/>
        <item h="1" x="21214"/>
        <item h="1" x="21215"/>
        <item h="1" x="21216"/>
        <item h="1" x="21217"/>
        <item h="1" x="21218"/>
        <item h="1" x="21219"/>
        <item h="1" x="21220"/>
        <item h="1" x="21221"/>
        <item h="1" x="21222"/>
        <item h="1" x="21223"/>
        <item h="1" x="21224"/>
        <item h="1" x="21225"/>
        <item h="1" x="21226"/>
        <item h="1" x="21227"/>
        <item h="1" x="21228"/>
        <item h="1" x="21229"/>
        <item h="1" x="21230"/>
        <item h="1" x="21231"/>
        <item h="1" x="21232"/>
        <item h="1" x="21233"/>
        <item h="1" x="21234"/>
        <item h="1" x="21235"/>
        <item h="1" x="21236"/>
        <item h="1" x="21237"/>
        <item h="1" x="21238"/>
        <item h="1" x="21239"/>
        <item h="1" x="21240"/>
        <item h="1" x="21241"/>
        <item h="1" x="21242"/>
        <item h="1" x="21243"/>
        <item h="1" x="21244"/>
        <item h="1" x="21245"/>
        <item h="1" x="21246"/>
        <item h="1" x="21247"/>
        <item h="1" x="21248"/>
        <item h="1" x="21249"/>
        <item h="1" x="21250"/>
        <item h="1" x="21251"/>
        <item h="1" x="21252"/>
        <item h="1" x="21253"/>
        <item h="1" x="21254"/>
        <item h="1" x="21255"/>
        <item h="1" x="21256"/>
        <item h="1" x="21257"/>
        <item h="1" x="21258"/>
        <item h="1" x="21259"/>
        <item h="1" x="21260"/>
        <item h="1" x="21261"/>
        <item h="1" x="21262"/>
        <item h="1" x="21263"/>
        <item h="1" x="21264"/>
        <item h="1" x="21265"/>
        <item h="1" x="21266"/>
        <item h="1" x="21267"/>
        <item h="1" x="21268"/>
        <item h="1" x="21269"/>
        <item h="1" x="21270"/>
        <item h="1" x="21271"/>
        <item h="1" x="21272"/>
        <item h="1" x="21273"/>
        <item h="1" x="21274"/>
        <item h="1" x="21275"/>
        <item h="1" x="21276"/>
        <item h="1" x="21277"/>
        <item h="1" x="21278"/>
        <item h="1" x="21279"/>
        <item h="1" x="21280"/>
        <item h="1" x="21281"/>
        <item h="1" x="21282"/>
        <item h="1" x="21283"/>
        <item h="1" x="21284"/>
        <item h="1" x="21285"/>
        <item h="1" x="21286"/>
        <item h="1" x="21287"/>
        <item h="1" x="21288"/>
        <item h="1" x="21289"/>
        <item h="1" x="21290"/>
        <item h="1" x="21291"/>
        <item h="1" x="21292"/>
        <item h="1" x="21293"/>
        <item h="1" x="21294"/>
        <item h="1" x="21295"/>
        <item h="1" x="21296"/>
        <item h="1" x="21297"/>
        <item h="1" x="21298"/>
        <item h="1" x="21299"/>
        <item h="1" x="21300"/>
        <item h="1" x="21301"/>
        <item h="1" x="21302"/>
        <item h="1" x="21303"/>
        <item h="1" x="21304"/>
        <item h="1" x="21305"/>
        <item h="1" x="21306"/>
        <item h="1" x="21307"/>
        <item h="1" x="21308"/>
        <item h="1" x="21309"/>
        <item h="1" x="21310"/>
        <item h="1" x="21311"/>
        <item h="1" x="21312"/>
        <item h="1" x="21313"/>
        <item h="1" x="21314"/>
        <item h="1" x="21315"/>
        <item h="1" x="21316"/>
        <item h="1" x="21317"/>
        <item h="1" x="21318"/>
        <item h="1" x="21319"/>
        <item h="1" x="21320"/>
        <item h="1" x="21321"/>
        <item h="1" x="21322"/>
        <item h="1" x="21323"/>
        <item h="1" x="21324"/>
        <item h="1" x="21325"/>
        <item h="1" x="21326"/>
        <item h="1" x="21327"/>
        <item h="1" x="21328"/>
        <item h="1" x="21329"/>
        <item h="1" x="21330"/>
        <item h="1" x="21331"/>
        <item h="1" x="21332"/>
        <item h="1" x="21333"/>
        <item h="1" x="21334"/>
        <item h="1" x="21335"/>
        <item h="1" x="21336"/>
        <item h="1" x="21337"/>
        <item h="1" x="21338"/>
        <item h="1" x="21339"/>
        <item h="1" x="21340"/>
        <item h="1" x="21341"/>
        <item h="1" x="21342"/>
        <item h="1" x="21343"/>
        <item h="1" x="21344"/>
        <item h="1" x="21345"/>
        <item h="1" x="21346"/>
        <item h="1" x="21347"/>
        <item h="1" x="21348"/>
        <item h="1" x="21349"/>
        <item h="1" x="21350"/>
        <item h="1" x="21351"/>
        <item h="1" x="21352"/>
        <item h="1" x="21353"/>
        <item h="1" x="21354"/>
        <item h="1" x="21355"/>
        <item h="1" x="21356"/>
        <item h="1" x="21357"/>
        <item h="1" x="21358"/>
        <item h="1" x="21359"/>
        <item h="1" x="21360"/>
        <item h="1" x="21361"/>
        <item h="1" x="21362"/>
        <item h="1" x="21363"/>
        <item h="1" x="21364"/>
        <item h="1" x="21365"/>
        <item h="1" x="21366"/>
        <item h="1" x="21367"/>
        <item h="1" x="21368"/>
        <item h="1" x="21369"/>
        <item h="1" x="21370"/>
        <item h="1" x="21371"/>
        <item h="1" x="21372"/>
        <item h="1" x="21373"/>
        <item h="1" x="21374"/>
        <item h="1" x="21375"/>
        <item h="1" x="21376"/>
        <item h="1" x="21377"/>
        <item h="1" x="21378"/>
        <item h="1" x="21379"/>
        <item h="1" x="21380"/>
        <item h="1" x="21381"/>
        <item h="1" x="21382"/>
        <item h="1" x="21383"/>
        <item h="1" x="21384"/>
        <item h="1" x="21385"/>
        <item h="1" x="21386"/>
        <item h="1" x="21387"/>
        <item h="1" x="21388"/>
        <item h="1" x="21389"/>
        <item h="1" x="21390"/>
        <item h="1" x="21391"/>
        <item h="1" x="21392"/>
        <item h="1" x="21393"/>
        <item h="1" x="21394"/>
        <item h="1" x="21395"/>
        <item h="1" x="21396"/>
        <item h="1" x="21397"/>
        <item h="1" x="21398"/>
        <item h="1" x="21399"/>
        <item h="1" x="21400"/>
        <item h="1" x="21401"/>
        <item h="1" x="21402"/>
        <item h="1" x="21403"/>
        <item h="1" x="21404"/>
        <item h="1" x="21405"/>
        <item h="1" x="21406"/>
        <item h="1" x="21407"/>
        <item h="1" x="21408"/>
        <item h="1" x="21409"/>
        <item h="1" x="21410"/>
        <item h="1" x="21411"/>
        <item h="1" x="21412"/>
        <item h="1" x="21413"/>
        <item h="1" x="21414"/>
        <item h="1" x="21415"/>
        <item h="1" x="21416"/>
        <item h="1" x="21417"/>
        <item h="1" x="21418"/>
        <item h="1" x="21419"/>
        <item h="1" x="21420"/>
        <item h="1" x="21421"/>
        <item h="1" x="21422"/>
        <item h="1" x="21423"/>
        <item h="1" x="21424"/>
        <item h="1" x="21425"/>
        <item h="1" x="21426"/>
        <item h="1" x="21427"/>
        <item h="1" x="21428"/>
        <item h="1" x="21429"/>
        <item h="1" x="21430"/>
        <item h="1" x="21431"/>
        <item h="1" x="21432"/>
        <item h="1" x="21433"/>
        <item h="1" x="21434"/>
        <item h="1" x="21435"/>
        <item h="1" x="21436"/>
        <item h="1" x="21437"/>
        <item h="1" x="21438"/>
        <item h="1" x="21439"/>
        <item h="1" x="21440"/>
        <item h="1" x="21441"/>
        <item h="1" x="21442"/>
        <item h="1" x="21443"/>
        <item h="1" x="21444"/>
        <item h="1" x="21445"/>
        <item h="1" x="21446"/>
        <item h="1" x="21447"/>
        <item h="1" x="21448"/>
        <item h="1" x="21449"/>
        <item h="1" x="21450"/>
        <item h="1" x="21451"/>
        <item h="1" x="21452"/>
        <item h="1" x="21453"/>
        <item h="1" x="21454"/>
        <item h="1" x="21455"/>
        <item h="1" x="21456"/>
        <item h="1" x="21457"/>
        <item h="1" x="21458"/>
        <item h="1" x="21459"/>
        <item h="1" x="21460"/>
        <item h="1" x="21461"/>
        <item h="1" x="21462"/>
        <item h="1" x="21463"/>
        <item h="1" x="21464"/>
        <item h="1" x="21465"/>
        <item h="1" x="21466"/>
        <item h="1" x="21467"/>
        <item h="1" x="21468"/>
        <item h="1" x="21469"/>
        <item h="1" x="21470"/>
        <item h="1" x="21471"/>
        <item h="1" x="21472"/>
        <item h="1" x="21473"/>
        <item h="1" x="21474"/>
        <item h="1" x="21475"/>
        <item h="1" x="21476"/>
        <item h="1" x="21477"/>
        <item h="1" x="21478"/>
        <item h="1" x="21479"/>
        <item h="1" x="21480"/>
        <item h="1" x="21481"/>
        <item h="1" x="21482"/>
        <item h="1" x="21483"/>
        <item h="1" x="21484"/>
        <item h="1" x="21485"/>
        <item h="1" x="21486"/>
        <item h="1" x="21487"/>
        <item h="1" x="21488"/>
        <item h="1" x="21489"/>
        <item h="1" x="21490"/>
        <item h="1" x="21491"/>
        <item h="1" x="21492"/>
        <item h="1" x="21493"/>
        <item h="1" x="21494"/>
        <item h="1" x="21495"/>
        <item h="1" x="21496"/>
        <item h="1" x="21497"/>
        <item h="1" x="21498"/>
        <item h="1" x="21499"/>
        <item h="1" x="21500"/>
        <item h="1" x="21501"/>
        <item h="1" x="21502"/>
        <item h="1" x="21503"/>
        <item h="1" x="21504"/>
        <item h="1" x="21505"/>
        <item h="1" x="21506"/>
        <item h="1" x="21507"/>
        <item h="1" x="21508"/>
        <item h="1" x="21509"/>
        <item h="1" x="21510"/>
        <item h="1" x="21511"/>
        <item h="1" x="21512"/>
        <item h="1" x="21513"/>
        <item h="1" x="21514"/>
        <item h="1" x="21515"/>
        <item h="1" x="21516"/>
        <item h="1" x="21517"/>
        <item h="1" x="21518"/>
        <item h="1" x="21519"/>
        <item h="1" x="21520"/>
        <item h="1" x="21521"/>
        <item h="1" x="21522"/>
        <item h="1" x="21523"/>
        <item h="1" x="21524"/>
        <item h="1" x="21525"/>
        <item h="1" x="21526"/>
        <item h="1" x="21527"/>
        <item h="1" x="21528"/>
        <item h="1" x="21529"/>
        <item h="1" x="21530"/>
        <item h="1" x="21531"/>
        <item h="1" x="21532"/>
        <item h="1" x="21533"/>
        <item h="1" x="21534"/>
        <item h="1" x="21535"/>
        <item h="1" x="21536"/>
        <item h="1" x="21537"/>
        <item h="1" x="21538"/>
        <item h="1" x="21539"/>
        <item h="1" x="21540"/>
        <item h="1" x="21541"/>
        <item h="1" x="21542"/>
        <item h="1" x="21543"/>
        <item h="1" x="21544"/>
        <item h="1" x="21545"/>
        <item h="1" x="21546"/>
        <item h="1" x="21547"/>
        <item h="1" x="21548"/>
        <item h="1" x="21549"/>
        <item h="1" x="21550"/>
        <item h="1" x="21551"/>
        <item h="1" x="21552"/>
        <item h="1" x="21553"/>
        <item h="1" x="21554"/>
        <item h="1" x="21555"/>
        <item h="1" x="21556"/>
        <item h="1" x="21557"/>
        <item h="1" x="21558"/>
        <item h="1" x="21559"/>
        <item h="1" x="21560"/>
        <item h="1" x="21561"/>
        <item h="1" x="21562"/>
        <item h="1" x="21563"/>
        <item h="1" x="21564"/>
        <item h="1" x="21565"/>
        <item h="1" x="21566"/>
        <item h="1" x="21567"/>
        <item h="1" x="21568"/>
        <item h="1" x="21569"/>
        <item h="1" x="21570"/>
        <item h="1" x="21571"/>
        <item h="1" x="21572"/>
        <item h="1" x="21573"/>
        <item h="1" x="21574"/>
        <item h="1" x="21575"/>
        <item h="1" x="21576"/>
        <item h="1" x="21577"/>
        <item h="1" x="21578"/>
        <item h="1" x="21579"/>
        <item h="1" x="21580"/>
        <item h="1" x="21581"/>
        <item h="1" x="21582"/>
        <item h="1" x="21583"/>
        <item h="1" x="21584"/>
        <item h="1" x="21585"/>
        <item h="1" x="21586"/>
        <item h="1" x="21587"/>
        <item h="1" x="21588"/>
        <item h="1" x="21589"/>
        <item h="1" x="21590"/>
        <item h="1" x="21591"/>
        <item h="1" x="21592"/>
        <item h="1" x="21593"/>
        <item h="1" x="21594"/>
        <item h="1" x="21595"/>
        <item h="1" x="21596"/>
        <item h="1" x="21597"/>
        <item h="1" x="21598"/>
        <item h="1" x="21599"/>
        <item h="1" x="21600"/>
        <item h="1" x="21601"/>
        <item h="1" x="21602"/>
        <item h="1" x="21603"/>
        <item h="1" x="21604"/>
        <item h="1" x="21605"/>
        <item h="1" x="21606"/>
        <item h="1" x="21607"/>
        <item h="1" x="21608"/>
        <item h="1" x="21609"/>
        <item h="1" x="21610"/>
        <item h="1" x="21611"/>
        <item h="1" x="21612"/>
        <item h="1" x="21613"/>
        <item h="1" x="21614"/>
        <item h="1" x="21615"/>
        <item h="1" x="21616"/>
        <item h="1" x="21617"/>
        <item h="1" x="21618"/>
        <item h="1" x="21619"/>
        <item h="1" x="21620"/>
        <item h="1" x="21621"/>
        <item h="1" x="21622"/>
        <item h="1" x="21623"/>
        <item h="1" x="21624"/>
        <item h="1" x="21625"/>
        <item h="1" x="21626"/>
        <item h="1" x="21627"/>
        <item h="1" x="21628"/>
        <item h="1" x="21629"/>
        <item h="1" x="21630"/>
        <item h="1" x="21631"/>
        <item h="1" x="21632"/>
        <item h="1" x="21633"/>
        <item h="1" x="21634"/>
        <item h="1" x="21635"/>
        <item h="1" x="21636"/>
        <item h="1" x="21637"/>
        <item h="1" x="21638"/>
        <item h="1" x="21639"/>
        <item h="1" x="21640"/>
        <item h="1" x="21641"/>
        <item h="1" x="21642"/>
        <item h="1" x="21643"/>
        <item h="1" x="21644"/>
        <item h="1" x="21645"/>
        <item h="1" x="21646"/>
        <item h="1" x="21647"/>
        <item h="1" x="21648"/>
        <item h="1" x="21649"/>
        <item h="1" x="21650"/>
        <item h="1" x="21651"/>
        <item h="1" x="21652"/>
        <item h="1" x="21653"/>
        <item h="1" x="21654"/>
        <item h="1" x="21655"/>
        <item h="1" x="21656"/>
        <item h="1" x="21657"/>
        <item h="1" x="21658"/>
        <item h="1" x="21659"/>
        <item h="1" x="21660"/>
        <item h="1" x="21661"/>
        <item h="1" x="21662"/>
        <item h="1" x="21663"/>
        <item h="1" x="21664"/>
        <item h="1" x="21665"/>
        <item h="1" x="21666"/>
        <item h="1" x="21667"/>
        <item h="1" x="21668"/>
        <item h="1" x="21669"/>
        <item h="1" x="21670"/>
        <item h="1" x="21671"/>
        <item h="1" x="21672"/>
        <item h="1" x="21673"/>
        <item h="1" x="21674"/>
        <item h="1" x="21675"/>
        <item h="1" x="21676"/>
        <item h="1" x="21677"/>
        <item h="1" x="21678"/>
        <item h="1" x="21679"/>
        <item h="1" x="21680"/>
        <item h="1" x="21681"/>
        <item h="1" x="21682"/>
        <item h="1" x="21683"/>
        <item h="1" x="21684"/>
        <item h="1" x="21685"/>
        <item h="1" x="21686"/>
        <item h="1" x="21687"/>
        <item h="1" x="21688"/>
        <item h="1" x="21689"/>
        <item h="1" x="21690"/>
        <item h="1" x="21691"/>
        <item h="1" x="21692"/>
        <item h="1" x="21693"/>
        <item h="1" x="21694"/>
        <item h="1" x="21695"/>
        <item h="1" x="21696"/>
        <item h="1" x="21697"/>
        <item h="1" x="21698"/>
        <item h="1" x="21699"/>
        <item h="1" x="21700"/>
        <item h="1" x="21701"/>
        <item h="1" x="21702"/>
        <item h="1" x="21703"/>
        <item h="1" x="21704"/>
        <item h="1" x="21705"/>
        <item h="1" x="21706"/>
        <item h="1" x="21707"/>
        <item h="1" x="21708"/>
        <item h="1" x="21709"/>
        <item h="1" x="21710"/>
        <item h="1" x="21711"/>
        <item h="1" x="21712"/>
        <item h="1" x="21713"/>
        <item h="1" x="21714"/>
        <item h="1" x="21715"/>
        <item h="1" x="21716"/>
        <item h="1" x="21717"/>
        <item h="1" x="21718"/>
        <item h="1" x="21719"/>
        <item h="1" x="21720"/>
        <item h="1" x="21721"/>
        <item h="1" x="21722"/>
        <item h="1" x="21723"/>
        <item h="1" x="21724"/>
        <item h="1" x="21725"/>
        <item h="1" x="21726"/>
        <item h="1" x="21727"/>
        <item h="1" x="21728"/>
        <item h="1" x="21729"/>
        <item h="1" x="21730"/>
        <item h="1" x="21731"/>
        <item h="1" x="21732"/>
        <item h="1" x="21733"/>
        <item h="1" x="21734"/>
        <item h="1" x="21735"/>
        <item h="1" x="21736"/>
        <item h="1" x="21737"/>
        <item h="1" x="21738"/>
        <item h="1" x="21739"/>
        <item h="1" x="21740"/>
        <item h="1" x="21741"/>
        <item h="1" x="21742"/>
        <item h="1" x="21743"/>
        <item h="1" x="21744"/>
        <item h="1" x="21745"/>
        <item h="1" x="21746"/>
        <item h="1" x="21747"/>
        <item h="1" x="21748"/>
        <item h="1" x="21749"/>
        <item h="1" x="21750"/>
        <item h="1" x="21751"/>
        <item h="1" x="21752"/>
        <item h="1" x="21753"/>
        <item h="1" x="21754"/>
        <item h="1" x="21755"/>
        <item h="1" x="21756"/>
        <item h="1" x="21757"/>
        <item h="1" x="21758"/>
        <item h="1" x="21759"/>
        <item h="1" x="21760"/>
        <item h="1" x="21761"/>
        <item h="1" x="21762"/>
        <item h="1" x="21763"/>
        <item h="1" x="21764"/>
        <item h="1" x="21765"/>
        <item h="1" x="21766"/>
        <item h="1" x="21767"/>
        <item h="1" x="21768"/>
        <item h="1" x="21769"/>
        <item h="1" x="21770"/>
        <item h="1" x="21771"/>
        <item h="1" x="21772"/>
        <item h="1" x="21773"/>
        <item h="1" x="21774"/>
        <item h="1" x="21775"/>
        <item h="1" x="21776"/>
        <item h="1" x="21777"/>
        <item h="1" x="21778"/>
        <item h="1" x="21779"/>
        <item h="1" x="21780"/>
        <item h="1" x="21781"/>
        <item h="1" x="21782"/>
        <item h="1" x="21783"/>
        <item h="1" x="21784"/>
        <item h="1" x="21785"/>
        <item h="1" x="21786"/>
        <item h="1" x="21787"/>
        <item h="1" x="21788"/>
        <item h="1" x="21789"/>
        <item h="1" x="21790"/>
        <item h="1" x="21791"/>
        <item h="1" x="21792"/>
        <item h="1" x="21793"/>
        <item h="1" x="21794"/>
        <item h="1" x="21795"/>
        <item h="1" x="21796"/>
        <item h="1" x="21797"/>
        <item h="1" x="21798"/>
        <item h="1" x="21799"/>
        <item h="1" x="21800"/>
        <item h="1" x="21801"/>
        <item h="1" x="21802"/>
        <item h="1" x="21803"/>
        <item h="1" x="21804"/>
        <item h="1" x="21805"/>
        <item h="1" x="21806"/>
        <item h="1" x="21807"/>
        <item h="1" x="21808"/>
        <item h="1" x="21809"/>
        <item h="1" x="21810"/>
        <item h="1" x="21811"/>
        <item h="1" x="21812"/>
        <item h="1" x="21813"/>
        <item h="1" x="21814"/>
        <item h="1" x="21815"/>
        <item h="1" x="21816"/>
        <item h="1" x="21817"/>
        <item h="1" x="21818"/>
        <item h="1" x="21819"/>
        <item h="1" x="21820"/>
        <item h="1" x="21821"/>
        <item h="1" x="21822"/>
        <item h="1" x="21823"/>
        <item h="1" x="21824"/>
        <item h="1" x="21825"/>
        <item h="1" x="21826"/>
        <item h="1" x="21827"/>
        <item h="1" x="21828"/>
        <item h="1" x="21829"/>
        <item h="1" x="21830"/>
        <item h="1" x="21831"/>
        <item h="1" x="21832"/>
        <item h="1" x="21833"/>
        <item h="1" x="21834"/>
        <item h="1" x="21835"/>
        <item h="1" x="21836"/>
        <item h="1" x="21837"/>
        <item h="1" x="21838"/>
        <item h="1" x="21839"/>
        <item h="1" x="21840"/>
        <item h="1" x="21841"/>
        <item h="1" x="21842"/>
        <item h="1" x="21843"/>
        <item h="1" x="21844"/>
        <item h="1" x="21845"/>
        <item h="1" x="21846"/>
        <item h="1" x="21847"/>
        <item h="1" x="21848"/>
        <item h="1" x="21849"/>
        <item h="1" x="21850"/>
        <item h="1" x="21851"/>
        <item h="1" x="21852"/>
        <item h="1" x="21853"/>
        <item h="1" x="21854"/>
        <item h="1" x="21855"/>
        <item h="1" x="21856"/>
        <item h="1" x="21857"/>
        <item h="1" x="21858"/>
        <item h="1" x="21859"/>
        <item h="1" x="21860"/>
        <item h="1" x="21861"/>
        <item h="1" x="21862"/>
        <item h="1" x="21863"/>
        <item h="1" x="21864"/>
        <item h="1" x="21865"/>
        <item h="1" x="21866"/>
        <item h="1" x="21867"/>
        <item h="1" x="21868"/>
        <item h="1" x="21869"/>
        <item h="1" x="21870"/>
        <item h="1" x="21871"/>
        <item h="1" x="21872"/>
        <item h="1" x="21873"/>
        <item h="1" x="21874"/>
        <item h="1" x="21875"/>
        <item h="1" x="21876"/>
        <item h="1" x="21877"/>
        <item h="1" x="21878"/>
        <item h="1" x="21879"/>
        <item h="1" x="21880"/>
        <item h="1" x="21881"/>
        <item h="1" x="21882"/>
        <item h="1" x="21883"/>
        <item h="1" x="21884"/>
        <item h="1" x="21885"/>
        <item h="1" x="21886"/>
        <item h="1" x="21887"/>
        <item h="1" x="21888"/>
        <item h="1" x="21889"/>
        <item h="1" x="21890"/>
        <item h="1" x="21891"/>
        <item h="1" x="21892"/>
        <item h="1" x="21893"/>
        <item h="1" x="21894"/>
        <item h="1" x="21895"/>
        <item h="1" x="21896"/>
        <item h="1" x="21897"/>
        <item h="1" x="21898"/>
        <item h="1" x="21899"/>
        <item h="1" x="21900"/>
        <item h="1" x="21901"/>
        <item h="1" x="21902"/>
        <item h="1" x="21903"/>
        <item h="1" x="21904"/>
        <item h="1" x="21905"/>
        <item h="1" x="21906"/>
        <item h="1" x="21907"/>
        <item h="1" x="21908"/>
        <item h="1" x="21909"/>
        <item h="1" x="21910"/>
        <item h="1" x="21911"/>
        <item h="1" x="21912"/>
        <item h="1" x="21913"/>
        <item h="1" x="21914"/>
        <item h="1" x="21915"/>
        <item h="1" x="21916"/>
        <item h="1" x="21917"/>
        <item h="1" x="21918"/>
        <item h="1" x="21919"/>
        <item h="1" x="21920"/>
        <item h="1" x="21921"/>
        <item h="1" x="21922"/>
        <item h="1" x="21923"/>
        <item h="1" x="21924"/>
        <item h="1" x="21925"/>
        <item h="1" x="21926"/>
        <item h="1" x="21927"/>
        <item h="1" x="21928"/>
        <item h="1" x="21929"/>
        <item h="1" x="21930"/>
        <item h="1" x="21931"/>
        <item h="1" x="21932"/>
        <item h="1" x="21933"/>
        <item h="1" x="21934"/>
        <item h="1" x="21935"/>
        <item h="1" x="21936"/>
        <item h="1" x="21937"/>
        <item h="1" x="21938"/>
        <item h="1" x="21939"/>
        <item h="1" x="21940"/>
        <item h="1" x="21941"/>
        <item h="1" x="21942"/>
        <item h="1" x="21943"/>
        <item h="1" x="21944"/>
        <item h="1" x="21945"/>
        <item h="1" x="21946"/>
        <item h="1" x="21947"/>
        <item h="1" x="21948"/>
        <item h="1" x="21949"/>
        <item h="1" x="21950"/>
        <item h="1" x="21951"/>
        <item h="1" x="21952"/>
        <item h="1" x="21953"/>
        <item h="1" x="21954"/>
        <item h="1" x="21955"/>
        <item h="1" x="21956"/>
        <item h="1" x="21957"/>
        <item h="1" x="21958"/>
        <item h="1" x="21959"/>
        <item h="1" x="21960"/>
        <item h="1" x="21961"/>
        <item h="1" x="21962"/>
        <item h="1" x="21963"/>
        <item h="1" x="21964"/>
        <item h="1" x="21965"/>
        <item h="1" x="21966"/>
        <item h="1" x="21967"/>
        <item h="1" x="21968"/>
        <item h="1" x="21969"/>
        <item h="1" x="21970"/>
        <item h="1" x="21971"/>
        <item h="1" x="21972"/>
        <item h="1" x="21973"/>
        <item h="1" x="21974"/>
        <item h="1" x="21975"/>
        <item h="1" x="21976"/>
        <item h="1" x="21977"/>
        <item h="1" x="21978"/>
        <item h="1" x="21979"/>
        <item h="1" x="21980"/>
        <item h="1" x="21981"/>
        <item h="1" x="21982"/>
        <item h="1" x="21983"/>
        <item h="1" x="21984"/>
        <item h="1" x="21985"/>
        <item h="1" x="21986"/>
        <item h="1" x="21987"/>
        <item h="1" x="21988"/>
        <item h="1" x="21989"/>
        <item h="1" x="21990"/>
        <item h="1" x="21991"/>
        <item h="1" x="21992"/>
        <item h="1" x="21993"/>
        <item h="1" x="21994"/>
        <item h="1" x="21995"/>
        <item h="1" x="21996"/>
        <item h="1" x="21997"/>
        <item h="1" x="21998"/>
        <item h="1" x="21999"/>
        <item h="1" x="22000"/>
        <item h="1" x="22001"/>
        <item h="1" x="22002"/>
        <item h="1" x="22003"/>
        <item h="1" x="22004"/>
        <item h="1" x="22005"/>
        <item h="1" x="22006"/>
        <item h="1" x="22007"/>
        <item h="1" x="22008"/>
        <item h="1" x="22009"/>
        <item h="1" x="22010"/>
        <item h="1" x="22011"/>
        <item h="1" x="22012"/>
        <item h="1" x="22013"/>
        <item h="1" x="22014"/>
        <item h="1" x="22015"/>
        <item h="1" x="22016"/>
        <item h="1" x="22017"/>
        <item h="1" x="22018"/>
        <item h="1" x="22019"/>
        <item h="1" x="22020"/>
        <item h="1" x="22021"/>
        <item h="1" x="22022"/>
        <item h="1" x="22023"/>
        <item h="1" x="22024"/>
        <item h="1" x="22025"/>
        <item h="1" x="22026"/>
        <item h="1" x="22027"/>
        <item h="1" x="22028"/>
        <item h="1" x="22029"/>
        <item h="1" x="22030"/>
        <item h="1" x="22031"/>
        <item h="1" x="22032"/>
        <item h="1" x="22033"/>
        <item h="1" x="22034"/>
        <item h="1" x="22035"/>
        <item h="1" x="22036"/>
        <item h="1" x="22037"/>
        <item h="1" x="22038"/>
        <item h="1" x="22039"/>
        <item h="1" x="22040"/>
        <item h="1" x="22041"/>
        <item h="1" x="22042"/>
        <item h="1" x="22043"/>
        <item h="1" x="22044"/>
        <item h="1" x="22045"/>
        <item h="1" x="22046"/>
        <item h="1" x="22047"/>
        <item h="1" x="22048"/>
        <item h="1" x="22049"/>
        <item h="1" x="22050"/>
        <item h="1" x="22051"/>
        <item h="1" x="22052"/>
        <item h="1" x="22053"/>
        <item h="1" x="22054"/>
        <item h="1" x="22055"/>
        <item h="1" x="22056"/>
        <item h="1" x="22057"/>
        <item h="1" x="22058"/>
        <item h="1" x="22059"/>
        <item h="1" x="22060"/>
        <item h="1" x="22061"/>
        <item h="1" x="22062"/>
        <item h="1" x="22063"/>
        <item h="1" x="22064"/>
        <item h="1" x="22065"/>
        <item h="1" x="22066"/>
        <item h="1" x="22067"/>
        <item h="1" x="22068"/>
        <item h="1" x="22069"/>
        <item h="1" x="22070"/>
        <item h="1" x="22071"/>
        <item h="1" x="22072"/>
        <item h="1" x="22073"/>
        <item h="1" x="22074"/>
        <item h="1" x="22075"/>
        <item h="1" x="22076"/>
        <item h="1" x="22077"/>
        <item h="1" x="22078"/>
        <item h="1" x="22079"/>
        <item h="1" x="22080"/>
        <item h="1" x="22081"/>
        <item h="1" x="22082"/>
        <item h="1" x="22083"/>
        <item h="1" x="22084"/>
        <item h="1" x="22085"/>
        <item h="1" x="22086"/>
        <item h="1" x="22087"/>
        <item h="1" x="22088"/>
        <item h="1" x="22089"/>
        <item h="1" x="22090"/>
        <item h="1" x="22091"/>
        <item h="1" x="22092"/>
        <item h="1" x="22093"/>
        <item h="1" x="22094"/>
        <item h="1" x="22095"/>
        <item h="1" x="22096"/>
        <item h="1" x="22097"/>
        <item h="1" x="22098"/>
        <item h="1" x="22099"/>
        <item h="1" x="22100"/>
        <item h="1" x="22101"/>
        <item h="1" x="22102"/>
        <item h="1" x="22103"/>
        <item h="1" x="22104"/>
        <item h="1" x="22105"/>
        <item h="1" x="22106"/>
        <item h="1" x="22107"/>
        <item h="1" x="22108"/>
        <item h="1" x="22109"/>
        <item h="1" x="22110"/>
        <item h="1" x="22111"/>
        <item h="1" x="22112"/>
        <item h="1" x="22113"/>
        <item h="1" x="22114"/>
        <item h="1" x="22115"/>
        <item h="1" x="22116"/>
        <item h="1" x="22117"/>
        <item h="1" x="22118"/>
        <item h="1" x="22119"/>
        <item h="1" x="22120"/>
        <item h="1" x="22121"/>
        <item h="1" x="22122"/>
        <item h="1" x="22123"/>
        <item h="1" x="22124"/>
        <item h="1" x="22125"/>
        <item h="1" x="22126"/>
        <item h="1" x="22127"/>
        <item h="1" x="22128"/>
        <item h="1" x="22129"/>
        <item h="1" x="22130"/>
        <item h="1" x="22131"/>
        <item h="1" x="22132"/>
        <item h="1" x="22133"/>
        <item h="1" x="22134"/>
        <item h="1" x="22135"/>
        <item h="1" x="22136"/>
        <item h="1" x="22137"/>
        <item h="1" x="22138"/>
        <item h="1" x="22139"/>
        <item h="1" x="22140"/>
        <item h="1" x="22141"/>
        <item h="1" x="22142"/>
        <item h="1" x="22143"/>
        <item h="1" x="22144"/>
        <item h="1" x="22145"/>
        <item h="1" x="22146"/>
        <item h="1" x="22147"/>
        <item h="1" x="22148"/>
        <item h="1" x="22149"/>
        <item h="1" x="22150"/>
        <item h="1" x="22151"/>
        <item h="1" x="22152"/>
        <item h="1" x="22153"/>
        <item h="1" x="22154"/>
        <item h="1" x="22155"/>
        <item h="1" x="22156"/>
        <item h="1" x="22157"/>
        <item h="1" x="22158"/>
        <item h="1" x="22159"/>
        <item h="1" x="22160"/>
        <item h="1" x="22161"/>
        <item h="1" x="22162"/>
        <item h="1" x="22163"/>
        <item h="1" x="22164"/>
        <item h="1" x="22165"/>
        <item h="1" x="22166"/>
        <item h="1" x="22167"/>
        <item h="1" x="22168"/>
        <item h="1" x="22169"/>
        <item h="1" x="22170"/>
        <item h="1" x="22171"/>
        <item h="1" x="22172"/>
        <item h="1" x="22173"/>
        <item h="1" x="22174"/>
        <item h="1" x="22175"/>
        <item h="1" x="22176"/>
        <item h="1" x="22177"/>
        <item h="1" x="22178"/>
        <item h="1" x="22179"/>
        <item h="1" x="22180"/>
        <item h="1" x="22181"/>
        <item h="1" x="22182"/>
        <item h="1" x="22183"/>
        <item h="1" x="22184"/>
        <item h="1" x="22185"/>
        <item h="1" x="22186"/>
        <item h="1" x="22187"/>
        <item h="1" x="22188"/>
        <item h="1" x="22189"/>
        <item h="1" x="22190"/>
        <item h="1" x="22191"/>
        <item h="1" x="22192"/>
        <item h="1" x="22193"/>
        <item h="1" x="22194"/>
        <item h="1" x="22195"/>
        <item h="1" x="22196"/>
        <item h="1" x="22197"/>
        <item h="1" x="22198"/>
        <item h="1" x="22199"/>
        <item h="1" x="22200"/>
        <item h="1" x="22201"/>
        <item h="1" x="22202"/>
        <item h="1" x="22203"/>
        <item h="1" x="22204"/>
        <item h="1" x="22205"/>
        <item h="1" x="22206"/>
        <item h="1" x="22207"/>
        <item h="1" x="22208"/>
        <item h="1" x="22209"/>
        <item h="1" x="22210"/>
        <item h="1" x="22211"/>
        <item h="1" x="22212"/>
        <item h="1" x="22213"/>
        <item h="1" x="22214"/>
        <item h="1" x="22215"/>
        <item h="1" x="22216"/>
        <item h="1" x="22217"/>
        <item h="1" x="22218"/>
        <item h="1" x="22219"/>
        <item h="1" x="22220"/>
        <item h="1" x="22221"/>
        <item h="1" x="22222"/>
        <item h="1" x="22223"/>
        <item h="1" x="22224"/>
        <item h="1" x="22225"/>
        <item h="1" x="22226"/>
        <item h="1" x="22227"/>
        <item h="1" x="22228"/>
        <item h="1" x="22229"/>
        <item h="1" x="22230"/>
        <item h="1" x="22231"/>
        <item h="1" x="22232"/>
        <item h="1" x="22233"/>
        <item h="1" x="22234"/>
        <item h="1" x="22235"/>
        <item h="1" x="22236"/>
        <item h="1" x="22237"/>
        <item h="1" x="22238"/>
        <item h="1" x="22239"/>
        <item h="1" x="22240"/>
        <item h="1" x="22241"/>
        <item h="1" x="22242"/>
        <item h="1" x="22243"/>
        <item h="1" x="22244"/>
        <item h="1" x="22245"/>
        <item h="1" x="22246"/>
        <item h="1" x="22247"/>
        <item h="1" x="22248"/>
        <item h="1" x="22249"/>
        <item h="1" x="22250"/>
        <item h="1" x="22251"/>
        <item h="1" x="22252"/>
        <item h="1" x="22253"/>
        <item h="1" x="22254"/>
        <item h="1" x="22255"/>
        <item h="1" x="22256"/>
        <item h="1" x="22257"/>
        <item h="1" x="22258"/>
        <item h="1" x="22259"/>
        <item h="1" x="22260"/>
        <item h="1" x="22261"/>
        <item h="1" x="22262"/>
        <item h="1" x="22263"/>
        <item h="1" x="22264"/>
        <item h="1" x="22265"/>
        <item h="1" x="22266"/>
        <item h="1" x="22267"/>
        <item h="1" x="22268"/>
        <item h="1" x="22269"/>
        <item h="1" x="22270"/>
        <item h="1" x="22271"/>
        <item h="1" x="22272"/>
        <item h="1" x="22273"/>
        <item h="1" x="22274"/>
        <item h="1" x="22275"/>
        <item h="1" x="22276"/>
        <item h="1" x="22277"/>
        <item h="1" x="22278"/>
        <item h="1" x="22279"/>
        <item h="1" x="22280"/>
        <item h="1" x="22281"/>
        <item h="1" x="22282"/>
        <item h="1" x="22283"/>
        <item h="1" x="22284"/>
        <item h="1" x="22285"/>
        <item h="1" x="22286"/>
        <item h="1" x="22287"/>
        <item h="1" x="22288"/>
        <item h="1" x="22289"/>
        <item h="1" x="22290"/>
        <item h="1" x="22291"/>
        <item h="1" x="22292"/>
        <item h="1" x="22293"/>
        <item h="1" x="22294"/>
        <item h="1" x="22295"/>
        <item h="1" x="22296"/>
        <item h="1" x="22297"/>
        <item h="1" x="22298"/>
        <item h="1" x="22299"/>
        <item h="1" x="22300"/>
        <item h="1" x="22301"/>
        <item h="1" x="22302"/>
        <item h="1" x="22303"/>
        <item h="1" x="22304"/>
        <item h="1" x="22305"/>
        <item h="1" x="22306"/>
        <item h="1" x="22307"/>
        <item h="1" x="22308"/>
        <item h="1" x="22309"/>
        <item h="1" x="22310"/>
        <item h="1" x="22311"/>
        <item h="1" x="22312"/>
        <item h="1" x="22313"/>
        <item h="1" x="22314"/>
        <item h="1" x="22315"/>
        <item h="1" x="22316"/>
        <item h="1" x="22317"/>
        <item h="1" x="22318"/>
        <item h="1" x="22319"/>
        <item h="1" x="22320"/>
        <item h="1" x="22321"/>
        <item h="1" x="22322"/>
        <item h="1" x="22323"/>
        <item h="1" x="22324"/>
        <item h="1" x="22325"/>
        <item h="1" x="22326"/>
        <item h="1" x="22327"/>
        <item h="1" x="22328"/>
        <item h="1" x="22329"/>
        <item h="1" x="22330"/>
        <item h="1" x="22331"/>
        <item h="1" x="22332"/>
        <item h="1" x="22333"/>
        <item h="1" x="22334"/>
        <item h="1" x="22335"/>
        <item h="1" x="22336"/>
        <item h="1" x="22337"/>
        <item h="1" x="22338"/>
        <item h="1" x="22339"/>
        <item h="1" x="22340"/>
        <item h="1" x="22341"/>
        <item h="1" x="22342"/>
        <item h="1" x="22343"/>
        <item h="1" x="22344"/>
        <item h="1" x="22345"/>
        <item h="1" x="22346"/>
        <item h="1" x="22347"/>
        <item h="1" x="22348"/>
        <item h="1" x="22349"/>
        <item h="1" x="22350"/>
        <item h="1" x="22351"/>
        <item h="1" x="22352"/>
        <item h="1" x="22353"/>
        <item h="1" x="22354"/>
        <item h="1" x="22355"/>
        <item h="1" x="22356"/>
        <item h="1" x="22357"/>
        <item h="1" x="22358"/>
        <item h="1" x="22359"/>
        <item h="1" x="22360"/>
        <item h="1" x="22361"/>
        <item h="1" x="22362"/>
        <item h="1" x="22363"/>
        <item h="1" x="22364"/>
        <item h="1" x="22365"/>
        <item h="1" x="22366"/>
        <item h="1" x="22367"/>
        <item h="1" x="22368"/>
        <item h="1" x="22369"/>
        <item h="1" x="22370"/>
        <item h="1" x="22371"/>
        <item h="1" x="22372"/>
        <item h="1" x="22373"/>
        <item h="1" x="22374"/>
        <item h="1" x="22375"/>
        <item h="1" x="22376"/>
        <item h="1" x="22377"/>
        <item h="1" x="22378"/>
        <item h="1" x="22379"/>
        <item h="1" x="22380"/>
        <item h="1" x="22381"/>
        <item h="1" x="22382"/>
        <item h="1" x="22383"/>
        <item h="1" x="22384"/>
        <item h="1" x="22385"/>
        <item h="1" x="22386"/>
        <item h="1" x="22387"/>
        <item h="1" x="22388"/>
        <item h="1" x="22389"/>
        <item h="1" x="22390"/>
        <item h="1" x="22391"/>
        <item h="1" x="22392"/>
        <item h="1" x="22393"/>
        <item h="1" x="22394"/>
        <item h="1" x="22395"/>
        <item h="1" x="22396"/>
        <item h="1" x="22397"/>
        <item h="1" x="22398"/>
        <item h="1" x="22399"/>
        <item h="1" x="22400"/>
        <item h="1" x="22401"/>
        <item h="1" x="22402"/>
        <item h="1" x="22403"/>
        <item h="1" x="22404"/>
        <item h="1" x="22405"/>
        <item h="1" x="22406"/>
        <item h="1" x="22407"/>
        <item h="1" x="22408"/>
        <item h="1" x="22409"/>
        <item h="1" x="22410"/>
        <item h="1" x="22411"/>
        <item h="1" x="22412"/>
        <item h="1" x="22413"/>
        <item h="1" x="22414"/>
        <item h="1" x="22415"/>
        <item h="1" x="22416"/>
        <item h="1" x="22417"/>
        <item h="1" x="22418"/>
        <item h="1" x="22419"/>
        <item h="1" x="22420"/>
        <item h="1" x="22421"/>
        <item h="1" x="22422"/>
        <item h="1" x="22423"/>
        <item h="1" x="22424"/>
        <item h="1" x="22425"/>
        <item h="1" x="22426"/>
        <item h="1" x="22427"/>
        <item h="1" x="22428"/>
        <item h="1" x="22429"/>
        <item h="1" x="22430"/>
        <item h="1" x="22431"/>
        <item h="1" x="22432"/>
        <item h="1" x="22433"/>
        <item h="1" x="22434"/>
        <item h="1" x="22435"/>
        <item h="1" x="22436"/>
        <item h="1" x="22437"/>
        <item h="1" x="22438"/>
        <item h="1" x="22439"/>
        <item h="1" x="22440"/>
        <item h="1" x="22441"/>
        <item h="1" x="22442"/>
        <item h="1" x="22443"/>
        <item h="1" x="22444"/>
        <item h="1" x="22445"/>
        <item h="1" x="22446"/>
        <item h="1" x="22447"/>
        <item h="1" x="22448"/>
        <item h="1" x="22449"/>
        <item h="1" x="22450"/>
        <item h="1" x="22451"/>
        <item h="1" x="22452"/>
        <item h="1" x="22453"/>
        <item h="1" x="22454"/>
        <item h="1" x="22455"/>
        <item h="1" x="22456"/>
        <item h="1" x="22457"/>
        <item h="1" x="22458"/>
        <item h="1" x="22459"/>
        <item h="1" x="22460"/>
        <item h="1" x="22461"/>
        <item h="1" x="22462"/>
        <item h="1" x="22463"/>
        <item h="1" x="22464"/>
        <item h="1" x="22465"/>
        <item h="1" x="22466"/>
        <item h="1" x="22467"/>
        <item h="1" x="22468"/>
        <item h="1" x="22469"/>
        <item h="1" x="22470"/>
        <item h="1" x="22471"/>
        <item h="1" x="22472"/>
        <item h="1" x="22473"/>
        <item h="1" x="22474"/>
        <item h="1" x="22475"/>
        <item h="1" x="22476"/>
        <item h="1" x="22477"/>
        <item h="1" x="22478"/>
        <item h="1" x="22479"/>
        <item h="1" x="22480"/>
        <item h="1" x="22481"/>
        <item h="1" x="22482"/>
        <item h="1" x="22483"/>
        <item h="1" x="22484"/>
        <item h="1" x="22485"/>
        <item h="1" x="22486"/>
        <item h="1" x="22487"/>
        <item h="1" x="22488"/>
        <item h="1" x="22489"/>
        <item h="1" x="22490"/>
        <item h="1" x="22491"/>
        <item h="1" x="22492"/>
        <item h="1" x="22493"/>
        <item h="1" x="22494"/>
        <item h="1" x="22495"/>
        <item h="1" x="22496"/>
        <item h="1" x="22497"/>
        <item h="1" x="22498"/>
        <item h="1" x="22499"/>
        <item h="1" x="22500"/>
        <item h="1" x="22501"/>
        <item h="1" x="22502"/>
        <item h="1" x="22503"/>
        <item h="1" x="22504"/>
        <item h="1" x="22505"/>
        <item h="1" x="22506"/>
        <item h="1" x="22507"/>
        <item h="1" x="22508"/>
        <item h="1" x="22509"/>
        <item h="1" x="22510"/>
        <item h="1" x="22511"/>
        <item h="1" x="22512"/>
        <item h="1" x="22513"/>
        <item h="1" x="22514"/>
        <item h="1" x="22515"/>
        <item h="1" x="22516"/>
        <item h="1" x="22517"/>
        <item h="1" x="22518"/>
        <item h="1" x="22519"/>
        <item h="1" x="22520"/>
        <item h="1" x="22521"/>
        <item h="1" x="22522"/>
        <item h="1" x="22523"/>
        <item h="1" x="22524"/>
        <item h="1" x="22525"/>
        <item h="1" x="22526"/>
        <item h="1" x="22527"/>
        <item h="1" x="22528"/>
        <item h="1" x="22529"/>
        <item h="1" x="22530"/>
        <item h="1" x="22531"/>
        <item h="1" x="22532"/>
        <item h="1" x="22533"/>
        <item h="1" x="22534"/>
        <item h="1" x="22535"/>
        <item h="1" x="22536"/>
        <item h="1" x="22537"/>
        <item h="1" x="22538"/>
        <item h="1" x="22539"/>
        <item h="1" x="22540"/>
        <item h="1" x="22541"/>
        <item h="1" x="22542"/>
        <item h="1" x="22543"/>
        <item h="1" x="22544"/>
        <item h="1" x="22545"/>
        <item h="1" x="22546"/>
        <item h="1" x="22547"/>
        <item h="1" x="22548"/>
        <item h="1" x="22549"/>
        <item h="1" x="22550"/>
        <item h="1" x="22551"/>
        <item h="1" x="22552"/>
        <item h="1" x="22553"/>
        <item h="1" x="22554"/>
        <item h="1" x="22555"/>
        <item h="1" x="22556"/>
        <item h="1" x="22557"/>
        <item h="1" x="22558"/>
        <item h="1" x="22559"/>
        <item h="1" x="22560"/>
        <item h="1" x="22561"/>
        <item h="1" x="22562"/>
        <item h="1" x="22563"/>
        <item h="1" x="22564"/>
        <item h="1" x="22565"/>
        <item h="1" x="22566"/>
        <item h="1" x="22567"/>
        <item h="1" x="22568"/>
        <item h="1" x="22569"/>
        <item h="1" x="22570"/>
        <item h="1" x="22571"/>
        <item h="1" x="22572"/>
        <item h="1" x="22573"/>
        <item h="1" x="22574"/>
        <item h="1" x="22575"/>
        <item h="1" x="22576"/>
        <item h="1" x="22577"/>
        <item h="1" x="22578"/>
        <item h="1" x="22579"/>
        <item h="1" x="22580"/>
        <item h="1" x="22581"/>
        <item h="1" x="22582"/>
        <item h="1" x="22583"/>
        <item h="1" x="22584"/>
        <item h="1" x="22585"/>
        <item h="1" x="22586"/>
        <item h="1" x="22587"/>
        <item h="1" x="22588"/>
        <item h="1" x="22589"/>
        <item h="1" x="22590"/>
        <item h="1" x="22591"/>
        <item h="1" x="22592"/>
        <item h="1" x="22593"/>
        <item h="1" x="22594"/>
        <item h="1" x="22595"/>
        <item h="1" x="22596"/>
        <item h="1" x="22597"/>
        <item h="1" x="22598"/>
        <item h="1" x="22599"/>
        <item h="1" x="22600"/>
        <item h="1" x="22601"/>
        <item h="1" x="22602"/>
        <item h="1" x="22603"/>
        <item h="1" x="22604"/>
        <item h="1" x="22605"/>
        <item h="1" x="22606"/>
        <item h="1" x="22607"/>
        <item h="1" x="22608"/>
        <item h="1" x="22609"/>
        <item h="1" x="22610"/>
        <item h="1" x="22611"/>
        <item h="1" x="22612"/>
        <item h="1" x="22613"/>
        <item h="1" x="22614"/>
        <item h="1" x="22615"/>
        <item h="1" x="22616"/>
        <item h="1" x="22617"/>
        <item h="1" x="22618"/>
        <item h="1" x="22619"/>
        <item h="1" x="22620"/>
        <item h="1" x="22621"/>
        <item h="1" x="22622"/>
        <item h="1" x="22623"/>
        <item h="1" x="22624"/>
        <item h="1" x="22625"/>
        <item h="1" x="22626"/>
        <item h="1" x="22627"/>
        <item h="1" x="22628"/>
        <item h="1" x="22629"/>
        <item h="1" x="22630"/>
        <item h="1" x="22631"/>
        <item h="1" x="22632"/>
        <item h="1" x="22633"/>
        <item h="1" x="22634"/>
        <item h="1" x="22635"/>
        <item h="1" x="22636"/>
        <item h="1" x="22637"/>
        <item h="1" x="22638"/>
        <item h="1" x="22639"/>
        <item h="1" x="22640"/>
        <item h="1" x="22641"/>
        <item h="1" x="22642"/>
        <item h="1" x="22643"/>
        <item h="1" x="22644"/>
        <item h="1" x="22645"/>
        <item h="1" x="22646"/>
        <item h="1" x="22647"/>
        <item h="1" x="22648"/>
        <item h="1" x="22649"/>
        <item h="1" x="22650"/>
        <item h="1" x="22651"/>
        <item h="1" x="22652"/>
        <item h="1" x="22653"/>
        <item h="1" x="22654"/>
        <item h="1" x="22655"/>
        <item h="1" x="22656"/>
        <item h="1" x="22657"/>
        <item h="1" x="22658"/>
        <item h="1" x="22659"/>
        <item h="1" x="22660"/>
        <item h="1" x="22661"/>
        <item h="1" x="22662"/>
        <item h="1" x="22663"/>
        <item h="1" x="22664"/>
        <item h="1" x="22665"/>
        <item h="1" x="22666"/>
        <item h="1" x="22667"/>
        <item h="1" x="22668"/>
        <item h="1" x="22669"/>
        <item h="1" x="22670"/>
        <item h="1" x="22671"/>
        <item h="1" x="22672"/>
        <item h="1" x="22673"/>
        <item h="1" x="22674"/>
        <item h="1" x="22675"/>
        <item h="1" x="22676"/>
        <item h="1" x="22677"/>
        <item h="1" x="22678"/>
        <item h="1" x="22679"/>
        <item h="1" x="22680"/>
        <item h="1" x="22681"/>
        <item h="1" x="22682"/>
        <item h="1" x="22683"/>
        <item h="1" x="22684"/>
        <item h="1" x="22685"/>
        <item h="1" x="22686"/>
        <item h="1" x="22687"/>
        <item h="1" x="22688"/>
        <item h="1" x="22689"/>
        <item h="1" x="22690"/>
        <item h="1" x="22691"/>
        <item h="1" x="22692"/>
        <item h="1" x="22693"/>
        <item h="1" x="22694"/>
        <item h="1" x="22695"/>
        <item h="1" x="22696"/>
        <item h="1" x="22697"/>
        <item h="1" x="22698"/>
        <item h="1" x="22699"/>
        <item h="1" x="22700"/>
        <item h="1" x="22701"/>
        <item h="1" x="22702"/>
        <item h="1" x="22703"/>
        <item h="1" x="22704"/>
        <item h="1" x="22705"/>
        <item h="1" x="22706"/>
        <item h="1" x="22707"/>
        <item h="1" x="22708"/>
        <item h="1" x="22709"/>
        <item h="1" x="22710"/>
        <item h="1" x="22711"/>
        <item h="1" x="22712"/>
        <item h="1" x="22713"/>
        <item h="1" x="22714"/>
        <item h="1" x="22715"/>
        <item h="1" x="22716"/>
        <item h="1" x="22717"/>
        <item h="1" x="22718"/>
        <item h="1" x="22719"/>
        <item h="1" x="22720"/>
        <item h="1" x="22721"/>
        <item h="1" x="22722"/>
        <item h="1" x="22723"/>
        <item h="1" x="22724"/>
        <item h="1" x="22725"/>
        <item h="1" x="22726"/>
        <item h="1" x="22727"/>
        <item h="1" x="22728"/>
        <item h="1" x="22729"/>
        <item h="1" x="22730"/>
        <item h="1" x="22731"/>
        <item h="1" x="22732"/>
        <item h="1" x="22733"/>
        <item h="1" x="22734"/>
        <item h="1" x="22735"/>
        <item h="1" x="22736"/>
        <item h="1" x="22737"/>
        <item h="1" x="22738"/>
        <item h="1" x="22739"/>
        <item h="1" x="22740"/>
        <item h="1" x="22741"/>
        <item h="1" x="22742"/>
        <item h="1" x="22743"/>
        <item h="1" x="22744"/>
        <item h="1" x="22745"/>
        <item h="1" x="22746"/>
        <item h="1" x="22747"/>
        <item h="1" x="22748"/>
        <item h="1" x="22749"/>
        <item h="1" x="22750"/>
        <item h="1" x="22751"/>
        <item h="1" x="22752"/>
        <item h="1" x="22753"/>
        <item h="1" x="22754"/>
        <item h="1" x="22755"/>
        <item h="1" x="22756"/>
        <item h="1" x="22757"/>
        <item h="1" x="22758"/>
        <item h="1" x="22759"/>
        <item h="1" x="22760"/>
        <item h="1" x="22761"/>
        <item h="1" x="22762"/>
        <item h="1" x="22763"/>
        <item h="1" x="22764"/>
        <item h="1" x="22765"/>
        <item h="1" x="22766"/>
        <item h="1" x="22767"/>
        <item h="1" x="22768"/>
        <item h="1" x="22769"/>
        <item h="1" x="22770"/>
        <item h="1" x="22771"/>
        <item h="1" x="22772"/>
        <item h="1" x="22773"/>
        <item h="1" x="22774"/>
        <item h="1" x="22775"/>
        <item h="1" x="22776"/>
        <item h="1" x="22777"/>
        <item h="1" x="22778"/>
        <item h="1" x="22779"/>
        <item h="1" x="22780"/>
        <item h="1" x="22781"/>
        <item h="1" x="22782"/>
        <item h="1" x="22783"/>
        <item h="1" x="22784"/>
        <item h="1" x="22785"/>
        <item h="1" x="22786"/>
        <item h="1" x="22787"/>
        <item h="1" x="22788"/>
        <item h="1" x="22789"/>
        <item h="1" x="22790"/>
        <item h="1" x="22791"/>
        <item h="1" x="22792"/>
        <item h="1" x="22793"/>
        <item h="1" x="22794"/>
        <item h="1" x="22795"/>
        <item h="1" x="22796"/>
        <item h="1" x="22797"/>
        <item h="1" x="22798"/>
        <item h="1" x="22799"/>
        <item h="1" x="22800"/>
        <item h="1" x="22801"/>
        <item h="1" x="22802"/>
        <item h="1" x="22803"/>
        <item h="1" x="22804"/>
        <item h="1" x="22805"/>
        <item h="1" x="22806"/>
        <item h="1" x="22807"/>
        <item h="1" x="22808"/>
        <item h="1" x="22809"/>
        <item h="1" x="22810"/>
        <item h="1" x="22811"/>
        <item h="1" x="22812"/>
        <item h="1" x="22813"/>
        <item h="1" x="22814"/>
        <item h="1" x="22815"/>
        <item h="1" x="22816"/>
        <item h="1" x="22817"/>
        <item h="1" x="22818"/>
        <item h="1" x="22819"/>
        <item h="1" x="22820"/>
        <item h="1" x="22821"/>
        <item h="1" x="22822"/>
        <item h="1" x="22823"/>
        <item h="1" x="22824"/>
        <item h="1" x="22825"/>
        <item h="1" x="22826"/>
        <item h="1" x="22827"/>
        <item h="1" x="22828"/>
        <item h="1" x="22829"/>
        <item h="1" x="22830"/>
        <item h="1" x="22831"/>
        <item h="1" x="22832"/>
        <item h="1" x="22833"/>
        <item h="1" x="22834"/>
        <item h="1" x="22835"/>
        <item h="1" x="22836"/>
        <item h="1" x="22837"/>
        <item h="1" x="22838"/>
        <item h="1" x="22839"/>
        <item h="1" x="22840"/>
        <item h="1" x="22841"/>
        <item h="1" x="22842"/>
        <item h="1" x="22843"/>
        <item h="1" x="22844"/>
        <item h="1" x="22845"/>
        <item h="1" x="22846"/>
        <item h="1" x="22847"/>
        <item h="1" x="22848"/>
        <item h="1" x="22849"/>
        <item h="1" x="22850"/>
        <item h="1" x="22851"/>
        <item h="1" x="22852"/>
        <item h="1" x="22853"/>
        <item h="1" x="22854"/>
        <item h="1" x="22855"/>
        <item h="1" x="22856"/>
        <item h="1" x="22857"/>
        <item h="1" x="22858"/>
        <item h="1" x="22859"/>
        <item h="1" x="22860"/>
        <item h="1" x="22861"/>
        <item h="1" x="22862"/>
        <item h="1" x="22863"/>
        <item h="1" x="22864"/>
        <item h="1" x="22865"/>
        <item h="1" x="22866"/>
        <item h="1" x="22867"/>
        <item h="1" x="22868"/>
        <item h="1" x="22869"/>
        <item h="1" x="22870"/>
        <item h="1" x="22871"/>
        <item h="1" x="22872"/>
        <item h="1" x="22873"/>
        <item h="1" x="22874"/>
        <item h="1" x="22875"/>
        <item h="1" x="22876"/>
        <item h="1" x="22877"/>
        <item h="1" x="22878"/>
        <item h="1" x="22879"/>
        <item h="1" x="22880"/>
        <item h="1" x="22881"/>
        <item h="1" x="22882"/>
        <item h="1" x="22883"/>
        <item h="1" x="22884"/>
        <item h="1" x="22885"/>
        <item h="1" x="22886"/>
        <item h="1" x="22887"/>
        <item h="1" x="22888"/>
        <item h="1" x="22889"/>
        <item h="1" x="22890"/>
        <item h="1" x="22891"/>
        <item h="1" x="22892"/>
        <item h="1" x="22893"/>
        <item h="1" x="22894"/>
        <item h="1" x="22895"/>
        <item h="1" x="22896"/>
        <item h="1" x="22897"/>
        <item h="1" x="22898"/>
        <item h="1" x="22899"/>
        <item h="1" x="22900"/>
        <item h="1" x="22901"/>
        <item h="1" x="22902"/>
        <item h="1" x="22903"/>
        <item h="1" x="22904"/>
        <item h="1" x="22905"/>
        <item h="1" x="22906"/>
        <item h="1" x="22907"/>
        <item h="1" x="22908"/>
        <item h="1" x="22909"/>
        <item h="1" x="22910"/>
        <item h="1" x="22911"/>
        <item h="1" x="22912"/>
        <item h="1" x="22913"/>
        <item h="1" x="22914"/>
        <item h="1" x="22915"/>
        <item h="1" x="22916"/>
        <item h="1" x="22917"/>
        <item h="1" x="22918"/>
        <item h="1" x="22919"/>
        <item h="1" x="22920"/>
        <item h="1" x="22921"/>
        <item h="1" x="22922"/>
        <item h="1" x="22923"/>
        <item h="1" x="22924"/>
        <item h="1" x="22925"/>
        <item h="1" x="22926"/>
        <item h="1" x="22927"/>
        <item h="1" x="22928"/>
        <item h="1" x="22929"/>
        <item h="1" x="22930"/>
        <item h="1" x="22931"/>
        <item h="1" x="22932"/>
        <item h="1" x="22933"/>
        <item h="1" x="22934"/>
        <item h="1" x="22935"/>
        <item h="1" x="22936"/>
        <item h="1" x="22937"/>
        <item h="1" x="22938"/>
        <item h="1" x="22939"/>
        <item h="1" x="22940"/>
        <item h="1" x="22941"/>
        <item h="1" x="22942"/>
        <item h="1" x="22943"/>
        <item h="1" x="22944"/>
        <item h="1" x="22945"/>
        <item h="1" x="22946"/>
        <item h="1" x="22947"/>
        <item h="1" x="22948"/>
        <item h="1" x="22949"/>
        <item h="1" x="22950"/>
        <item h="1" x="22951"/>
        <item h="1" x="22952"/>
        <item h="1" x="22953"/>
        <item h="1" x="22954"/>
        <item h="1" x="22955"/>
        <item h="1" x="22956"/>
        <item h="1" x="22957"/>
        <item h="1" x="22958"/>
        <item h="1" x="22959"/>
        <item h="1" x="22960"/>
        <item h="1" x="22961"/>
        <item h="1" x="22962"/>
        <item h="1" x="22963"/>
        <item h="1" x="22964"/>
        <item h="1" x="22965"/>
        <item h="1" x="22966"/>
        <item h="1" x="22967"/>
        <item h="1" x="22968"/>
        <item h="1" x="22969"/>
        <item h="1" x="22970"/>
        <item h="1" x="22971"/>
        <item h="1" x="22972"/>
        <item h="1" x="22973"/>
        <item h="1" x="22974"/>
        <item h="1" x="22975"/>
        <item h="1" x="22976"/>
        <item h="1" x="22977"/>
        <item h="1" x="22978"/>
        <item h="1" x="22979"/>
        <item h="1" x="22980"/>
        <item h="1" x="22981"/>
        <item h="1" x="22982"/>
        <item h="1" x="22983"/>
        <item h="1" x="22984"/>
        <item h="1" x="22985"/>
        <item h="1" x="22986"/>
        <item h="1" x="22987"/>
        <item h="1" x="22988"/>
        <item h="1" x="22989"/>
        <item h="1" x="22990"/>
        <item h="1" x="22991"/>
        <item h="1" x="22992"/>
        <item h="1" x="22993"/>
        <item h="1" x="22994"/>
        <item h="1" x="22995"/>
        <item h="1" x="22996"/>
        <item h="1" x="22997"/>
        <item h="1" x="22998"/>
        <item h="1" x="22999"/>
        <item h="1" x="23000"/>
        <item h="1" x="23001"/>
        <item h="1" x="23002"/>
        <item h="1" x="23003"/>
        <item h="1" x="23004"/>
        <item h="1" x="23005"/>
        <item h="1" x="23006"/>
        <item h="1" x="23007"/>
        <item h="1" x="23008"/>
        <item h="1" x="23009"/>
        <item h="1" x="23010"/>
        <item h="1" x="23011"/>
        <item h="1" x="23012"/>
        <item h="1" x="23013"/>
        <item h="1" x="23014"/>
        <item h="1" x="23015"/>
        <item h="1" x="23016"/>
        <item h="1" x="23017"/>
        <item h="1" x="23018"/>
        <item h="1" x="23019"/>
        <item h="1" x="23020"/>
        <item h="1" x="23021"/>
        <item h="1" x="23022"/>
        <item h="1" x="23023"/>
        <item h="1" x="23024"/>
        <item h="1" x="23025"/>
        <item h="1" x="23026"/>
        <item h="1" x="23027"/>
        <item h="1" x="23028"/>
        <item h="1" x="23029"/>
        <item h="1" x="23030"/>
        <item h="1" x="23031"/>
        <item h="1" x="23032"/>
        <item h="1" x="23033"/>
        <item h="1" x="23034"/>
        <item h="1" x="23035"/>
        <item h="1" x="23036"/>
        <item h="1" x="23037"/>
        <item h="1" x="23038"/>
        <item h="1" x="23039"/>
        <item h="1" x="23040"/>
        <item h="1" x="23041"/>
        <item h="1" x="23042"/>
        <item h="1" x="23043"/>
        <item h="1" x="23044"/>
        <item h="1" x="23045"/>
        <item h="1" x="23046"/>
        <item h="1" x="23047"/>
        <item h="1" x="23048"/>
        <item h="1" x="23049"/>
        <item h="1" x="23050"/>
        <item h="1" x="23051"/>
        <item h="1" x="23052"/>
        <item h="1" x="23053"/>
        <item h="1" x="23054"/>
        <item h="1" x="23055"/>
        <item h="1" x="23056"/>
        <item h="1" x="23057"/>
        <item h="1" x="23058"/>
        <item h="1" x="23059"/>
        <item h="1" x="23060"/>
        <item h="1" x="23061"/>
        <item h="1" x="23062"/>
        <item h="1" x="23063"/>
        <item h="1" x="23064"/>
        <item h="1" x="23065"/>
        <item h="1" x="23066"/>
        <item h="1" x="23067"/>
        <item h="1" x="23068"/>
        <item h="1" x="23069"/>
        <item h="1" x="23070"/>
        <item h="1" x="23071"/>
        <item h="1" x="23072"/>
        <item h="1" x="23073"/>
        <item h="1" x="23074"/>
        <item h="1" x="23075"/>
        <item h="1" x="23076"/>
        <item h="1" x="23077"/>
        <item h="1" x="23078"/>
        <item h="1" x="23079"/>
        <item h="1" x="23080"/>
        <item h="1" x="23081"/>
        <item h="1" x="23082"/>
        <item h="1" x="23083"/>
        <item h="1" x="23084"/>
        <item h="1" x="23085"/>
        <item h="1" x="23086"/>
        <item h="1" x="23087"/>
        <item h="1" x="23088"/>
        <item h="1" x="23089"/>
        <item h="1" x="23090"/>
        <item h="1" x="23091"/>
        <item h="1" x="23092"/>
        <item h="1" x="23093"/>
        <item h="1" x="23094"/>
        <item h="1" x="23095"/>
        <item h="1" x="23096"/>
        <item h="1" x="23097"/>
        <item h="1" x="23098"/>
        <item h="1" x="23099"/>
        <item h="1" x="23100"/>
        <item h="1" x="23101"/>
        <item h="1" x="23102"/>
        <item h="1" x="23103"/>
        <item h="1" x="23104"/>
        <item h="1" x="23105"/>
        <item h="1" x="23106"/>
        <item h="1" x="23107"/>
        <item h="1" x="23108"/>
        <item h="1" x="23109"/>
        <item h="1" x="23110"/>
        <item h="1" x="23111"/>
        <item h="1" x="23112"/>
        <item h="1" x="23113"/>
        <item h="1" x="23114"/>
        <item h="1" x="23115"/>
        <item h="1" x="23116"/>
        <item h="1" x="23117"/>
        <item h="1" x="23118"/>
        <item h="1" x="23119"/>
        <item h="1" x="23120"/>
        <item h="1" x="23121"/>
        <item h="1" x="23122"/>
        <item h="1" x="23123"/>
        <item h="1" x="23124"/>
        <item h="1" x="23125"/>
        <item h="1" x="23126"/>
        <item h="1" x="23127"/>
        <item h="1" x="23128"/>
        <item h="1" x="23129"/>
        <item h="1" x="23130"/>
        <item h="1" x="23131"/>
        <item h="1" x="23132"/>
        <item h="1" x="23133"/>
        <item h="1" x="23134"/>
        <item h="1" x="23135"/>
        <item h="1" x="23136"/>
        <item h="1" x="23137"/>
        <item h="1" x="23138"/>
        <item h="1" x="23139"/>
        <item h="1" x="23140"/>
        <item h="1" x="23141"/>
        <item h="1" x="23142"/>
        <item h="1" x="23143"/>
        <item h="1" x="23144"/>
        <item h="1" x="23145"/>
        <item h="1" x="23146"/>
        <item h="1" x="23147"/>
        <item h="1" x="23148"/>
        <item h="1" x="23149"/>
        <item h="1" x="23150"/>
        <item h="1" x="23151"/>
        <item h="1" x="23152"/>
        <item h="1" x="23153"/>
        <item h="1" x="23154"/>
        <item h="1" x="23155"/>
        <item h="1" x="23156"/>
        <item h="1" x="23157"/>
        <item h="1" x="23158"/>
        <item h="1" x="23159"/>
        <item h="1" x="23160"/>
        <item h="1" x="23161"/>
        <item h="1" x="23162"/>
        <item h="1" x="23163"/>
        <item h="1" x="23164"/>
        <item h="1" x="23165"/>
        <item h="1" x="23166"/>
        <item h="1" x="23167"/>
        <item h="1" x="23168"/>
        <item h="1" x="23169"/>
        <item h="1" x="23170"/>
        <item h="1" x="23171"/>
        <item h="1" x="23172"/>
        <item h="1" x="23173"/>
        <item h="1" x="23174"/>
        <item h="1" x="23175"/>
        <item h="1" x="23176"/>
        <item h="1" x="23177"/>
        <item h="1" x="23178"/>
        <item h="1" x="23179"/>
        <item h="1" x="23180"/>
        <item h="1" x="23181"/>
        <item h="1" x="23182"/>
        <item h="1" x="23183"/>
        <item h="1" x="23184"/>
        <item h="1" x="23185"/>
        <item h="1" x="23186"/>
        <item h="1" x="23187"/>
        <item h="1" x="23188"/>
        <item h="1" x="23189"/>
        <item h="1" x="23190"/>
        <item h="1" x="23191"/>
        <item h="1" x="23192"/>
        <item h="1" x="23193"/>
        <item h="1" x="23194"/>
        <item h="1" x="23195"/>
        <item h="1" x="23196"/>
        <item h="1" x="23197"/>
        <item h="1" x="23198"/>
        <item h="1" x="23199"/>
        <item h="1" x="23200"/>
        <item h="1" x="23201"/>
        <item h="1" x="23202"/>
        <item h="1" x="23203"/>
        <item h="1" x="23204"/>
        <item h="1" x="23205"/>
        <item h="1" x="23206"/>
        <item h="1" x="23207"/>
        <item h="1" x="23208"/>
        <item h="1" x="23209"/>
        <item h="1" x="23210"/>
        <item h="1" x="23211"/>
        <item h="1" x="23212"/>
        <item h="1" x="23213"/>
        <item h="1" x="23214"/>
        <item h="1" x="23215"/>
        <item h="1" x="23216"/>
        <item h="1" x="23217"/>
        <item h="1" x="23218"/>
        <item h="1" x="23219"/>
        <item h="1" x="23220"/>
        <item h="1" x="23221"/>
        <item h="1" x="23222"/>
        <item h="1" x="23223"/>
        <item h="1" x="23224"/>
        <item h="1" x="23225"/>
        <item h="1" x="23226"/>
        <item h="1" x="23227"/>
        <item h="1" x="23228"/>
        <item h="1" x="23229"/>
        <item h="1" x="23230"/>
        <item h="1" x="23231"/>
        <item h="1" x="23232"/>
        <item h="1" x="23233"/>
        <item h="1" x="23234"/>
        <item h="1" x="23235"/>
        <item h="1" x="23236"/>
        <item h="1" x="23237"/>
        <item h="1" x="23238"/>
        <item h="1" x="23239"/>
        <item h="1" x="23240"/>
        <item h="1" x="23241"/>
        <item h="1" x="23242"/>
        <item h="1" x="23243"/>
        <item h="1" x="23244"/>
        <item h="1" x="23245"/>
        <item h="1" x="23246"/>
        <item h="1" x="23247"/>
        <item h="1" x="23248"/>
        <item h="1" x="23249"/>
        <item h="1" x="23250"/>
        <item h="1" x="23251"/>
        <item h="1" x="23252"/>
        <item h="1" x="23253"/>
        <item h="1" x="23254"/>
        <item h="1" x="23255"/>
        <item h="1" x="23256"/>
        <item h="1" x="23257"/>
        <item h="1" x="23258"/>
        <item h="1" x="23259"/>
        <item h="1" x="23260"/>
        <item h="1" x="23261"/>
        <item h="1" x="23262"/>
        <item h="1" x="23263"/>
        <item h="1" x="23264"/>
        <item h="1" x="23265"/>
        <item h="1" x="23266"/>
        <item h="1" x="23267"/>
        <item h="1" x="23268"/>
        <item h="1" x="23269"/>
        <item h="1" x="23270"/>
        <item h="1" x="23271"/>
        <item h="1" x="23272"/>
        <item h="1" x="23273"/>
        <item h="1" x="23274"/>
        <item h="1" x="23275"/>
        <item h="1" x="23276"/>
        <item h="1" x="23277"/>
        <item h="1" x="23278"/>
        <item h="1" x="23279"/>
        <item h="1" x="23280"/>
        <item h="1" x="23281"/>
        <item h="1" x="23282"/>
        <item h="1" x="23283"/>
        <item h="1" x="23284"/>
        <item h="1" x="23285"/>
        <item h="1" x="23286"/>
        <item h="1" x="23287"/>
        <item h="1" x="23288"/>
        <item h="1" x="23289"/>
        <item h="1" x="23290"/>
        <item h="1" x="23291"/>
        <item h="1" x="23292"/>
        <item h="1" x="23293"/>
        <item h="1" x="23294"/>
        <item h="1" x="23295"/>
        <item h="1" x="23296"/>
        <item h="1" x="23297"/>
        <item h="1" x="23298"/>
        <item h="1" x="23299"/>
        <item h="1" x="23300"/>
        <item h="1" x="23301"/>
        <item h="1" x="23302"/>
        <item h="1" x="23303"/>
        <item h="1" x="23304"/>
        <item h="1" x="23305"/>
        <item h="1" x="23306"/>
        <item h="1" x="23307"/>
        <item h="1" x="23308"/>
        <item h="1" x="23309"/>
        <item h="1" x="23310"/>
        <item h="1" x="23311"/>
        <item h="1" x="23312"/>
        <item h="1" x="23313"/>
        <item h="1" x="23314"/>
        <item h="1" x="23315"/>
        <item h="1" x="23316"/>
        <item h="1" x="23317"/>
        <item h="1" x="23318"/>
        <item h="1" x="23319"/>
        <item h="1" x="23320"/>
        <item h="1" x="23321"/>
        <item h="1" x="23322"/>
        <item h="1" x="23323"/>
        <item h="1" x="23324"/>
        <item h="1" x="23325"/>
        <item h="1" x="23326"/>
        <item h="1" x="23327"/>
        <item h="1" x="23328"/>
        <item h="1" x="23329"/>
        <item h="1" x="23330"/>
        <item h="1" x="23331"/>
        <item h="1" x="23332"/>
        <item h="1" x="23333"/>
        <item h="1" x="23334"/>
        <item h="1" x="23335"/>
        <item h="1" x="23336"/>
        <item h="1" x="23337"/>
        <item h="1" x="23338"/>
        <item h="1" x="23339"/>
        <item h="1" x="23340"/>
        <item h="1" x="23341"/>
        <item h="1" x="23342"/>
        <item h="1" x="23343"/>
        <item h="1" x="23344"/>
        <item h="1" x="23345"/>
        <item h="1" x="23346"/>
        <item h="1" x="23347"/>
        <item h="1" x="23348"/>
        <item h="1" x="23349"/>
        <item h="1" x="23350"/>
        <item h="1" x="23351"/>
        <item h="1" x="23352"/>
        <item h="1" x="23353"/>
        <item h="1" x="23354"/>
        <item h="1" x="23355"/>
        <item h="1" x="23356"/>
        <item h="1" x="23357"/>
        <item h="1" x="23358"/>
        <item h="1" x="23359"/>
        <item h="1" x="23360"/>
        <item h="1" x="23361"/>
        <item h="1" x="23362"/>
        <item h="1" x="23363"/>
        <item h="1" x="23364"/>
        <item h="1" x="23365"/>
        <item h="1" x="23366"/>
        <item h="1" x="23367"/>
        <item h="1" x="23368"/>
        <item h="1" x="23369"/>
        <item h="1" x="23370"/>
        <item h="1" x="23371"/>
        <item h="1" x="23372"/>
        <item h="1" x="23373"/>
        <item h="1" x="23374"/>
        <item h="1" x="23375"/>
        <item h="1" x="23376"/>
        <item h="1" x="23377"/>
        <item h="1" x="23378"/>
        <item h="1" x="23379"/>
        <item h="1" x="23380"/>
        <item h="1" x="23381"/>
        <item h="1" x="23382"/>
        <item h="1" x="23383"/>
        <item h="1" x="23384"/>
        <item h="1" x="23385"/>
        <item h="1" x="23386"/>
        <item h="1" x="23387"/>
        <item h="1" x="23388"/>
        <item h="1" x="23389"/>
        <item h="1" x="23390"/>
        <item h="1" x="23391"/>
        <item h="1" x="23392"/>
        <item h="1" x="23393"/>
        <item h="1" x="23394"/>
        <item h="1" x="23395"/>
        <item h="1" x="23396"/>
        <item h="1" x="23397"/>
        <item h="1" x="23398"/>
        <item h="1" x="23399"/>
        <item h="1" x="23400"/>
        <item h="1" x="23401"/>
        <item h="1" x="23402"/>
        <item h="1" x="23403"/>
        <item h="1" x="23404"/>
        <item h="1" x="23405"/>
        <item h="1" x="23406"/>
        <item h="1" x="23407"/>
        <item h="1" x="23408"/>
        <item h="1" x="23409"/>
        <item h="1" x="23410"/>
        <item h="1" x="23411"/>
        <item h="1" x="23412"/>
        <item h="1" x="23413"/>
        <item h="1" x="23414"/>
        <item h="1" x="23415"/>
        <item h="1" x="23416"/>
        <item h="1" x="23417"/>
        <item h="1" x="23418"/>
        <item h="1" x="23419"/>
        <item h="1" x="23420"/>
        <item h="1" x="23421"/>
        <item h="1" x="23422"/>
        <item h="1" x="23423"/>
        <item h="1" x="23424"/>
        <item h="1" x="23425"/>
        <item h="1" x="23426"/>
        <item h="1" x="23427"/>
        <item h="1" x="23428"/>
        <item h="1" x="23429"/>
        <item h="1" x="23430"/>
        <item h="1" x="23431"/>
        <item h="1" x="23432"/>
        <item h="1" x="23433"/>
        <item h="1" x="23434"/>
        <item h="1" x="23435"/>
        <item h="1" x="23436"/>
        <item h="1" x="23437"/>
        <item h="1" x="23438"/>
        <item h="1" x="23439"/>
        <item h="1" x="23440"/>
        <item h="1" x="23441"/>
        <item h="1" x="23442"/>
        <item h="1" x="23443"/>
        <item h="1" x="23444"/>
        <item h="1" x="23445"/>
        <item h="1" x="23446"/>
        <item h="1" x="23447"/>
        <item h="1" x="23448"/>
        <item h="1" x="23449"/>
        <item h="1" x="23450"/>
        <item h="1" x="23451"/>
        <item h="1" x="23452"/>
        <item h="1" x="23453"/>
        <item h="1" x="23454"/>
        <item h="1" x="23455"/>
        <item h="1" x="23456"/>
        <item h="1" x="23457"/>
        <item h="1" x="23458"/>
        <item h="1" x="23459"/>
        <item h="1" x="23460"/>
        <item h="1" x="23461"/>
        <item h="1" x="23462"/>
        <item h="1" x="23463"/>
        <item h="1" x="23464"/>
        <item h="1" x="23465"/>
        <item h="1" x="23466"/>
        <item h="1" x="23467"/>
        <item h="1" x="23468"/>
        <item h="1" x="23469"/>
        <item h="1" x="23470"/>
        <item h="1" x="23471"/>
        <item h="1" x="23472"/>
        <item h="1" x="23473"/>
        <item h="1" x="23474"/>
        <item h="1" x="23475"/>
        <item h="1" x="23476"/>
        <item h="1" x="23477"/>
        <item h="1" x="23478"/>
        <item h="1" x="23479"/>
        <item h="1" x="23480"/>
        <item h="1" x="23481"/>
        <item h="1" x="23482"/>
        <item h="1" x="23483"/>
        <item h="1" x="23484"/>
        <item h="1" x="23485"/>
        <item h="1" x="23486"/>
        <item h="1" x="23487"/>
        <item h="1" x="23488"/>
        <item h="1" x="23489"/>
        <item h="1" x="23490"/>
        <item h="1" x="23491"/>
        <item h="1" x="23492"/>
        <item h="1" x="23493"/>
        <item h="1" x="23494"/>
        <item h="1" x="23495"/>
        <item h="1" x="23496"/>
        <item h="1" x="23497"/>
        <item h="1" x="23498"/>
        <item h="1" x="23499"/>
        <item h="1" x="23500"/>
        <item h="1" x="23501"/>
        <item h="1" x="23502"/>
        <item h="1" x="23503"/>
        <item h="1" x="23504"/>
        <item h="1" x="23505"/>
        <item h="1" x="23506"/>
        <item h="1" x="23507"/>
        <item h="1" x="23508"/>
        <item h="1" x="23509"/>
        <item h="1" x="23510"/>
        <item h="1" x="23511"/>
        <item h="1" x="23512"/>
        <item h="1" x="23513"/>
        <item h="1" x="23514"/>
        <item h="1" x="23515"/>
        <item h="1" x="23516"/>
        <item h="1" x="23517"/>
        <item h="1" x="23518"/>
        <item h="1" x="23519"/>
        <item h="1" x="23520"/>
        <item h="1" x="23521"/>
        <item h="1" x="23522"/>
        <item h="1" x="23523"/>
        <item h="1" x="23524"/>
        <item h="1" x="23525"/>
        <item h="1" x="23526"/>
        <item h="1" x="23527"/>
        <item h="1" x="23528"/>
        <item h="1" x="23529"/>
        <item h="1" x="23530"/>
        <item h="1" x="23531"/>
        <item h="1" x="23532"/>
        <item h="1" x="23533"/>
        <item h="1" x="23534"/>
        <item h="1" x="23535"/>
        <item h="1" x="23536"/>
        <item h="1" x="23537"/>
        <item h="1" x="23538"/>
        <item h="1" x="23539"/>
        <item h="1" x="23540"/>
        <item h="1" x="23541"/>
        <item h="1" x="23542"/>
        <item h="1" x="23543"/>
        <item h="1" x="23544"/>
        <item h="1" x="23545"/>
        <item h="1" x="23546"/>
        <item h="1" x="23547"/>
        <item h="1" x="23548"/>
        <item h="1" x="23549"/>
        <item h="1" x="23550"/>
        <item h="1" x="23551"/>
        <item h="1" x="23552"/>
        <item h="1" x="23553"/>
        <item h="1" x="23554"/>
        <item h="1" x="23555"/>
        <item h="1" x="23556"/>
        <item h="1" x="23557"/>
        <item h="1" x="23558"/>
        <item h="1" x="23559"/>
        <item h="1" x="23560"/>
        <item h="1" x="23561"/>
        <item h="1" x="23562"/>
        <item h="1" x="23563"/>
        <item h="1" x="23564"/>
        <item h="1" x="23565"/>
        <item h="1" x="23566"/>
        <item h="1" x="23567"/>
        <item h="1" x="23568"/>
        <item h="1" x="23569"/>
        <item h="1" x="23570"/>
        <item h="1" x="23571"/>
        <item h="1" x="23572"/>
        <item h="1" x="23573"/>
        <item h="1" x="23574"/>
        <item h="1" x="23575"/>
        <item h="1" x="23576"/>
        <item h="1" x="23577"/>
        <item h="1" x="23578"/>
        <item h="1" x="23579"/>
        <item h="1" x="23580"/>
        <item h="1" x="23581"/>
        <item h="1" x="23582"/>
        <item h="1" x="23583"/>
        <item h="1" x="23584"/>
        <item h="1" x="23585"/>
        <item h="1" x="23586"/>
        <item h="1" x="23587"/>
        <item h="1" x="23588"/>
        <item h="1" x="23589"/>
        <item h="1" x="23590"/>
        <item h="1" x="23591"/>
        <item h="1" x="23592"/>
        <item h="1" x="23593"/>
        <item h="1" x="23594"/>
        <item h="1" x="23595"/>
        <item h="1" x="23596"/>
        <item h="1" x="23597"/>
        <item h="1" x="23598"/>
        <item h="1" x="23599"/>
        <item h="1" x="23600"/>
        <item h="1" x="23601"/>
        <item h="1" x="23602"/>
        <item h="1" x="23603"/>
        <item h="1" x="23604"/>
        <item h="1" x="23605"/>
        <item h="1" x="23606"/>
        <item h="1" x="23607"/>
        <item h="1" x="23608"/>
        <item h="1" x="23609"/>
        <item h="1" x="23610"/>
        <item h="1" x="23611"/>
        <item h="1" x="23612"/>
        <item h="1" x="23613"/>
        <item h="1" x="23614"/>
        <item h="1" x="23615"/>
        <item h="1" x="23616"/>
        <item h="1" x="23617"/>
        <item h="1" x="23618"/>
        <item h="1" x="23619"/>
        <item h="1" x="23620"/>
        <item h="1" x="23621"/>
        <item h="1" x="23622"/>
        <item h="1" x="23623"/>
        <item h="1" x="23624"/>
        <item h="1" x="23625"/>
        <item h="1" x="23626"/>
        <item h="1" x="23627"/>
        <item h="1" x="23628"/>
        <item h="1" x="23629"/>
        <item h="1" x="23630"/>
        <item h="1" x="23631"/>
        <item h="1" x="23632"/>
        <item h="1" x="23633"/>
        <item h="1" x="23634"/>
        <item h="1" x="23635"/>
        <item h="1" x="23636"/>
        <item h="1" x="23637"/>
        <item h="1" x="23638"/>
        <item h="1" x="23639"/>
        <item h="1" x="23640"/>
        <item h="1" x="23641"/>
        <item h="1" x="23642"/>
        <item h="1" x="23643"/>
        <item h="1" x="23644"/>
        <item h="1" x="23645"/>
        <item h="1" x="23646"/>
        <item h="1" x="23647"/>
        <item h="1" x="23648"/>
        <item h="1" x="23649"/>
        <item h="1" x="23650"/>
        <item h="1" x="23651"/>
        <item h="1" x="23652"/>
        <item h="1" x="23653"/>
        <item h="1" x="23654"/>
        <item h="1" x="23655"/>
        <item h="1" x="23656"/>
        <item h="1" x="23657"/>
        <item h="1" x="23658"/>
        <item h="1" x="23659"/>
        <item h="1" x="23660"/>
        <item h="1" x="23661"/>
        <item h="1" x="23662"/>
        <item h="1" x="23663"/>
        <item h="1" x="23664"/>
        <item h="1" x="23665"/>
        <item h="1" x="23666"/>
        <item h="1" x="23667"/>
        <item h="1" x="23668"/>
        <item h="1" x="23669"/>
        <item h="1" x="23670"/>
        <item h="1" x="23671"/>
        <item h="1" x="23672"/>
        <item h="1" x="23673"/>
        <item h="1" x="23674"/>
        <item h="1" x="23675"/>
        <item h="1" x="23676"/>
        <item h="1" x="23677"/>
        <item h="1" x="23678"/>
        <item h="1" x="23679"/>
        <item h="1" x="23680"/>
        <item h="1" x="23681"/>
        <item h="1" x="23682"/>
        <item h="1" x="23683"/>
        <item h="1" x="23684"/>
        <item h="1" x="23685"/>
        <item h="1" x="23686"/>
        <item h="1" x="23687"/>
        <item h="1" x="23688"/>
        <item h="1" x="23689"/>
        <item h="1" x="23690"/>
        <item h="1" x="23691"/>
        <item h="1" x="23692"/>
        <item h="1" x="23693"/>
        <item h="1" x="23694"/>
        <item h="1" x="23695"/>
        <item h="1" x="23696"/>
        <item h="1" x="23697"/>
        <item h="1" x="23698"/>
        <item h="1" x="23699"/>
        <item h="1" x="23700"/>
        <item h="1" x="23701"/>
        <item h="1" x="23702"/>
        <item h="1" x="23703"/>
        <item h="1" x="23704"/>
        <item h="1" x="23705"/>
        <item h="1" x="23706"/>
        <item h="1" x="23707"/>
        <item h="1" x="23708"/>
        <item h="1" x="23709"/>
        <item h="1" x="23710"/>
        <item h="1" x="23711"/>
        <item h="1" x="23712"/>
        <item h="1" x="23713"/>
        <item h="1" x="23714"/>
        <item h="1" x="23715"/>
        <item h="1" x="23716"/>
        <item h="1" x="23717"/>
        <item h="1" x="23718"/>
        <item h="1" x="23719"/>
        <item h="1" x="23720"/>
        <item h="1" x="23721"/>
        <item h="1" x="23722"/>
        <item h="1" x="23723"/>
        <item h="1" x="23724"/>
        <item h="1" x="23725"/>
        <item h="1" x="23726"/>
        <item h="1" x="23727"/>
        <item h="1" x="23728"/>
        <item h="1" x="23729"/>
        <item h="1" x="23730"/>
        <item h="1" x="23731"/>
        <item h="1" x="23732"/>
        <item h="1" x="23733"/>
        <item h="1" x="23734"/>
        <item h="1" x="23735"/>
        <item h="1" x="23736"/>
        <item h="1" x="23737"/>
        <item h="1" x="23738"/>
        <item h="1" x="23739"/>
        <item h="1" x="23740"/>
        <item h="1" x="23741"/>
        <item h="1" x="23742"/>
        <item h="1" x="23743"/>
        <item h="1" x="23744"/>
        <item h="1" x="23745"/>
        <item h="1" x="23746"/>
        <item h="1" x="23747"/>
        <item h="1" x="23748"/>
        <item h="1" x="23749"/>
        <item h="1" x="23750"/>
        <item h="1" x="23751"/>
        <item h="1" x="23752"/>
        <item h="1" x="23753"/>
        <item h="1" x="23754"/>
        <item h="1" x="23755"/>
        <item h="1" x="23756"/>
        <item h="1" x="23757"/>
        <item h="1" x="23758"/>
        <item h="1" x="23759"/>
        <item h="1" x="23760"/>
        <item h="1" x="23761"/>
        <item h="1" x="23762"/>
        <item h="1" x="23763"/>
        <item h="1" x="23764"/>
        <item h="1" x="23765"/>
        <item h="1" x="23766"/>
        <item h="1" x="23767"/>
        <item h="1" x="23768"/>
        <item h="1" x="23769"/>
        <item h="1" x="23770"/>
        <item h="1" x="23771"/>
        <item h="1" x="23772"/>
        <item h="1" x="23773"/>
        <item h="1" x="23774"/>
        <item h="1" x="23775"/>
        <item h="1" x="23776"/>
        <item h="1" x="23777"/>
        <item h="1" x="23778"/>
        <item h="1" x="23779"/>
        <item h="1" x="23780"/>
        <item h="1" x="23781"/>
        <item h="1" x="23782"/>
        <item h="1" x="23783"/>
        <item h="1" x="23784"/>
        <item h="1" x="23785"/>
        <item h="1" x="23786"/>
        <item h="1" x="23787"/>
        <item h="1" x="23788"/>
        <item h="1" x="23789"/>
        <item h="1" x="23790"/>
        <item h="1" x="23791"/>
        <item h="1" x="23792"/>
        <item h="1" x="23793"/>
        <item h="1" x="23794"/>
        <item h="1" x="23795"/>
        <item h="1" x="23796"/>
        <item h="1" x="23797"/>
        <item h="1" x="23798"/>
        <item h="1" x="23799"/>
        <item h="1" x="23800"/>
        <item h="1" x="23801"/>
        <item h="1" x="23802"/>
        <item h="1" x="23803"/>
        <item h="1" x="23804"/>
        <item h="1" x="23805"/>
        <item h="1" x="23806"/>
        <item h="1" x="23807"/>
        <item h="1" x="23808"/>
        <item h="1" x="23809"/>
        <item h="1" x="23810"/>
        <item h="1" x="23811"/>
        <item h="1" x="23812"/>
        <item h="1" x="23813"/>
        <item h="1" x="23814"/>
        <item h="1" x="23815"/>
        <item h="1" x="23816"/>
        <item h="1" x="23817"/>
        <item h="1" x="23818"/>
        <item h="1" x="23819"/>
        <item h="1" x="23820"/>
        <item h="1" x="23821"/>
        <item h="1" x="23822"/>
        <item h="1" x="23823"/>
        <item h="1" x="23824"/>
        <item h="1" x="23825"/>
        <item h="1" x="23826"/>
        <item h="1" x="23827"/>
        <item h="1" x="23828"/>
        <item h="1" x="23829"/>
        <item h="1" x="23830"/>
        <item h="1" x="23831"/>
        <item h="1" x="23832"/>
        <item h="1" x="23833"/>
        <item h="1" x="23834"/>
        <item h="1" x="23835"/>
        <item h="1" x="23836"/>
        <item h="1" x="23837"/>
        <item h="1" x="23838"/>
        <item h="1" x="23839"/>
        <item h="1" x="23840"/>
        <item h="1" x="23841"/>
        <item h="1" x="23842"/>
        <item h="1" x="23843"/>
        <item h="1" x="23844"/>
        <item h="1" x="23845"/>
        <item h="1" x="23846"/>
        <item h="1" x="23847"/>
        <item h="1" x="23848"/>
        <item h="1" x="23849"/>
        <item h="1" x="23850"/>
        <item h="1" x="23851"/>
        <item h="1" x="23852"/>
        <item h="1" x="23853"/>
        <item h="1" x="23854"/>
        <item h="1" x="23855"/>
        <item h="1" x="23856"/>
        <item h="1" x="23857"/>
        <item h="1" x="23858"/>
        <item h="1" x="23859"/>
        <item h="1" x="23860"/>
        <item h="1" x="23861"/>
        <item h="1" x="23862"/>
        <item h="1" x="23863"/>
        <item h="1" x="23864"/>
        <item h="1" x="23865"/>
        <item h="1" x="23866"/>
        <item h="1" x="23867"/>
        <item h="1" x="23868"/>
        <item h="1" x="23869"/>
        <item h="1" x="23870"/>
        <item h="1" x="23871"/>
        <item h="1" x="23872"/>
        <item h="1" x="23873"/>
        <item h="1" x="23874"/>
        <item h="1" x="23875"/>
        <item h="1" x="23876"/>
        <item h="1" x="23877"/>
        <item h="1" x="23878"/>
        <item h="1" x="23879"/>
        <item h="1" x="23880"/>
        <item h="1" x="23881"/>
        <item h="1" x="23882"/>
        <item h="1" x="23883"/>
        <item h="1" x="23884"/>
        <item h="1" x="23885"/>
        <item h="1" x="23886"/>
        <item h="1" x="23887"/>
        <item h="1" x="23888"/>
        <item h="1" x="23889"/>
        <item h="1" x="23890"/>
        <item h="1" x="23891"/>
        <item h="1" x="23892"/>
        <item h="1" x="23893"/>
        <item h="1" x="23894"/>
        <item h="1" x="23895"/>
        <item h="1" x="23896"/>
        <item h="1" x="23897"/>
        <item h="1" x="23898"/>
        <item h="1" x="23899"/>
        <item h="1" x="23900"/>
        <item h="1" x="23901"/>
        <item h="1" x="23902"/>
        <item h="1" x="23903"/>
        <item h="1" x="23904"/>
        <item h="1" x="23905"/>
        <item h="1" x="23906"/>
        <item h="1" x="23907"/>
        <item h="1" x="23908"/>
        <item h="1" x="23909"/>
        <item h="1" x="23910"/>
        <item h="1" x="23911"/>
        <item h="1" x="23912"/>
        <item h="1" x="23913"/>
        <item h="1" x="23914"/>
        <item h="1" x="23915"/>
        <item h="1" x="23916"/>
        <item h="1" x="23917"/>
        <item h="1" x="23918"/>
        <item h="1" x="23919"/>
        <item h="1" x="23920"/>
        <item h="1" x="23921"/>
        <item h="1" x="23922"/>
        <item h="1" x="23923"/>
        <item h="1" x="23924"/>
        <item h="1" x="23925"/>
        <item h="1" x="23926"/>
        <item h="1" x="23927"/>
        <item h="1" x="23928"/>
        <item h="1" x="23929"/>
        <item h="1" x="23930"/>
        <item h="1" x="23931"/>
        <item h="1" x="23932"/>
        <item h="1" x="23933"/>
        <item h="1" x="23934"/>
        <item h="1" x="23935"/>
        <item h="1" x="23936"/>
        <item h="1" x="23937"/>
        <item h="1" x="23938"/>
        <item h="1" x="23939"/>
        <item h="1" x="23940"/>
        <item h="1" x="23941"/>
        <item h="1" x="23942"/>
        <item h="1" x="23943"/>
        <item h="1" x="23944"/>
        <item h="1" x="23945"/>
        <item h="1" x="23946"/>
        <item h="1" x="23947"/>
        <item h="1" x="23948"/>
        <item h="1" x="23949"/>
        <item h="1" x="23950"/>
        <item h="1" x="23951"/>
        <item h="1" x="23952"/>
        <item h="1" x="23953"/>
        <item h="1" x="23954"/>
        <item h="1" x="23955"/>
        <item h="1" x="23956"/>
        <item h="1" x="23957"/>
        <item h="1" x="23958"/>
        <item h="1" x="23959"/>
        <item h="1" x="23960"/>
        <item h="1" x="23961"/>
        <item h="1" x="23962"/>
        <item h="1" x="23963"/>
        <item h="1" x="23964"/>
        <item h="1" x="23965"/>
        <item h="1" x="23966"/>
        <item h="1" x="23967"/>
        <item h="1" x="23968"/>
        <item h="1" x="23969"/>
        <item h="1" x="23970"/>
        <item h="1" x="23971"/>
        <item h="1" x="23972"/>
        <item h="1" x="23973"/>
        <item h="1" x="23974"/>
        <item h="1" x="23975"/>
        <item h="1" x="23976"/>
        <item h="1" x="23977"/>
        <item h="1" x="23978"/>
        <item h="1" x="23979"/>
        <item h="1" x="23980"/>
        <item h="1" x="23981"/>
        <item h="1" x="23982"/>
        <item h="1" x="23983"/>
        <item h="1" x="23984"/>
        <item h="1" x="23985"/>
        <item h="1" x="23986"/>
        <item h="1" x="23987"/>
        <item h="1" x="23988"/>
        <item h="1" x="23989"/>
        <item h="1" x="23990"/>
        <item h="1" x="23991"/>
        <item h="1" x="23992"/>
        <item h="1" x="23993"/>
        <item h="1" x="23994"/>
        <item h="1" x="23995"/>
        <item h="1" x="23996"/>
        <item h="1" x="23997"/>
        <item h="1" x="23998"/>
        <item h="1" x="23999"/>
        <item h="1" x="24000"/>
        <item h="1" x="24001"/>
        <item h="1" x="24002"/>
        <item h="1" x="24003"/>
        <item h="1" x="24004"/>
        <item h="1" x="24005"/>
        <item h="1" x="24006"/>
        <item h="1" x="24007"/>
        <item h="1" x="24008"/>
        <item h="1" x="24009"/>
        <item h="1" x="24010"/>
        <item h="1" x="24011"/>
        <item h="1" x="24012"/>
        <item h="1" x="24013"/>
        <item h="1" x="24014"/>
        <item h="1" x="24015"/>
        <item h="1" x="24016"/>
        <item h="1" x="24017"/>
        <item h="1" x="24018"/>
        <item h="1" x="24019"/>
        <item h="1" x="24020"/>
        <item h="1" x="24021"/>
        <item h="1" x="24022"/>
        <item h="1" x="24023"/>
        <item h="1" x="24024"/>
        <item h="1" x="24025"/>
        <item h="1" x="24026"/>
        <item h="1" x="24027"/>
        <item h="1" x="24028"/>
        <item h="1" x="24029"/>
        <item h="1" x="24030"/>
        <item h="1" x="24031"/>
        <item h="1" x="24032"/>
        <item h="1" x="24033"/>
        <item h="1" x="24034"/>
        <item h="1" x="24035"/>
        <item h="1" x="24036"/>
        <item h="1" x="24037"/>
        <item h="1" x="24038"/>
        <item h="1" x="24039"/>
        <item h="1" x="24040"/>
        <item h="1" x="24041"/>
        <item h="1" x="24042"/>
        <item h="1" x="24043"/>
        <item h="1" x="24044"/>
        <item h="1" x="24045"/>
        <item h="1" x="24046"/>
        <item h="1" x="24047"/>
        <item h="1" x="24048"/>
        <item h="1" x="24049"/>
        <item h="1" x="24050"/>
        <item h="1" x="24051"/>
        <item h="1" x="24052"/>
        <item h="1" x="24053"/>
        <item h="1" x="24054"/>
        <item h="1" x="24055"/>
        <item h="1" x="24056"/>
        <item h="1" x="24057"/>
        <item h="1" x="24058"/>
        <item h="1" x="24059"/>
        <item h="1" x="24060"/>
        <item h="1" x="24061"/>
        <item h="1" x="24062"/>
        <item h="1" x="24063"/>
        <item h="1" x="24064"/>
        <item h="1" x="24065"/>
        <item h="1" x="24066"/>
        <item h="1" x="24067"/>
        <item h="1" x="24068"/>
        <item h="1" x="24069"/>
        <item h="1" x="24070"/>
        <item h="1" x="24071"/>
        <item h="1" x="24072"/>
        <item h="1" x="24073"/>
        <item h="1" x="24074"/>
        <item h="1" x="24075"/>
        <item h="1" x="24076"/>
        <item h="1" x="24077"/>
        <item h="1" x="24078"/>
        <item h="1" x="24079"/>
        <item h="1" x="24080"/>
        <item h="1" x="24081"/>
        <item h="1" x="24082"/>
        <item h="1" x="24083"/>
        <item h="1" x="24084"/>
        <item h="1" x="24085"/>
        <item h="1" x="24086"/>
        <item h="1" x="24087"/>
        <item h="1" x="24088"/>
        <item h="1" x="24089"/>
        <item h="1" x="24090"/>
        <item h="1" x="24091"/>
        <item h="1" x="24092"/>
        <item h="1" x="24093"/>
        <item h="1" x="24094"/>
        <item h="1" x="24095"/>
        <item h="1" x="24096"/>
        <item h="1" x="24097"/>
        <item h="1" x="24098"/>
        <item h="1" x="24099"/>
        <item h="1" x="24100"/>
        <item h="1" x="24101"/>
        <item h="1" x="24102"/>
        <item h="1" x="24103"/>
        <item h="1" x="24104"/>
        <item h="1" x="24105"/>
        <item h="1" x="24106"/>
        <item h="1" x="24107"/>
        <item h="1" x="24108"/>
        <item h="1" x="24109"/>
        <item h="1" x="24110"/>
        <item h="1" x="24111"/>
        <item h="1" x="24112"/>
        <item h="1" x="24113"/>
        <item h="1" x="24114"/>
        <item h="1" x="24115"/>
        <item h="1" x="24116"/>
        <item h="1" x="24117"/>
        <item h="1" x="24118"/>
        <item h="1" x="24119"/>
        <item h="1" x="24120"/>
        <item h="1" x="24121"/>
        <item h="1" x="24122"/>
        <item h="1" x="24123"/>
        <item h="1" x="24124"/>
        <item h="1" x="24125"/>
        <item h="1" x="24126"/>
        <item h="1" x="24127"/>
        <item h="1" x="24128"/>
        <item h="1" x="24129"/>
        <item h="1" x="24130"/>
        <item h="1" x="24131"/>
        <item h="1" x="24132"/>
        <item h="1" x="24133"/>
        <item h="1" x="24134"/>
        <item h="1" x="24135"/>
        <item h="1" x="24136"/>
        <item h="1" x="24137"/>
        <item h="1" x="24138"/>
        <item h="1" x="24139"/>
        <item h="1" x="24140"/>
        <item h="1" x="24141"/>
        <item h="1" x="24142"/>
        <item h="1" x="24143"/>
        <item h="1" x="24144"/>
        <item h="1" x="24145"/>
        <item h="1" x="24146"/>
        <item h="1" x="24147"/>
        <item h="1" x="24148"/>
        <item h="1" x="24149"/>
        <item h="1" x="24150"/>
        <item h="1" x="24151"/>
        <item h="1" x="24152"/>
        <item h="1" x="24153"/>
        <item h="1" x="24154"/>
        <item h="1" x="24155"/>
        <item h="1" x="24156"/>
        <item h="1" x="24157"/>
        <item h="1" x="24158"/>
        <item h="1" x="24159"/>
        <item h="1" x="24160"/>
        <item h="1" x="24161"/>
        <item h="1" x="24162"/>
        <item h="1" x="24163"/>
        <item h="1" x="24164"/>
        <item h="1" x="24165"/>
        <item h="1" x="24166"/>
        <item h="1" x="24167"/>
        <item h="1" x="24168"/>
        <item h="1" x="24169"/>
        <item h="1" x="24170"/>
        <item h="1" x="24171"/>
        <item h="1" x="24172"/>
        <item h="1" x="24173"/>
        <item h="1" x="24174"/>
        <item h="1" x="24175"/>
        <item h="1" x="24176"/>
        <item h="1" x="24177"/>
        <item h="1" x="24178"/>
        <item h="1" x="24179"/>
        <item h="1" x="24180"/>
        <item h="1" x="24181"/>
        <item h="1" x="24182"/>
        <item h="1" x="24183"/>
        <item h="1" x="24184"/>
        <item h="1" x="24185"/>
        <item h="1" x="24186"/>
        <item h="1" x="24187"/>
        <item h="1" x="24188"/>
        <item h="1" x="24189"/>
        <item h="1" x="24190"/>
        <item h="1" x="24191"/>
        <item h="1" x="24192"/>
        <item h="1" x="24193"/>
        <item h="1" x="24194"/>
        <item h="1" x="24195"/>
        <item h="1" x="24196"/>
        <item h="1" x="24197"/>
        <item h="1" x="24198"/>
        <item h="1" x="24199"/>
        <item h="1" x="24200"/>
        <item h="1" x="24201"/>
        <item h="1" x="24202"/>
        <item h="1" x="24203"/>
        <item h="1" x="24204"/>
        <item h="1" x="24205"/>
        <item h="1" x="24206"/>
        <item h="1" x="24207"/>
        <item h="1" x="24208"/>
        <item h="1" x="24209"/>
        <item h="1" x="24210"/>
        <item h="1" x="24211"/>
        <item h="1" x="24212"/>
        <item h="1" x="24213"/>
        <item h="1" x="24214"/>
        <item h="1" x="24215"/>
        <item h="1" x="24216"/>
        <item h="1" x="24217"/>
        <item h="1" x="24218"/>
        <item h="1" x="24219"/>
        <item h="1" x="24220"/>
        <item h="1" x="24221"/>
        <item h="1" x="24222"/>
        <item h="1" x="24223"/>
        <item h="1" x="24224"/>
        <item h="1" x="24225"/>
        <item h="1" x="24226"/>
        <item h="1" x="24227"/>
        <item h="1" x="24228"/>
        <item h="1" x="24229"/>
        <item h="1" x="24230"/>
        <item h="1" x="24231"/>
        <item h="1" x="24232"/>
        <item h="1" x="24233"/>
        <item h="1" x="24234"/>
        <item h="1" x="24235"/>
        <item h="1" x="24236"/>
        <item h="1" x="24237"/>
        <item h="1" x="24238"/>
        <item h="1" x="24239"/>
        <item h="1" x="24240"/>
        <item h="1" x="24241"/>
        <item h="1" x="24242"/>
        <item h="1" x="24243"/>
        <item h="1" x="24244"/>
        <item h="1" x="24245"/>
        <item h="1" x="24246"/>
        <item h="1" x="24247"/>
        <item h="1" x="24248"/>
        <item h="1" x="24249"/>
        <item h="1" x="24250"/>
        <item h="1" x="24251"/>
        <item h="1" x="24252"/>
        <item h="1" x="24253"/>
        <item h="1" x="24254"/>
        <item h="1" x="24255"/>
        <item h="1" x="24256"/>
        <item h="1" x="24257"/>
        <item h="1" x="24258"/>
        <item h="1" x="24259"/>
        <item h="1" x="24260"/>
        <item h="1" x="24261"/>
        <item h="1" x="24262"/>
        <item h="1" x="24263"/>
        <item h="1" x="24264"/>
        <item h="1" x="24265"/>
        <item h="1" x="24266"/>
        <item h="1" x="24267"/>
        <item h="1" x="24268"/>
        <item h="1" x="24269"/>
        <item h="1" x="24270"/>
        <item h="1" x="24271"/>
        <item h="1" x="24272"/>
        <item h="1" x="24273"/>
        <item h="1" x="24274"/>
        <item h="1" x="24275"/>
        <item h="1" x="24276"/>
        <item h="1" x="24277"/>
        <item h="1" x="24278"/>
        <item h="1" x="24279"/>
        <item h="1" x="24280"/>
        <item h="1" x="24281"/>
        <item h="1" x="24282"/>
        <item h="1" x="24283"/>
        <item h="1" x="24284"/>
        <item h="1" x="24285"/>
        <item h="1" x="24286"/>
        <item h="1" x="24287"/>
        <item h="1" x="24288"/>
        <item h="1" x="24289"/>
        <item h="1" x="24290"/>
        <item h="1" x="24291"/>
        <item h="1" x="24292"/>
        <item h="1" x="24293"/>
        <item h="1" x="24294"/>
        <item h="1" x="24295"/>
        <item h="1" x="24296"/>
        <item h="1" x="24297"/>
        <item h="1" x="24298"/>
        <item h="1" x="24299"/>
        <item h="1" x="24300"/>
        <item h="1" x="24301"/>
        <item h="1" x="24302"/>
        <item h="1" x="24303"/>
        <item h="1" x="24304"/>
        <item h="1" x="24305"/>
        <item h="1" x="24306"/>
        <item h="1" x="24307"/>
        <item h="1" x="24308"/>
        <item h="1" x="24309"/>
        <item h="1" x="24310"/>
        <item h="1" x="24311"/>
        <item h="1" x="24312"/>
        <item h="1" x="24313"/>
        <item h="1" x="24314"/>
        <item h="1" x="24315"/>
        <item h="1" x="24316"/>
        <item h="1" x="24317"/>
        <item h="1" x="24318"/>
        <item h="1" x="24319"/>
        <item h="1" x="24320"/>
        <item h="1" x="24321"/>
        <item h="1" x="24322"/>
        <item h="1" x="24323"/>
        <item h="1" x="24324"/>
        <item h="1" x="24325"/>
        <item h="1" x="24326"/>
        <item h="1" x="24327"/>
        <item h="1" x="24328"/>
        <item h="1" x="24329"/>
        <item h="1" x="24330"/>
        <item h="1" x="24331"/>
        <item h="1" x="24332"/>
        <item h="1" x="24333"/>
        <item h="1" x="24334"/>
        <item h="1" x="24335"/>
        <item h="1" x="24336"/>
        <item h="1" x="24337"/>
        <item h="1" x="24338"/>
        <item h="1" x="24339"/>
        <item h="1" x="24340"/>
        <item h="1" x="24341"/>
        <item h="1" x="24342"/>
        <item h="1" x="24343"/>
        <item h="1" x="24344"/>
        <item h="1" x="24345"/>
        <item h="1" x="24346"/>
        <item h="1" x="24347"/>
        <item h="1" x="24348"/>
        <item h="1" x="24349"/>
        <item h="1" x="24350"/>
        <item h="1" x="24351"/>
        <item h="1" x="24352"/>
        <item h="1" x="24353"/>
        <item h="1" x="24354"/>
        <item h="1" x="24355"/>
        <item h="1" x="24356"/>
        <item h="1" x="24357"/>
        <item h="1" x="24358"/>
        <item h="1" x="24359"/>
        <item h="1" x="24360"/>
        <item h="1" x="24361"/>
        <item h="1" x="24362"/>
        <item h="1" x="24363"/>
        <item h="1" x="24364"/>
        <item h="1" x="24365"/>
        <item h="1" x="24366"/>
        <item h="1" x="24367"/>
        <item h="1" x="24368"/>
        <item h="1" x="24369"/>
        <item h="1" x="24370"/>
        <item h="1" x="24371"/>
        <item h="1" x="24372"/>
        <item h="1" x="24373"/>
        <item h="1" x="24374"/>
        <item h="1" x="24375"/>
        <item h="1" x="24376"/>
        <item h="1" x="24377"/>
        <item h="1" x="24378"/>
        <item h="1" x="24379"/>
        <item h="1" x="24380"/>
        <item h="1" x="24381"/>
        <item h="1" x="24382"/>
        <item h="1" x="24383"/>
        <item h="1" x="24384"/>
        <item h="1" x="24385"/>
        <item h="1" x="24386"/>
        <item h="1" x="24387"/>
        <item h="1" x="24388"/>
        <item h="1" x="24389"/>
        <item h="1" x="24390"/>
        <item h="1" x="24391"/>
        <item h="1" x="24392"/>
        <item h="1" x="24393"/>
        <item h="1" x="24394"/>
        <item h="1" x="24395"/>
        <item h="1" x="24396"/>
        <item h="1" x="24397"/>
        <item h="1" x="24398"/>
        <item h="1" x="24399"/>
        <item h="1" x="24400"/>
        <item h="1" x="24401"/>
        <item h="1" x="24402"/>
        <item h="1" x="24403"/>
        <item h="1" x="24404"/>
        <item h="1" x="24405"/>
        <item h="1" x="24406"/>
        <item h="1" x="24407"/>
        <item h="1" x="24408"/>
        <item h="1" x="24409"/>
        <item h="1" x="24410"/>
        <item h="1" x="24411"/>
        <item h="1" x="24412"/>
        <item h="1" x="24413"/>
        <item h="1" x="24414"/>
        <item h="1" x="24415"/>
        <item h="1" x="24416"/>
        <item h="1" x="24417"/>
        <item h="1" x="24418"/>
        <item h="1" x="24419"/>
        <item h="1" x="24420"/>
        <item h="1" x="24421"/>
        <item h="1" x="24422"/>
        <item h="1" x="24423"/>
        <item h="1" x="24424"/>
        <item h="1" x="24425"/>
        <item h="1" x="24426"/>
        <item h="1" x="24427"/>
        <item h="1" x="24428"/>
        <item h="1" x="24429"/>
        <item h="1" x="24430"/>
        <item h="1" x="24431"/>
        <item h="1" x="24432"/>
        <item h="1" x="24433"/>
        <item h="1" x="24434"/>
        <item h="1" x="24435"/>
        <item h="1" x="24436"/>
        <item h="1" x="24437"/>
        <item h="1" x="24438"/>
        <item h="1" x="24439"/>
        <item h="1" x="24440"/>
        <item h="1" x="24441"/>
        <item h="1" x="24442"/>
        <item h="1" x="24443"/>
        <item h="1" x="24444"/>
        <item h="1" x="24445"/>
        <item h="1" x="24446"/>
        <item h="1" x="24447"/>
        <item h="1" x="24448"/>
        <item h="1" x="24449"/>
        <item h="1" x="24450"/>
        <item h="1" x="24451"/>
        <item h="1" x="24452"/>
        <item h="1" x="24453"/>
        <item h="1" x="24454"/>
        <item h="1" x="24455"/>
        <item h="1" x="24456"/>
        <item h="1" x="24457"/>
        <item h="1" x="24458"/>
        <item h="1" x="24459"/>
        <item h="1" x="24460"/>
        <item h="1" x="24461"/>
        <item h="1" x="24462"/>
        <item h="1" x="24463"/>
        <item h="1" x="24464"/>
        <item h="1" x="24465"/>
        <item h="1" x="24466"/>
        <item h="1" x="24467"/>
        <item h="1" x="24468"/>
        <item h="1" x="24469"/>
        <item h="1" x="24470"/>
        <item h="1" x="24471"/>
        <item h="1" x="24472"/>
        <item h="1" x="24473"/>
        <item h="1" x="24474"/>
        <item h="1" x="24475"/>
        <item h="1" x="24476"/>
        <item h="1" x="24477"/>
        <item h="1" x="24478"/>
        <item h="1" x="24479"/>
        <item h="1" x="24480"/>
        <item h="1" x="24481"/>
        <item h="1" x="24482"/>
        <item h="1" x="24483"/>
        <item h="1" x="24484"/>
        <item h="1" x="24485"/>
        <item h="1" x="24486"/>
        <item h="1" x="24487"/>
        <item h="1" x="24488"/>
        <item h="1" x="24489"/>
        <item h="1" x="24490"/>
        <item h="1" x="24491"/>
        <item h="1" x="24492"/>
        <item h="1" x="24493"/>
        <item h="1" x="24494"/>
        <item h="1" x="24495"/>
        <item h="1" x="24496"/>
        <item h="1" x="24497"/>
        <item h="1" x="24498"/>
        <item h="1" x="24499"/>
        <item h="1" x="24500"/>
        <item h="1" x="24501"/>
        <item h="1" x="24502"/>
        <item h="1" x="24503"/>
        <item h="1" x="24504"/>
        <item h="1" x="24505"/>
        <item h="1" x="24506"/>
        <item h="1" x="24507"/>
        <item h="1" x="24508"/>
        <item h="1" x="24509"/>
        <item h="1" x="24510"/>
        <item h="1" x="24511"/>
        <item h="1" x="24512"/>
        <item h="1" x="24513"/>
        <item h="1" x="24514"/>
        <item h="1" x="24515"/>
        <item h="1" x="24516"/>
        <item h="1" x="24517"/>
        <item h="1" x="24518"/>
        <item h="1" x="24519"/>
        <item h="1" x="24520"/>
        <item h="1" x="24521"/>
        <item h="1" x="24522"/>
        <item h="1" x="24523"/>
        <item h="1" x="24524"/>
        <item h="1" x="24525"/>
        <item h="1" x="24526"/>
        <item h="1" x="24527"/>
        <item h="1" x="24528"/>
        <item h="1" x="24529"/>
        <item h="1" x="24530"/>
        <item h="1" x="24531"/>
        <item h="1" x="24532"/>
        <item h="1" x="24533"/>
        <item h="1" x="24534"/>
        <item h="1" x="24535"/>
        <item h="1" x="24536"/>
        <item h="1" x="24537"/>
        <item h="1" x="24538"/>
        <item h="1" x="24539"/>
        <item h="1" x="24540"/>
        <item h="1" x="24541"/>
        <item h="1" x="24542"/>
        <item h="1" x="24543"/>
        <item h="1" x="24544"/>
        <item h="1" x="24545"/>
        <item h="1" x="24546"/>
        <item h="1" x="24547"/>
        <item h="1" x="24548"/>
        <item h="1" x="24549"/>
        <item h="1" x="24550"/>
        <item h="1" x="24551"/>
        <item h="1" x="24552"/>
        <item h="1" x="24553"/>
        <item h="1" x="24554"/>
        <item h="1" x="24555"/>
        <item h="1" x="24556"/>
        <item h="1" x="24557"/>
        <item h="1" x="24558"/>
        <item h="1" x="24559"/>
        <item h="1" x="24560"/>
        <item h="1" x="24561"/>
        <item h="1" x="24562"/>
        <item h="1" x="24563"/>
        <item h="1" x="24564"/>
        <item h="1" x="24565"/>
        <item h="1" x="24566"/>
        <item h="1" x="24567"/>
        <item h="1" x="24568"/>
        <item h="1" x="24569"/>
        <item h="1" x="24570"/>
        <item h="1" x="24571"/>
        <item h="1" x="24572"/>
        <item h="1" x="24573"/>
        <item h="1" x="24574"/>
        <item h="1" x="24575"/>
        <item h="1" x="24576"/>
        <item h="1" x="24577"/>
        <item h="1" x="24578"/>
        <item h="1" x="24579"/>
        <item h="1" x="24580"/>
        <item h="1" x="24581"/>
        <item h="1" x="24582"/>
        <item h="1" x="24583"/>
        <item h="1" x="24584"/>
        <item h="1" x="24585"/>
        <item h="1" x="24586"/>
        <item h="1" x="24587"/>
        <item h="1" x="24588"/>
        <item h="1" x="24589"/>
        <item h="1" x="24590"/>
        <item h="1" x="24591"/>
        <item h="1" x="24592"/>
        <item h="1" x="24593"/>
        <item h="1" x="24594"/>
        <item h="1" x="24595"/>
        <item h="1" x="24596"/>
        <item h="1" x="24597"/>
        <item h="1" x="24598"/>
        <item h="1" x="24599"/>
        <item h="1" x="24600"/>
        <item h="1" x="24601"/>
        <item h="1" x="24602"/>
        <item h="1" x="24603"/>
        <item h="1" x="24604"/>
        <item h="1" x="24605"/>
        <item h="1" x="24606"/>
        <item h="1" x="24607"/>
        <item h="1" x="24608"/>
        <item h="1" x="24609"/>
        <item h="1" x="24610"/>
        <item h="1" x="24611"/>
        <item h="1" x="24612"/>
        <item h="1" x="24613"/>
        <item h="1" x="24614"/>
        <item h="1" x="24615"/>
        <item h="1" x="24616"/>
        <item h="1" x="24617"/>
        <item h="1" x="24618"/>
        <item h="1" x="24619"/>
        <item h="1" x="24620"/>
        <item h="1" x="24621"/>
        <item h="1" x="24622"/>
        <item h="1" x="24623"/>
        <item h="1" x="24624"/>
        <item h="1" x="24625"/>
        <item h="1" x="24626"/>
        <item h="1" x="24627"/>
        <item h="1" x="24628"/>
        <item h="1" x="24629"/>
        <item h="1" x="24630"/>
        <item h="1" x="24631"/>
        <item h="1" x="24632"/>
        <item h="1" x="24633"/>
        <item h="1" x="24634"/>
        <item h="1" x="24635"/>
        <item h="1" x="24636"/>
        <item h="1" x="24637"/>
        <item h="1" x="24638"/>
        <item h="1" x="24639"/>
        <item h="1" x="24640"/>
        <item h="1" x="24641"/>
        <item h="1" x="24642"/>
        <item h="1" x="24643"/>
        <item h="1" x="24644"/>
        <item h="1" x="24645"/>
        <item h="1" x="24646"/>
        <item h="1" x="24647"/>
        <item h="1" x="24648"/>
        <item h="1" x="24649"/>
        <item h="1" x="24650"/>
        <item h="1" x="24651"/>
        <item h="1" x="24652"/>
        <item h="1" x="24653"/>
        <item h="1" x="24654"/>
        <item h="1" x="24655"/>
        <item h="1" x="24656"/>
        <item h="1" x="24657"/>
        <item h="1" x="24658"/>
        <item h="1" x="24659"/>
        <item h="1" x="24660"/>
        <item h="1" x="24661"/>
        <item h="1" x="24662"/>
        <item h="1" x="24663"/>
        <item h="1" x="24664"/>
        <item h="1" x="24665"/>
        <item h="1" x="24666"/>
        <item h="1" x="24667"/>
        <item h="1" x="24668"/>
        <item h="1" x="24669"/>
        <item h="1" x="24670"/>
        <item h="1" x="24671"/>
        <item h="1" x="24672"/>
        <item h="1" x="24673"/>
        <item h="1" x="24674"/>
        <item h="1" x="24675"/>
        <item h="1" x="24676"/>
        <item h="1" x="24677"/>
        <item h="1" x="24678"/>
        <item h="1" x="24679"/>
        <item h="1" x="24680"/>
        <item h="1" x="24681"/>
        <item h="1" x="24682"/>
        <item h="1" x="24683"/>
        <item h="1" x="24684"/>
        <item h="1" x="24685"/>
        <item h="1" x="24686"/>
        <item h="1" x="24687"/>
        <item h="1" x="24688"/>
        <item h="1" x="24689"/>
        <item h="1" x="24690"/>
        <item h="1" x="24691"/>
        <item h="1" x="24692"/>
        <item h="1" x="24693"/>
        <item h="1" x="24694"/>
        <item h="1" x="24695"/>
        <item h="1" x="24696"/>
        <item h="1" x="24697"/>
        <item h="1" x="24698"/>
        <item h="1" x="24699"/>
        <item h="1" x="24700"/>
        <item h="1" x="24701"/>
        <item h="1" x="24702"/>
        <item h="1" x="24703"/>
        <item h="1" x="24704"/>
        <item h="1" x="24705"/>
        <item h="1" x="24706"/>
        <item h="1" x="24707"/>
        <item h="1" x="24708"/>
        <item h="1" x="24709"/>
        <item h="1" x="24710"/>
        <item h="1" x="24711"/>
        <item h="1" x="24712"/>
        <item h="1" x="24713"/>
        <item h="1" x="24714"/>
        <item h="1" x="24715"/>
        <item h="1" x="24716"/>
        <item h="1" x="24717"/>
        <item h="1" x="24718"/>
        <item h="1" x="24719"/>
        <item h="1" x="24720"/>
        <item h="1" x="24721"/>
        <item h="1" x="24722"/>
        <item h="1" x="24723"/>
        <item h="1" x="24724"/>
        <item h="1" x="24725"/>
        <item h="1" x="24726"/>
        <item h="1" x="24727"/>
        <item h="1" x="24728"/>
        <item h="1" x="24729"/>
        <item h="1" x="24730"/>
        <item h="1" x="24731"/>
        <item h="1" x="24732"/>
        <item h="1" x="24733"/>
        <item t="default"/>
      </items>
    </pivotField>
  </pivotFields>
  <rowFields count="2">
    <field x="6"/>
    <field x="0"/>
  </rowFields>
  <rowItems count="17">
    <i>
      <x/>
    </i>
    <i r="1">
      <x v="35"/>
    </i>
    <i r="1">
      <x v="41"/>
    </i>
    <i r="1">
      <x v="46"/>
    </i>
    <i r="1">
      <x v="47"/>
    </i>
    <i r="1">
      <x v="48"/>
    </i>
    <i r="1">
      <x v="49"/>
    </i>
    <i>
      <x v="2"/>
    </i>
    <i r="1">
      <x v="47"/>
    </i>
    <i r="1">
      <x v="49"/>
    </i>
    <i r="1">
      <x v="50"/>
    </i>
    <i>
      <x v="4"/>
    </i>
    <i r="1">
      <x v="35"/>
    </i>
    <i r="1">
      <x v="50"/>
    </i>
    <i>
      <x v="7"/>
    </i>
    <i r="1">
      <x v="49"/>
    </i>
    <i t="grand">
      <x/>
    </i>
  </rowItems>
  <colFields count="1">
    <field x="5"/>
  </colFields>
  <colItems count="3">
    <i>
      <x/>
    </i>
    <i>
      <x v="1"/>
    </i>
    <i t="grand">
      <x/>
    </i>
  </colItems>
  <pageFields count="1">
    <pageField fld="4" hier="-1"/>
  </pageFields>
  <dataFields count="1">
    <dataField name="Candidate Count" fld="2" subtotal="count" baseField="0" baseItem="0"/>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F1F8EF-11E4-4CEC-A5BD-EC0BEF7324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rowHeaderCaption="Status">
  <location ref="A3:B8" firstHeaderRow="1" firstDataRow="1" firstDataCol="1" rowPageCount="1" colPageCount="1"/>
  <pivotFields count="9">
    <pivotField axis="axisRow" showAll="0">
      <items count="53">
        <item x="0"/>
        <item x="1"/>
        <item x="7"/>
        <item x="2"/>
        <item x="5"/>
        <item x="3"/>
        <item x="4"/>
        <item x="6"/>
        <item x="8"/>
        <item x="9"/>
        <item x="10"/>
        <item x="11"/>
        <item x="14"/>
        <item x="13"/>
        <item x="12"/>
        <item x="15"/>
        <item x="16"/>
        <item m="1" x="51"/>
        <item x="17"/>
        <item x="18"/>
        <item x="19"/>
        <item x="20"/>
        <item x="21"/>
        <item x="22"/>
        <item x="23"/>
        <item x="24"/>
        <item x="25"/>
        <item x="26"/>
        <item x="27"/>
        <item x="28"/>
        <item x="29"/>
        <item x="30"/>
        <item x="31"/>
        <item x="32"/>
        <item x="33"/>
        <item x="34"/>
        <item x="35"/>
        <item x="36"/>
        <item x="37"/>
        <item x="38"/>
        <item x="39"/>
        <item x="40"/>
        <item x="41"/>
        <item x="43"/>
        <item x="44"/>
        <item x="45"/>
        <item x="46"/>
        <item x="47"/>
        <item x="48"/>
        <item x="49"/>
        <item x="50"/>
        <item x="42"/>
        <item t="default"/>
      </items>
    </pivotField>
    <pivotField showAll="0"/>
    <pivotField dataField="1" showAll="0"/>
    <pivotField showAll="0"/>
    <pivotField axis="axisPage" numFmtId="14" showAll="0">
      <items count="39">
        <item x="0"/>
        <item m="1" x="3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axis="axisRow" showAll="0">
      <items count="12">
        <item sd="0" x="3"/>
        <item h="1" sd="0" m="1" x="10"/>
        <item sd="0" x="0"/>
        <item h="1" sd="0" x="6"/>
        <item sd="0" x="1"/>
        <item h="1" sd="0" x="4"/>
        <item h="1" sd="0" x="5"/>
        <item sd="0" x="2"/>
        <item h="1" sd="0" x="7"/>
        <item h="1" sd="0" m="1" x="9"/>
        <item sd="0" m="1" x="8"/>
        <item t="default" sd="0"/>
      </items>
    </pivotField>
    <pivotField showAll="0"/>
    <pivotField showAll="0">
      <items count="24735">
        <item h="1" x="0"/>
        <item h="1" x="1"/>
        <item h="1" x="2"/>
        <item h="1" x="3"/>
        <item h="1" x="4"/>
        <item h="1" x="5"/>
        <item h="1" x="6"/>
        <item h="1" x="7"/>
        <item h="1" x="8"/>
        <item h="1" x="9"/>
        <item h="1" x="10"/>
        <item h="1" x="11"/>
        <item h="1" x="12"/>
        <item h="1" x="13"/>
        <item h="1" x="14"/>
        <item h="1" x="15"/>
        <item h="1" x="16"/>
        <item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0"/>
        <item h="1" x="3011"/>
        <item h="1" x="3012"/>
        <item h="1" x="3013"/>
        <item h="1" x="3014"/>
        <item h="1" x="3015"/>
        <item h="1" x="3016"/>
        <item h="1" x="3017"/>
        <item h="1" x="3018"/>
        <item h="1" x="3019"/>
        <item h="1" x="3020"/>
        <item h="1" x="3021"/>
        <item h="1" x="3022"/>
        <item h="1" x="3023"/>
        <item h="1" x="3024"/>
        <item h="1" x="3025"/>
        <item h="1" x="3026"/>
        <item h="1" x="3027"/>
        <item h="1" x="3028"/>
        <item h="1" x="3029"/>
        <item h="1" x="3030"/>
        <item h="1" x="3031"/>
        <item h="1" x="3032"/>
        <item h="1" x="3033"/>
        <item h="1" x="3034"/>
        <item h="1" x="3035"/>
        <item h="1" x="3036"/>
        <item h="1" x="3037"/>
        <item h="1" x="3038"/>
        <item h="1" x="3039"/>
        <item h="1" x="3040"/>
        <item h="1" x="3041"/>
        <item h="1" x="3042"/>
        <item h="1" x="3043"/>
        <item h="1" x="3044"/>
        <item h="1" x="3045"/>
        <item h="1" x="3046"/>
        <item h="1" x="3047"/>
        <item h="1" x="3048"/>
        <item h="1" x="3049"/>
        <item h="1" x="3050"/>
        <item h="1" x="3051"/>
        <item h="1" x="3052"/>
        <item h="1" x="3053"/>
        <item h="1" x="3054"/>
        <item h="1" x="3055"/>
        <item h="1" x="3056"/>
        <item h="1" x="3057"/>
        <item h="1" x="3058"/>
        <item h="1" x="3059"/>
        <item h="1" x="3060"/>
        <item h="1" x="3061"/>
        <item h="1" x="3062"/>
        <item h="1" x="3063"/>
        <item h="1" x="3064"/>
        <item h="1" x="3065"/>
        <item h="1" x="3066"/>
        <item h="1" x="3067"/>
        <item h="1" x="3068"/>
        <item h="1" x="3069"/>
        <item h="1" x="3070"/>
        <item h="1" x="3071"/>
        <item h="1" x="3072"/>
        <item h="1" x="3073"/>
        <item h="1" x="3074"/>
        <item h="1" x="3075"/>
        <item h="1" x="3076"/>
        <item h="1" x="3077"/>
        <item h="1" x="3078"/>
        <item h="1" x="3079"/>
        <item h="1" x="3080"/>
        <item h="1" x="3081"/>
        <item h="1" x="3082"/>
        <item h="1" x="3083"/>
        <item h="1" x="3084"/>
        <item h="1" x="3085"/>
        <item h="1" x="3086"/>
        <item h="1" x="3087"/>
        <item h="1" x="3088"/>
        <item h="1" x="3089"/>
        <item h="1" x="3090"/>
        <item h="1" x="3091"/>
        <item h="1" x="3092"/>
        <item h="1" x="3093"/>
        <item h="1" x="3094"/>
        <item h="1" x="3095"/>
        <item h="1" x="3096"/>
        <item h="1" x="3097"/>
        <item h="1" x="3098"/>
        <item h="1" x="3099"/>
        <item h="1" x="3100"/>
        <item h="1" x="3101"/>
        <item h="1" x="3102"/>
        <item h="1" x="3103"/>
        <item h="1" x="3104"/>
        <item h="1" x="3105"/>
        <item h="1" x="3106"/>
        <item h="1" x="3107"/>
        <item h="1" x="3108"/>
        <item h="1" x="3109"/>
        <item h="1" x="3110"/>
        <item h="1" x="3111"/>
        <item h="1" x="3112"/>
        <item h="1" x="3113"/>
        <item h="1" x="3114"/>
        <item h="1" x="3115"/>
        <item h="1" x="3116"/>
        <item h="1" x="3117"/>
        <item h="1" x="3118"/>
        <item h="1" x="3119"/>
        <item h="1" x="3120"/>
        <item h="1" x="3121"/>
        <item h="1" x="3122"/>
        <item h="1" x="3123"/>
        <item h="1" x="3124"/>
        <item h="1" x="3125"/>
        <item h="1" x="3126"/>
        <item h="1" x="3127"/>
        <item h="1" x="3128"/>
        <item h="1" x="3129"/>
        <item h="1" x="3130"/>
        <item h="1" x="3131"/>
        <item h="1" x="3132"/>
        <item h="1" x="3133"/>
        <item h="1" x="3134"/>
        <item h="1" x="3135"/>
        <item h="1" x="3136"/>
        <item h="1" x="3137"/>
        <item h="1" x="3138"/>
        <item h="1" x="3139"/>
        <item h="1" x="3140"/>
        <item h="1" x="3141"/>
        <item h="1" x="3142"/>
        <item h="1" x="3143"/>
        <item h="1" x="3144"/>
        <item h="1" x="3145"/>
        <item h="1" x="3146"/>
        <item h="1" x="3147"/>
        <item h="1" x="3148"/>
        <item h="1" x="3149"/>
        <item h="1" x="3150"/>
        <item h="1" x="3151"/>
        <item h="1" x="3152"/>
        <item h="1" x="3153"/>
        <item h="1" x="3154"/>
        <item h="1" x="3155"/>
        <item h="1" x="3156"/>
        <item h="1" x="3157"/>
        <item h="1" x="3158"/>
        <item h="1" x="3159"/>
        <item h="1" x="3160"/>
        <item h="1" x="3161"/>
        <item h="1" x="3162"/>
        <item h="1" x="3163"/>
        <item h="1" x="3164"/>
        <item h="1" x="3165"/>
        <item h="1" x="3166"/>
        <item h="1" x="3167"/>
        <item h="1" x="3168"/>
        <item h="1" x="3169"/>
        <item h="1" x="3170"/>
        <item h="1" x="3171"/>
        <item h="1" x="3172"/>
        <item h="1" x="3173"/>
        <item h="1" x="3174"/>
        <item h="1" x="3175"/>
        <item h="1" x="3176"/>
        <item h="1" x="3177"/>
        <item h="1" x="3178"/>
        <item h="1" x="3179"/>
        <item h="1" x="3180"/>
        <item h="1" x="3181"/>
        <item h="1" x="3182"/>
        <item h="1" x="3183"/>
        <item h="1" x="3184"/>
        <item h="1" x="3185"/>
        <item h="1" x="3186"/>
        <item h="1" x="3187"/>
        <item h="1" x="3188"/>
        <item h="1" x="3189"/>
        <item h="1" x="3190"/>
        <item h="1" x="3191"/>
        <item h="1" x="3192"/>
        <item h="1" x="3193"/>
        <item h="1" x="3194"/>
        <item h="1" x="3195"/>
        <item h="1" x="3196"/>
        <item h="1" x="3197"/>
        <item h="1" x="3198"/>
        <item h="1" x="3199"/>
        <item h="1" x="3200"/>
        <item h="1" x="3201"/>
        <item h="1" x="3202"/>
        <item h="1" x="3203"/>
        <item h="1" x="3204"/>
        <item h="1" x="3205"/>
        <item h="1" x="3206"/>
        <item h="1" x="3207"/>
        <item h="1" x="3208"/>
        <item h="1" x="3209"/>
        <item h="1" x="3210"/>
        <item h="1" x="3211"/>
        <item h="1" x="3212"/>
        <item h="1" x="3213"/>
        <item h="1" x="3214"/>
        <item h="1" x="3215"/>
        <item h="1" x="3216"/>
        <item h="1" x="3217"/>
        <item h="1" x="3218"/>
        <item h="1" x="3219"/>
        <item h="1" x="3220"/>
        <item h="1" x="3221"/>
        <item h="1" x="3222"/>
        <item h="1" x="3223"/>
        <item h="1" x="3224"/>
        <item h="1" x="3225"/>
        <item h="1" x="3226"/>
        <item h="1" x="3227"/>
        <item h="1" x="3228"/>
        <item h="1" x="3229"/>
        <item h="1" x="3230"/>
        <item h="1" x="3231"/>
        <item h="1" x="3232"/>
        <item h="1" x="3233"/>
        <item h="1" x="3234"/>
        <item h="1" x="3235"/>
        <item h="1" x="3236"/>
        <item h="1" x="3237"/>
        <item h="1" x="3238"/>
        <item h="1" x="3239"/>
        <item h="1" x="3240"/>
        <item h="1" x="3241"/>
        <item h="1" x="3242"/>
        <item h="1" x="3243"/>
        <item h="1" x="3244"/>
        <item h="1" x="3245"/>
        <item h="1" x="3246"/>
        <item h="1" x="3247"/>
        <item h="1" x="3248"/>
        <item h="1" x="3249"/>
        <item h="1" x="3250"/>
        <item h="1" x="3251"/>
        <item h="1" x="3252"/>
        <item h="1" x="3253"/>
        <item h="1" x="3254"/>
        <item h="1" x="3255"/>
        <item h="1" x="3256"/>
        <item h="1" x="3257"/>
        <item h="1" x="3258"/>
        <item h="1" x="3259"/>
        <item h="1" x="3260"/>
        <item h="1" x="3261"/>
        <item h="1" x="3262"/>
        <item h="1" x="3263"/>
        <item h="1" x="3264"/>
        <item h="1" x="3265"/>
        <item h="1" x="3266"/>
        <item h="1" x="3267"/>
        <item h="1" x="3268"/>
        <item h="1" x="3269"/>
        <item h="1" x="3270"/>
        <item h="1" x="3271"/>
        <item h="1" x="3272"/>
        <item h="1" x="3273"/>
        <item h="1" x="3274"/>
        <item h="1" x="3275"/>
        <item h="1" x="3276"/>
        <item h="1" x="3277"/>
        <item h="1" x="3278"/>
        <item h="1" x="3279"/>
        <item h="1" x="3280"/>
        <item h="1" x="3281"/>
        <item h="1" x="3282"/>
        <item h="1" x="3283"/>
        <item h="1" x="3284"/>
        <item h="1" x="3285"/>
        <item h="1" x="3286"/>
        <item h="1" x="3287"/>
        <item h="1" x="3288"/>
        <item h="1" x="3289"/>
        <item h="1" x="3290"/>
        <item h="1" x="3291"/>
        <item h="1" x="3292"/>
        <item h="1" x="3293"/>
        <item h="1" x="3294"/>
        <item h="1" x="3295"/>
        <item h="1" x="3296"/>
        <item h="1" x="3297"/>
        <item h="1" x="3298"/>
        <item h="1" x="3299"/>
        <item h="1" x="3300"/>
        <item h="1" x="3301"/>
        <item h="1" x="3302"/>
        <item h="1" x="3303"/>
        <item h="1" x="3304"/>
        <item h="1" x="3305"/>
        <item h="1" x="3306"/>
        <item h="1" x="3307"/>
        <item h="1" x="3308"/>
        <item h="1" x="3309"/>
        <item h="1" x="3310"/>
        <item h="1" x="3311"/>
        <item h="1" x="3312"/>
        <item h="1" x="3313"/>
        <item h="1" x="3314"/>
        <item h="1" x="3315"/>
        <item h="1" x="3316"/>
        <item h="1" x="3317"/>
        <item h="1" x="3318"/>
        <item h="1" x="3319"/>
        <item h="1" x="3320"/>
        <item h="1" x="3321"/>
        <item h="1" x="3322"/>
        <item h="1" x="3323"/>
        <item h="1" x="3324"/>
        <item h="1" x="3325"/>
        <item h="1" x="3326"/>
        <item h="1" x="3327"/>
        <item h="1" x="3328"/>
        <item h="1" x="3329"/>
        <item h="1" x="3330"/>
        <item h="1" x="3331"/>
        <item h="1" x="3332"/>
        <item h="1" x="3333"/>
        <item h="1" x="3334"/>
        <item h="1" x="3335"/>
        <item h="1" x="3336"/>
        <item h="1" x="3337"/>
        <item h="1" x="3338"/>
        <item h="1" x="3339"/>
        <item h="1" x="3340"/>
        <item h="1" x="3341"/>
        <item h="1" x="3342"/>
        <item h="1" x="3343"/>
        <item h="1" x="3344"/>
        <item h="1" x="3345"/>
        <item h="1" x="3346"/>
        <item h="1" x="3347"/>
        <item h="1" x="3348"/>
        <item h="1" x="3349"/>
        <item h="1" x="3350"/>
        <item h="1" x="3351"/>
        <item h="1" x="3352"/>
        <item h="1" x="3353"/>
        <item h="1" x="3354"/>
        <item h="1" x="3355"/>
        <item h="1" x="3356"/>
        <item h="1" x="3357"/>
        <item h="1" x="3358"/>
        <item h="1" x="3359"/>
        <item h="1" x="3360"/>
        <item h="1" x="3361"/>
        <item h="1" x="3362"/>
        <item h="1" x="3363"/>
        <item h="1" x="3364"/>
        <item h="1" x="3365"/>
        <item h="1" x="3366"/>
        <item h="1" x="3367"/>
        <item h="1" x="3368"/>
        <item h="1" x="3369"/>
        <item h="1" x="3370"/>
        <item h="1" x="3371"/>
        <item h="1" x="3372"/>
        <item h="1" x="3373"/>
        <item h="1" x="3374"/>
        <item h="1" x="3375"/>
        <item h="1" x="3376"/>
        <item h="1" x="3377"/>
        <item h="1" x="3378"/>
        <item h="1" x="3379"/>
        <item h="1" x="3380"/>
        <item h="1" x="3381"/>
        <item h="1" x="3382"/>
        <item h="1" x="3383"/>
        <item h="1" x="3384"/>
        <item h="1" x="3385"/>
        <item h="1" x="3386"/>
        <item h="1" x="3387"/>
        <item h="1" x="3388"/>
        <item h="1" x="3389"/>
        <item h="1" x="3390"/>
        <item h="1" x="3391"/>
        <item h="1" x="3392"/>
        <item h="1" x="3393"/>
        <item h="1" x="3394"/>
        <item h="1" x="3395"/>
        <item h="1" x="3396"/>
        <item h="1" x="3397"/>
        <item h="1" x="3398"/>
        <item h="1" x="3399"/>
        <item h="1" x="3400"/>
        <item h="1" x="3401"/>
        <item h="1" x="3402"/>
        <item h="1" x="3403"/>
        <item h="1" x="3404"/>
        <item h="1" x="3405"/>
        <item h="1" x="3406"/>
        <item h="1" x="3407"/>
        <item h="1" x="3408"/>
        <item h="1" x="3409"/>
        <item h="1" x="3410"/>
        <item h="1" x="3411"/>
        <item h="1" x="3412"/>
        <item h="1" x="3413"/>
        <item h="1" x="3414"/>
        <item h="1" x="3415"/>
        <item h="1" x="3416"/>
        <item h="1" x="3417"/>
        <item h="1" x="3418"/>
        <item h="1" x="3419"/>
        <item h="1" x="3420"/>
        <item h="1" x="3421"/>
        <item h="1" x="3422"/>
        <item h="1" x="3423"/>
        <item h="1" x="3424"/>
        <item h="1" x="3425"/>
        <item h="1" x="3426"/>
        <item h="1" x="3427"/>
        <item h="1" x="3428"/>
        <item h="1" x="3429"/>
        <item h="1" x="3430"/>
        <item h="1" x="3431"/>
        <item h="1" x="3432"/>
        <item h="1" x="3433"/>
        <item h="1" x="3434"/>
        <item h="1" x="3435"/>
        <item h="1" x="3436"/>
        <item h="1" x="3437"/>
        <item h="1" x="3438"/>
        <item h="1" x="3439"/>
        <item h="1" x="3440"/>
        <item h="1" x="3441"/>
        <item h="1" x="3442"/>
        <item h="1" x="3443"/>
        <item h="1" x="3444"/>
        <item h="1" x="3445"/>
        <item h="1" x="3446"/>
        <item h="1" x="3447"/>
        <item h="1" x="3448"/>
        <item h="1" x="3449"/>
        <item h="1" x="3450"/>
        <item h="1" x="3451"/>
        <item h="1" x="3452"/>
        <item h="1" x="3453"/>
        <item h="1" x="3454"/>
        <item h="1" x="3455"/>
        <item h="1" x="3456"/>
        <item h="1" x="3457"/>
        <item h="1" x="3458"/>
        <item h="1" x="3459"/>
        <item h="1" x="3460"/>
        <item h="1" x="3461"/>
        <item h="1" x="3462"/>
        <item h="1" x="3463"/>
        <item h="1" x="3464"/>
        <item h="1" x="3465"/>
        <item h="1" x="3466"/>
        <item h="1" x="3467"/>
        <item h="1" x="3468"/>
        <item h="1" x="3469"/>
        <item h="1" x="3470"/>
        <item h="1" x="3471"/>
        <item h="1" x="3472"/>
        <item h="1" x="3473"/>
        <item h="1" x="3474"/>
        <item h="1" x="3475"/>
        <item h="1" x="3476"/>
        <item h="1" x="3477"/>
        <item h="1" x="3478"/>
        <item h="1" x="3479"/>
        <item h="1" x="3480"/>
        <item h="1" x="3481"/>
        <item h="1" x="3482"/>
        <item h="1" x="3483"/>
        <item h="1" x="3484"/>
        <item h="1" x="3485"/>
        <item h="1" x="3486"/>
        <item h="1" x="3487"/>
        <item h="1" x="3488"/>
        <item h="1" x="3489"/>
        <item h="1" x="3490"/>
        <item h="1" x="3491"/>
        <item h="1" x="3492"/>
        <item h="1" x="3493"/>
        <item h="1" x="3494"/>
        <item h="1" x="3495"/>
        <item h="1" x="3496"/>
        <item h="1" x="3497"/>
        <item h="1" x="3498"/>
        <item h="1" x="3499"/>
        <item h="1" x="3500"/>
        <item h="1" x="3501"/>
        <item h="1" x="3502"/>
        <item h="1" x="3503"/>
        <item h="1" x="3504"/>
        <item h="1" x="3505"/>
        <item h="1" x="3506"/>
        <item h="1" x="3507"/>
        <item h="1" x="3508"/>
        <item h="1" x="3509"/>
        <item h="1" x="3510"/>
        <item h="1" x="3511"/>
        <item h="1" x="3512"/>
        <item h="1" x="3513"/>
        <item h="1" x="3514"/>
        <item h="1" x="3515"/>
        <item h="1" x="3516"/>
        <item h="1" x="3517"/>
        <item h="1" x="3518"/>
        <item h="1" x="3519"/>
        <item h="1" x="3520"/>
        <item h="1" x="3521"/>
        <item h="1" x="3522"/>
        <item h="1" x="3523"/>
        <item h="1" x="3524"/>
        <item h="1" x="3525"/>
        <item h="1" x="3526"/>
        <item h="1" x="3527"/>
        <item h="1" x="3528"/>
        <item h="1" x="3529"/>
        <item h="1" x="3530"/>
        <item h="1" x="3531"/>
        <item h="1" x="3532"/>
        <item h="1" x="3533"/>
        <item h="1" x="3534"/>
        <item h="1" x="3535"/>
        <item h="1" x="3536"/>
        <item h="1" x="3537"/>
        <item h="1" x="3538"/>
        <item h="1" x="3539"/>
        <item h="1" x="3540"/>
        <item h="1" x="3541"/>
        <item h="1" x="3542"/>
        <item h="1" x="3543"/>
        <item h="1" x="3544"/>
        <item h="1" x="3545"/>
        <item h="1" x="3546"/>
        <item h="1" x="3547"/>
        <item h="1" x="3548"/>
        <item h="1" x="3549"/>
        <item h="1" x="3550"/>
        <item h="1" x="3551"/>
        <item h="1" x="3552"/>
        <item h="1" x="3553"/>
        <item h="1" x="3554"/>
        <item h="1" x="3555"/>
        <item h="1" x="3556"/>
        <item h="1" x="3557"/>
        <item h="1" x="3558"/>
        <item h="1" x="3559"/>
        <item h="1" x="3560"/>
        <item h="1" x="3561"/>
        <item h="1" x="3562"/>
        <item h="1" x="3563"/>
        <item h="1" x="3564"/>
        <item h="1" x="3565"/>
        <item h="1" x="3566"/>
        <item h="1" x="3567"/>
        <item h="1" x="3568"/>
        <item h="1" x="3569"/>
        <item h="1" x="3570"/>
        <item h="1" x="3571"/>
        <item h="1" x="3572"/>
        <item h="1" x="3573"/>
        <item h="1" x="3574"/>
        <item h="1" x="3575"/>
        <item h="1" x="3576"/>
        <item h="1" x="3577"/>
        <item h="1" x="3578"/>
        <item h="1" x="3579"/>
        <item h="1" x="3580"/>
        <item h="1" x="3581"/>
        <item h="1" x="3582"/>
        <item h="1" x="3583"/>
        <item h="1" x="3584"/>
        <item h="1" x="3585"/>
        <item h="1" x="3586"/>
        <item h="1" x="3587"/>
        <item h="1" x="3588"/>
        <item h="1" x="3589"/>
        <item h="1" x="3590"/>
        <item h="1" x="3591"/>
        <item h="1" x="3592"/>
        <item h="1" x="3593"/>
        <item h="1" x="3594"/>
        <item h="1" x="3595"/>
        <item h="1" x="3596"/>
        <item h="1" x="3597"/>
        <item h="1" x="3598"/>
        <item h="1" x="3599"/>
        <item h="1" x="3600"/>
        <item h="1" x="3601"/>
        <item h="1" x="3602"/>
        <item h="1" x="3603"/>
        <item h="1" x="3604"/>
        <item h="1" x="3605"/>
        <item h="1" x="3606"/>
        <item h="1" x="3607"/>
        <item h="1" x="3608"/>
        <item h="1" x="3609"/>
        <item h="1" x="3610"/>
        <item h="1" x="3611"/>
        <item h="1" x="3612"/>
        <item h="1" x="3613"/>
        <item h="1" x="3614"/>
        <item h="1" x="3615"/>
        <item h="1" x="3616"/>
        <item h="1" x="3617"/>
        <item h="1" x="3618"/>
        <item h="1" x="3619"/>
        <item h="1" x="3620"/>
        <item h="1" x="3621"/>
        <item h="1" x="3622"/>
        <item h="1" x="3623"/>
        <item h="1" x="3624"/>
        <item h="1" x="3625"/>
        <item h="1" x="3626"/>
        <item h="1" x="3627"/>
        <item h="1" x="3628"/>
        <item h="1" x="3629"/>
        <item h="1" x="3630"/>
        <item h="1" x="3631"/>
        <item h="1" x="3632"/>
        <item h="1" x="3633"/>
        <item h="1" x="3634"/>
        <item h="1" x="3635"/>
        <item h="1" x="3636"/>
        <item h="1" x="3637"/>
        <item h="1" x="3638"/>
        <item h="1" x="3639"/>
        <item h="1" x="3640"/>
        <item h="1" x="3641"/>
        <item h="1" x="3642"/>
        <item h="1" x="3643"/>
        <item h="1" x="3644"/>
        <item h="1" x="3645"/>
        <item h="1" x="3646"/>
        <item h="1" x="3647"/>
        <item h="1" x="3648"/>
        <item h="1" x="3649"/>
        <item h="1" x="3650"/>
        <item h="1" x="3651"/>
        <item h="1" x="3652"/>
        <item h="1" x="3653"/>
        <item h="1" x="3654"/>
        <item h="1" x="3655"/>
        <item h="1" x="3656"/>
        <item h="1" x="3657"/>
        <item h="1" x="3658"/>
        <item h="1" x="3659"/>
        <item h="1" x="3660"/>
        <item h="1" x="3661"/>
        <item h="1" x="3662"/>
        <item h="1" x="3663"/>
        <item h="1" x="3664"/>
        <item h="1" x="3665"/>
        <item h="1" x="3666"/>
        <item h="1" x="3667"/>
        <item h="1" x="3668"/>
        <item h="1" x="3669"/>
        <item h="1" x="3670"/>
        <item h="1" x="3671"/>
        <item h="1" x="3672"/>
        <item h="1" x="3673"/>
        <item h="1" x="3674"/>
        <item h="1" x="3675"/>
        <item h="1" x="3676"/>
        <item h="1" x="3677"/>
        <item h="1" x="3678"/>
        <item h="1" x="3679"/>
        <item h="1" x="3680"/>
        <item h="1" x="3681"/>
        <item h="1" x="3682"/>
        <item h="1" x="3683"/>
        <item h="1" x="3684"/>
        <item h="1" x="3685"/>
        <item h="1" x="3686"/>
        <item h="1" x="3687"/>
        <item h="1" x="3688"/>
        <item h="1" x="3689"/>
        <item h="1" x="3690"/>
        <item h="1" x="3691"/>
        <item h="1" x="3692"/>
        <item h="1" x="3693"/>
        <item h="1" x="3694"/>
        <item h="1" x="3695"/>
        <item h="1" x="3696"/>
        <item h="1" x="3697"/>
        <item h="1" x="3698"/>
        <item h="1" x="3699"/>
        <item h="1" x="3700"/>
        <item h="1" x="3701"/>
        <item h="1" x="3702"/>
        <item h="1" x="3703"/>
        <item h="1" x="3704"/>
        <item h="1" x="3705"/>
        <item h="1" x="3706"/>
        <item h="1" x="3707"/>
        <item h="1" x="3708"/>
        <item h="1" x="3709"/>
        <item h="1" x="3710"/>
        <item h="1" x="3711"/>
        <item h="1" x="3712"/>
        <item h="1" x="3713"/>
        <item h="1" x="3714"/>
        <item h="1" x="3715"/>
        <item h="1" x="3716"/>
        <item h="1" x="3717"/>
        <item h="1" x="3718"/>
        <item h="1" x="3719"/>
        <item h="1" x="3720"/>
        <item h="1" x="3721"/>
        <item h="1" x="3722"/>
        <item h="1" x="3723"/>
        <item h="1" x="3724"/>
        <item h="1" x="3725"/>
        <item h="1" x="3726"/>
        <item h="1" x="3727"/>
        <item h="1" x="3728"/>
        <item h="1" x="3729"/>
        <item h="1" x="3730"/>
        <item h="1" x="3731"/>
        <item h="1" x="3732"/>
        <item h="1" x="3733"/>
        <item h="1" x="3734"/>
        <item h="1" x="3735"/>
        <item h="1" x="3736"/>
        <item h="1" x="3737"/>
        <item h="1" x="3738"/>
        <item h="1" x="3739"/>
        <item h="1" x="3740"/>
        <item h="1" x="3741"/>
        <item h="1" x="3742"/>
        <item h="1" x="3743"/>
        <item h="1" x="3744"/>
        <item h="1" x="3745"/>
        <item h="1" x="3746"/>
        <item h="1" x="3747"/>
        <item h="1" x="3748"/>
        <item h="1" x="3749"/>
        <item h="1" x="3750"/>
        <item h="1" x="3751"/>
        <item h="1" x="3752"/>
        <item h="1" x="3753"/>
        <item h="1" x="3754"/>
        <item h="1" x="3755"/>
        <item h="1" x="3756"/>
        <item h="1" x="3757"/>
        <item h="1" x="3758"/>
        <item h="1" x="3759"/>
        <item h="1" x="3760"/>
        <item h="1" x="3761"/>
        <item h="1" x="3762"/>
        <item h="1" x="3763"/>
        <item h="1" x="3764"/>
        <item h="1" x="3765"/>
        <item h="1" x="3766"/>
        <item h="1" x="3767"/>
        <item h="1" x="3768"/>
        <item h="1" x="3769"/>
        <item h="1" x="3770"/>
        <item h="1" x="3771"/>
        <item h="1" x="3772"/>
        <item h="1" x="3773"/>
        <item h="1" x="3774"/>
        <item h="1" x="3775"/>
        <item h="1" x="3776"/>
        <item h="1" x="3777"/>
        <item h="1" x="3778"/>
        <item h="1" x="3779"/>
        <item h="1" x="3780"/>
        <item h="1" x="3781"/>
        <item h="1" x="3782"/>
        <item h="1" x="3783"/>
        <item h="1" x="3784"/>
        <item h="1" x="3785"/>
        <item h="1" x="3786"/>
        <item h="1" x="3787"/>
        <item h="1" x="3788"/>
        <item h="1" x="3789"/>
        <item h="1" x="3790"/>
        <item h="1" x="3791"/>
        <item h="1" x="3792"/>
        <item h="1" x="3793"/>
        <item h="1" x="3794"/>
        <item h="1" x="3795"/>
        <item h="1" x="3796"/>
        <item h="1" x="3797"/>
        <item h="1" x="3798"/>
        <item h="1" x="3799"/>
        <item h="1" x="3800"/>
        <item h="1" x="3801"/>
        <item h="1" x="3802"/>
        <item h="1" x="3803"/>
        <item h="1" x="3804"/>
        <item h="1" x="3805"/>
        <item h="1" x="3806"/>
        <item h="1" x="3807"/>
        <item h="1" x="3808"/>
        <item h="1" x="3809"/>
        <item h="1" x="3810"/>
        <item h="1" x="3811"/>
        <item h="1" x="3812"/>
        <item h="1" x="3813"/>
        <item h="1" x="3814"/>
        <item h="1" x="3815"/>
        <item h="1" x="3816"/>
        <item h="1" x="3817"/>
        <item h="1" x="3818"/>
        <item h="1" x="3819"/>
        <item h="1" x="3820"/>
        <item h="1" x="3821"/>
        <item h="1" x="3822"/>
        <item h="1" x="3823"/>
        <item h="1" x="3824"/>
        <item h="1" x="3825"/>
        <item h="1" x="3826"/>
        <item h="1" x="3827"/>
        <item h="1" x="3828"/>
        <item h="1" x="3829"/>
        <item h="1" x="3830"/>
        <item h="1" x="3831"/>
        <item h="1" x="3832"/>
        <item h="1" x="3833"/>
        <item h="1" x="3834"/>
        <item h="1" x="3835"/>
        <item h="1" x="3836"/>
        <item h="1" x="3837"/>
        <item h="1" x="3838"/>
        <item h="1" x="3839"/>
        <item h="1" x="3840"/>
        <item h="1" x="3841"/>
        <item h="1" x="3842"/>
        <item h="1" x="3843"/>
        <item h="1" x="3844"/>
        <item h="1" x="3845"/>
        <item h="1" x="3846"/>
        <item h="1" x="3847"/>
        <item h="1" x="3848"/>
        <item h="1" x="3849"/>
        <item h="1" x="3850"/>
        <item h="1" x="3851"/>
        <item h="1" x="3852"/>
        <item h="1" x="3853"/>
        <item h="1" x="3854"/>
        <item h="1" x="3855"/>
        <item h="1" x="3856"/>
        <item h="1" x="3857"/>
        <item h="1" x="3858"/>
        <item h="1" x="3859"/>
        <item h="1" x="3860"/>
        <item h="1" x="3861"/>
        <item h="1" x="3862"/>
        <item h="1" x="3863"/>
        <item h="1" x="3864"/>
        <item h="1" x="3865"/>
        <item h="1" x="3866"/>
        <item h="1" x="3867"/>
        <item h="1" x="3868"/>
        <item h="1" x="3869"/>
        <item h="1" x="3870"/>
        <item h="1" x="3871"/>
        <item h="1" x="3872"/>
        <item h="1" x="3873"/>
        <item h="1" x="3874"/>
        <item h="1" x="3875"/>
        <item h="1" x="3876"/>
        <item h="1" x="3877"/>
        <item h="1" x="3878"/>
        <item h="1" x="3879"/>
        <item h="1" x="3880"/>
        <item h="1" x="3881"/>
        <item h="1" x="3882"/>
        <item h="1" x="3883"/>
        <item h="1" x="3884"/>
        <item h="1" x="3885"/>
        <item h="1" x="3886"/>
        <item h="1" x="3887"/>
        <item h="1" x="3888"/>
        <item h="1" x="3889"/>
        <item h="1" x="3890"/>
        <item h="1" x="3891"/>
        <item h="1" x="3892"/>
        <item h="1" x="3893"/>
        <item h="1" x="3894"/>
        <item h="1" x="3895"/>
        <item h="1" x="3896"/>
        <item h="1" x="3897"/>
        <item h="1" x="3898"/>
        <item h="1" x="3899"/>
        <item h="1" x="3900"/>
        <item h="1" x="3901"/>
        <item h="1" x="3902"/>
        <item h="1" x="3903"/>
        <item h="1" x="3904"/>
        <item h="1" x="3905"/>
        <item h="1" x="3906"/>
        <item h="1" x="3907"/>
        <item h="1" x="3908"/>
        <item h="1" x="3909"/>
        <item h="1" x="3910"/>
        <item h="1" x="3911"/>
        <item h="1" x="3912"/>
        <item h="1" x="3913"/>
        <item h="1" x="3914"/>
        <item h="1" x="3915"/>
        <item h="1" x="3916"/>
        <item h="1" x="3917"/>
        <item h="1" x="3918"/>
        <item h="1" x="3919"/>
        <item h="1" x="3920"/>
        <item h="1" x="3921"/>
        <item h="1" x="3922"/>
        <item h="1" x="3923"/>
        <item h="1" x="3924"/>
        <item h="1" x="3925"/>
        <item h="1" x="3926"/>
        <item h="1" x="3927"/>
        <item h="1" x="3928"/>
        <item h="1" x="3929"/>
        <item h="1" x="3930"/>
        <item h="1" x="3931"/>
        <item h="1" x="3932"/>
        <item h="1" x="3933"/>
        <item h="1" x="3934"/>
        <item h="1" x="3935"/>
        <item h="1" x="3936"/>
        <item h="1" x="3937"/>
        <item h="1" x="3938"/>
        <item h="1" x="3939"/>
        <item h="1" x="3940"/>
        <item h="1" x="3941"/>
        <item h="1" x="3942"/>
        <item h="1" x="3943"/>
        <item h="1" x="3944"/>
        <item h="1" x="3945"/>
        <item h="1" x="3946"/>
        <item h="1" x="3947"/>
        <item h="1" x="3948"/>
        <item h="1" x="3949"/>
        <item h="1" x="3950"/>
        <item h="1" x="3951"/>
        <item h="1" x="3952"/>
        <item h="1" x="3953"/>
        <item h="1" x="3954"/>
        <item h="1" x="3955"/>
        <item h="1" x="3956"/>
        <item h="1" x="3957"/>
        <item h="1" x="3958"/>
        <item h="1" x="3959"/>
        <item h="1" x="3960"/>
        <item h="1" x="3961"/>
        <item h="1" x="3962"/>
        <item h="1" x="3963"/>
        <item h="1" x="3964"/>
        <item h="1" x="3965"/>
        <item h="1" x="3966"/>
        <item h="1" x="3967"/>
        <item h="1" x="3968"/>
        <item h="1" x="3969"/>
        <item h="1" x="3970"/>
        <item h="1" x="3971"/>
        <item h="1" x="3972"/>
        <item h="1" x="3973"/>
        <item h="1" x="3974"/>
        <item h="1" x="3975"/>
        <item h="1" x="3976"/>
        <item h="1" x="3977"/>
        <item h="1" x="3978"/>
        <item h="1" x="3979"/>
        <item h="1" x="3980"/>
        <item h="1" x="3981"/>
        <item h="1" x="3982"/>
        <item h="1" x="3983"/>
        <item h="1" x="3984"/>
        <item h="1" x="3985"/>
        <item h="1" x="3986"/>
        <item h="1" x="3987"/>
        <item h="1" x="3988"/>
        <item h="1" x="3989"/>
        <item h="1" x="3990"/>
        <item h="1" x="3991"/>
        <item h="1" x="3992"/>
        <item h="1" x="3993"/>
        <item h="1" x="3994"/>
        <item h="1" x="3995"/>
        <item h="1" x="3996"/>
        <item h="1" x="3997"/>
        <item h="1" x="3998"/>
        <item h="1" x="3999"/>
        <item h="1" x="4000"/>
        <item h="1" x="4001"/>
        <item h="1" x="4002"/>
        <item h="1" x="4003"/>
        <item h="1" x="4004"/>
        <item h="1" x="4005"/>
        <item h="1" x="4006"/>
        <item h="1" x="4007"/>
        <item h="1" x="4008"/>
        <item h="1" x="4009"/>
        <item h="1" x="4010"/>
        <item h="1" x="4011"/>
        <item h="1" x="4012"/>
        <item h="1" x="4013"/>
        <item h="1" x="4014"/>
        <item h="1" x="4015"/>
        <item h="1" x="4016"/>
        <item h="1" x="4017"/>
        <item h="1" x="4018"/>
        <item h="1" x="4019"/>
        <item h="1" x="4020"/>
        <item h="1" x="4021"/>
        <item h="1" x="4022"/>
        <item h="1" x="4023"/>
        <item h="1" x="4024"/>
        <item h="1" x="4025"/>
        <item h="1" x="4026"/>
        <item h="1" x="4027"/>
        <item h="1" x="4028"/>
        <item h="1" x="4029"/>
        <item h="1" x="4030"/>
        <item h="1" x="4031"/>
        <item h="1" x="4032"/>
        <item h="1" x="4033"/>
        <item h="1" x="4034"/>
        <item h="1" x="4035"/>
        <item h="1" x="4036"/>
        <item h="1" x="4037"/>
        <item h="1" x="4038"/>
        <item h="1" x="4039"/>
        <item h="1" x="4040"/>
        <item h="1" x="4041"/>
        <item h="1" x="4042"/>
        <item h="1" x="4043"/>
        <item h="1" x="4044"/>
        <item h="1" x="4045"/>
        <item h="1" x="4046"/>
        <item h="1" x="4047"/>
        <item h="1" x="4048"/>
        <item h="1" x="4049"/>
        <item h="1" x="4050"/>
        <item h="1" x="4051"/>
        <item h="1" x="4052"/>
        <item h="1" x="4053"/>
        <item h="1" x="4054"/>
        <item h="1" x="4055"/>
        <item h="1" x="4056"/>
        <item h="1" x="4057"/>
        <item h="1" x="4058"/>
        <item h="1" x="4059"/>
        <item h="1" x="4060"/>
        <item h="1" x="4061"/>
        <item h="1" x="4062"/>
        <item h="1" x="4063"/>
        <item h="1" x="4064"/>
        <item h="1" x="4065"/>
        <item h="1" x="4066"/>
        <item h="1" x="4067"/>
        <item h="1" x="4068"/>
        <item h="1" x="4069"/>
        <item h="1" x="4070"/>
        <item h="1" x="4071"/>
        <item h="1" x="4072"/>
        <item h="1" x="4073"/>
        <item h="1" x="4074"/>
        <item h="1" x="4075"/>
        <item h="1" x="4076"/>
        <item h="1" x="4077"/>
        <item h="1" x="4078"/>
        <item h="1" x="4079"/>
        <item h="1" x="4080"/>
        <item h="1" x="4081"/>
        <item h="1" x="4082"/>
        <item h="1" x="4083"/>
        <item h="1" x="4084"/>
        <item h="1" x="4085"/>
        <item h="1" x="4086"/>
        <item h="1" x="4087"/>
        <item h="1" x="4088"/>
        <item h="1" x="4089"/>
        <item h="1" x="4090"/>
        <item h="1" x="4091"/>
        <item h="1" x="4092"/>
        <item h="1" x="4093"/>
        <item h="1" x="4094"/>
        <item h="1" x="4095"/>
        <item h="1" x="4096"/>
        <item h="1" x="4097"/>
        <item h="1" x="4098"/>
        <item h="1" x="4099"/>
        <item h="1" x="4100"/>
        <item h="1" x="4101"/>
        <item h="1" x="4102"/>
        <item h="1" x="4103"/>
        <item h="1" x="4104"/>
        <item h="1" x="4105"/>
        <item h="1" x="4106"/>
        <item h="1" x="4107"/>
        <item h="1" x="4108"/>
        <item h="1" x="4109"/>
        <item h="1" x="4110"/>
        <item h="1" x="4111"/>
        <item h="1" x="4112"/>
        <item h="1" x="4113"/>
        <item h="1" x="4114"/>
        <item h="1" x="4115"/>
        <item h="1" x="4116"/>
        <item h="1" x="4117"/>
        <item h="1" x="4118"/>
        <item h="1" x="4119"/>
        <item h="1" x="4120"/>
        <item h="1" x="4121"/>
        <item h="1" x="4122"/>
        <item h="1" x="4123"/>
        <item h="1" x="4124"/>
        <item h="1" x="4125"/>
        <item h="1" x="4126"/>
        <item h="1" x="4127"/>
        <item h="1" x="4128"/>
        <item h="1" x="4129"/>
        <item h="1" x="4130"/>
        <item h="1" x="4131"/>
        <item h="1" x="4132"/>
        <item h="1" x="4133"/>
        <item h="1" x="4134"/>
        <item h="1" x="4135"/>
        <item h="1" x="4136"/>
        <item h="1" x="4137"/>
        <item h="1" x="4138"/>
        <item h="1" x="4139"/>
        <item h="1" x="4140"/>
        <item h="1" x="4141"/>
        <item h="1" x="4142"/>
        <item h="1" x="4143"/>
        <item h="1" x="4144"/>
        <item h="1" x="4145"/>
        <item h="1" x="4146"/>
        <item h="1" x="4147"/>
        <item h="1" x="4148"/>
        <item h="1" x="4149"/>
        <item h="1" x="4150"/>
        <item h="1" x="4151"/>
        <item h="1" x="4152"/>
        <item h="1" x="4153"/>
        <item h="1" x="4154"/>
        <item h="1" x="4155"/>
        <item h="1" x="4156"/>
        <item h="1" x="4157"/>
        <item h="1" x="4158"/>
        <item h="1" x="4159"/>
        <item h="1" x="4160"/>
        <item h="1" x="4161"/>
        <item h="1" x="4162"/>
        <item h="1" x="4163"/>
        <item h="1" x="4164"/>
        <item h="1" x="4165"/>
        <item h="1" x="4166"/>
        <item h="1" x="4167"/>
        <item h="1" x="4168"/>
        <item h="1" x="4169"/>
        <item h="1" x="4170"/>
        <item h="1" x="4171"/>
        <item h="1" x="4172"/>
        <item h="1" x="4173"/>
        <item h="1" x="4174"/>
        <item h="1" x="4175"/>
        <item h="1" x="4176"/>
        <item h="1" x="4177"/>
        <item h="1" x="4178"/>
        <item h="1" x="4179"/>
        <item h="1" x="4180"/>
        <item h="1" x="4181"/>
        <item h="1" x="4182"/>
        <item h="1" x="4183"/>
        <item h="1" x="4184"/>
        <item h="1" x="4185"/>
        <item h="1" x="4186"/>
        <item h="1" x="4187"/>
        <item h="1" x="4188"/>
        <item h="1" x="4189"/>
        <item h="1" x="4190"/>
        <item h="1" x="4191"/>
        <item h="1" x="4192"/>
        <item h="1" x="4193"/>
        <item h="1" x="4194"/>
        <item h="1" x="4195"/>
        <item h="1" x="4196"/>
        <item h="1" x="4197"/>
        <item h="1" x="4198"/>
        <item h="1" x="4199"/>
        <item h="1" x="4200"/>
        <item h="1" x="4201"/>
        <item h="1" x="4202"/>
        <item h="1" x="4203"/>
        <item h="1" x="4204"/>
        <item h="1" x="4205"/>
        <item h="1" x="4206"/>
        <item h="1" x="4207"/>
        <item h="1" x="4208"/>
        <item h="1" x="4209"/>
        <item h="1" x="4210"/>
        <item h="1" x="4211"/>
        <item h="1" x="4212"/>
        <item h="1" x="4213"/>
        <item h="1" x="4214"/>
        <item h="1" x="4215"/>
        <item h="1" x="4216"/>
        <item h="1" x="4217"/>
        <item h="1" x="4218"/>
        <item h="1" x="4219"/>
        <item h="1" x="4220"/>
        <item h="1" x="4221"/>
        <item h="1" x="4222"/>
        <item h="1" x="4223"/>
        <item h="1" x="4224"/>
        <item h="1" x="4225"/>
        <item h="1" x="4226"/>
        <item h="1" x="4227"/>
        <item h="1" x="4228"/>
        <item h="1" x="4229"/>
        <item h="1" x="4230"/>
        <item h="1" x="4231"/>
        <item h="1" x="4232"/>
        <item h="1" x="4233"/>
        <item h="1" x="4234"/>
        <item h="1" x="4235"/>
        <item h="1" x="4236"/>
        <item h="1" x="4237"/>
        <item h="1" x="4238"/>
        <item h="1" x="4239"/>
        <item h="1" x="4240"/>
        <item h="1" x="4241"/>
        <item h="1" x="4242"/>
        <item h="1" x="4243"/>
        <item h="1" x="4244"/>
        <item h="1" x="4245"/>
        <item h="1" x="4246"/>
        <item h="1" x="4247"/>
        <item h="1" x="4248"/>
        <item h="1" x="4249"/>
        <item h="1" x="4250"/>
        <item h="1" x="4251"/>
        <item h="1" x="4252"/>
        <item h="1" x="4253"/>
        <item h="1" x="4254"/>
        <item h="1" x="4255"/>
        <item h="1" x="4256"/>
        <item h="1" x="4257"/>
        <item h="1" x="4258"/>
        <item h="1" x="4259"/>
        <item h="1" x="4260"/>
        <item h="1" x="4261"/>
        <item h="1" x="4262"/>
        <item h="1" x="4263"/>
        <item h="1" x="4264"/>
        <item h="1" x="4265"/>
        <item h="1" x="4266"/>
        <item h="1" x="4267"/>
        <item h="1" x="4268"/>
        <item h="1" x="4269"/>
        <item h="1" x="4270"/>
        <item h="1" x="4271"/>
        <item h="1" x="4272"/>
        <item h="1" x="4273"/>
        <item h="1" x="4274"/>
        <item h="1" x="4275"/>
        <item h="1" x="4276"/>
        <item h="1" x="4277"/>
        <item h="1" x="4278"/>
        <item h="1" x="4279"/>
        <item h="1" x="4280"/>
        <item h="1" x="4281"/>
        <item h="1" x="4282"/>
        <item h="1" x="4283"/>
        <item h="1" x="4284"/>
        <item h="1" x="4285"/>
        <item h="1" x="4286"/>
        <item h="1" x="4287"/>
        <item h="1" x="4288"/>
        <item h="1" x="4289"/>
        <item h="1" x="4290"/>
        <item h="1" x="4291"/>
        <item h="1" x="4292"/>
        <item h="1" x="4293"/>
        <item h="1" x="4294"/>
        <item h="1" x="4295"/>
        <item h="1" x="4296"/>
        <item h="1" x="4297"/>
        <item h="1" x="4298"/>
        <item h="1" x="4299"/>
        <item h="1" x="4300"/>
        <item h="1" x="4301"/>
        <item h="1" x="4302"/>
        <item h="1" x="4303"/>
        <item h="1" x="4304"/>
        <item h="1" x="4305"/>
        <item h="1" x="4306"/>
        <item h="1" x="4307"/>
        <item h="1" x="4308"/>
        <item h="1" x="4309"/>
        <item h="1" x="4310"/>
        <item h="1" x="4311"/>
        <item h="1" x="4312"/>
        <item h="1" x="4313"/>
        <item h="1" x="4314"/>
        <item h="1" x="4315"/>
        <item h="1" x="4316"/>
        <item h="1" x="4317"/>
        <item h="1" x="4318"/>
        <item h="1" x="4319"/>
        <item h="1" x="4320"/>
        <item h="1" x="4321"/>
        <item h="1" x="4322"/>
        <item h="1" x="4323"/>
        <item h="1" x="4324"/>
        <item h="1" x="4325"/>
        <item h="1" x="4326"/>
        <item h="1" x="4327"/>
        <item h="1" x="4328"/>
        <item h="1" x="4329"/>
        <item h="1" x="4330"/>
        <item h="1" x="4331"/>
        <item h="1" x="4332"/>
        <item h="1" x="4333"/>
        <item h="1" x="4334"/>
        <item h="1" x="4335"/>
        <item h="1" x="4336"/>
        <item h="1" x="4337"/>
        <item h="1" x="4338"/>
        <item h="1" x="4339"/>
        <item h="1" x="4340"/>
        <item h="1" x="4341"/>
        <item h="1" x="4342"/>
        <item h="1" x="4343"/>
        <item h="1" x="4344"/>
        <item h="1" x="4345"/>
        <item h="1" x="4346"/>
        <item h="1" x="4347"/>
        <item h="1" x="4348"/>
        <item h="1" x="4349"/>
        <item h="1" x="4350"/>
        <item h="1" x="4351"/>
        <item h="1" x="4352"/>
        <item h="1" x="4353"/>
        <item h="1" x="4354"/>
        <item h="1" x="4355"/>
        <item h="1" x="4356"/>
        <item h="1" x="4357"/>
        <item h="1" x="4358"/>
        <item h="1" x="4359"/>
        <item h="1" x="4360"/>
        <item h="1" x="4361"/>
        <item h="1" x="4362"/>
        <item h="1" x="4363"/>
        <item h="1" x="4364"/>
        <item h="1" x="4365"/>
        <item h="1" x="4366"/>
        <item h="1" x="4367"/>
        <item h="1" x="4368"/>
        <item h="1" x="4369"/>
        <item h="1" x="4370"/>
        <item h="1" x="4371"/>
        <item h="1" x="4372"/>
        <item h="1" x="4373"/>
        <item h="1" x="4374"/>
        <item h="1" x="4375"/>
        <item h="1" x="4376"/>
        <item h="1" x="4377"/>
        <item h="1" x="4378"/>
        <item h="1" x="4379"/>
        <item h="1" x="4380"/>
        <item h="1" x="4381"/>
        <item h="1" x="4382"/>
        <item h="1" x="4383"/>
        <item h="1" x="4384"/>
        <item h="1" x="4385"/>
        <item h="1" x="4386"/>
        <item h="1" x="4387"/>
        <item h="1" x="4388"/>
        <item h="1" x="4389"/>
        <item h="1" x="4390"/>
        <item h="1" x="4391"/>
        <item h="1" x="4392"/>
        <item h="1" x="4393"/>
        <item h="1" x="4394"/>
        <item h="1" x="4395"/>
        <item h="1" x="4396"/>
        <item h="1" x="4397"/>
        <item h="1" x="4398"/>
        <item h="1" x="4399"/>
        <item h="1" x="4400"/>
        <item h="1" x="4401"/>
        <item h="1" x="4402"/>
        <item h="1" x="4403"/>
        <item h="1" x="4404"/>
        <item h="1" x="4405"/>
        <item h="1" x="4406"/>
        <item h="1" x="4407"/>
        <item h="1" x="4408"/>
        <item h="1" x="4409"/>
        <item h="1" x="4410"/>
        <item h="1" x="4411"/>
        <item h="1" x="4412"/>
        <item h="1" x="4413"/>
        <item h="1" x="4414"/>
        <item h="1" x="4415"/>
        <item h="1" x="4416"/>
        <item h="1" x="4417"/>
        <item h="1" x="4418"/>
        <item h="1" x="4419"/>
        <item h="1" x="4420"/>
        <item h="1" x="4421"/>
        <item h="1" x="4422"/>
        <item h="1" x="4423"/>
        <item h="1" x="4424"/>
        <item h="1" x="4425"/>
        <item h="1" x="4426"/>
        <item h="1" x="4427"/>
        <item h="1" x="4428"/>
        <item h="1" x="4429"/>
        <item h="1" x="4430"/>
        <item h="1" x="4431"/>
        <item h="1" x="4432"/>
        <item h="1" x="4433"/>
        <item h="1" x="4434"/>
        <item h="1" x="4435"/>
        <item h="1" x="4436"/>
        <item h="1" x="4437"/>
        <item h="1" x="4438"/>
        <item h="1" x="4439"/>
        <item h="1" x="4440"/>
        <item h="1" x="4441"/>
        <item h="1" x="4442"/>
        <item h="1" x="4443"/>
        <item h="1" x="4444"/>
        <item h="1" x="4445"/>
        <item h="1" x="4446"/>
        <item h="1" x="4447"/>
        <item h="1" x="4448"/>
        <item h="1" x="4449"/>
        <item h="1" x="4450"/>
        <item h="1" x="4451"/>
        <item h="1" x="4452"/>
        <item h="1" x="4453"/>
        <item h="1" x="4454"/>
        <item h="1" x="4455"/>
        <item h="1" x="4456"/>
        <item h="1" x="4457"/>
        <item h="1" x="4458"/>
        <item h="1" x="4459"/>
        <item h="1" x="4460"/>
        <item h="1" x="4461"/>
        <item h="1" x="4462"/>
        <item h="1" x="4463"/>
        <item h="1" x="4464"/>
        <item h="1" x="4465"/>
        <item h="1" x="4466"/>
        <item h="1" x="4467"/>
        <item h="1" x="4468"/>
        <item h="1" x="4469"/>
        <item h="1" x="4470"/>
        <item h="1" x="4471"/>
        <item h="1" x="4472"/>
        <item h="1" x="4473"/>
        <item h="1" x="4474"/>
        <item h="1" x="4475"/>
        <item h="1" x="4476"/>
        <item h="1" x="4477"/>
        <item h="1" x="4478"/>
        <item h="1" x="4479"/>
        <item h="1" x="4480"/>
        <item h="1" x="4481"/>
        <item h="1" x="4482"/>
        <item h="1" x="4483"/>
        <item h="1" x="4484"/>
        <item h="1" x="4485"/>
        <item h="1" x="4486"/>
        <item h="1" x="4487"/>
        <item h="1" x="4488"/>
        <item h="1" x="4489"/>
        <item h="1" x="4490"/>
        <item h="1" x="4491"/>
        <item h="1" x="4492"/>
        <item h="1" x="4493"/>
        <item h="1" x="4494"/>
        <item h="1" x="4495"/>
        <item h="1" x="4496"/>
        <item h="1" x="4497"/>
        <item h="1" x="4498"/>
        <item h="1" x="4499"/>
        <item h="1" x="4500"/>
        <item h="1" x="4501"/>
        <item h="1" x="4502"/>
        <item h="1" x="4503"/>
        <item h="1" x="4504"/>
        <item h="1" x="4505"/>
        <item h="1" x="4506"/>
        <item h="1" x="4507"/>
        <item h="1" x="4508"/>
        <item h="1" x="4509"/>
        <item h="1" x="4510"/>
        <item h="1" x="4511"/>
        <item h="1" x="4512"/>
        <item h="1" x="4513"/>
        <item h="1" x="4514"/>
        <item h="1" x="4515"/>
        <item h="1" x="4516"/>
        <item h="1" x="4517"/>
        <item h="1" x="4518"/>
        <item h="1" x="4519"/>
        <item h="1" x="4520"/>
        <item h="1" x="4521"/>
        <item h="1" x="4522"/>
        <item h="1" x="4523"/>
        <item h="1" x="4524"/>
        <item h="1" x="4525"/>
        <item h="1" x="4526"/>
        <item h="1" x="4527"/>
        <item h="1" x="4528"/>
        <item h="1" x="4529"/>
        <item h="1" x="4530"/>
        <item h="1" x="4531"/>
        <item h="1" x="4532"/>
        <item h="1" x="4533"/>
        <item h="1" x="4534"/>
        <item h="1" x="4535"/>
        <item h="1" x="4536"/>
        <item h="1" x="4537"/>
        <item h="1" x="4538"/>
        <item h="1" x="4539"/>
        <item h="1" x="4540"/>
        <item h="1" x="4541"/>
        <item h="1" x="4542"/>
        <item h="1" x="4543"/>
        <item h="1" x="4544"/>
        <item h="1" x="4545"/>
        <item h="1" x="4546"/>
        <item h="1" x="4547"/>
        <item h="1" x="4548"/>
        <item h="1" x="4549"/>
        <item h="1" x="4550"/>
        <item h="1" x="4551"/>
        <item h="1" x="4552"/>
        <item h="1" x="4553"/>
        <item h="1" x="4554"/>
        <item h="1" x="4555"/>
        <item h="1" x="4556"/>
        <item h="1" x="4557"/>
        <item h="1" x="4558"/>
        <item h="1" x="4559"/>
        <item h="1" x="4560"/>
        <item h="1" x="4561"/>
        <item h="1" x="4562"/>
        <item h="1" x="4563"/>
        <item h="1" x="4564"/>
        <item h="1" x="4565"/>
        <item h="1" x="4566"/>
        <item h="1" x="4567"/>
        <item h="1" x="4568"/>
        <item h="1" x="4569"/>
        <item h="1" x="4570"/>
        <item h="1" x="4571"/>
        <item h="1" x="4572"/>
        <item h="1" x="4573"/>
        <item h="1" x="4574"/>
        <item h="1" x="4575"/>
        <item h="1" x="4576"/>
        <item h="1" x="4577"/>
        <item h="1" x="4578"/>
        <item h="1" x="4579"/>
        <item h="1" x="4580"/>
        <item h="1" x="4581"/>
        <item h="1" x="4582"/>
        <item h="1" x="4583"/>
        <item h="1" x="4584"/>
        <item h="1" x="4585"/>
        <item h="1" x="4586"/>
        <item h="1" x="4587"/>
        <item h="1" x="4588"/>
        <item h="1" x="4589"/>
        <item h="1" x="4590"/>
        <item h="1" x="4591"/>
        <item h="1" x="4592"/>
        <item h="1" x="4593"/>
        <item h="1" x="4594"/>
        <item h="1" x="4595"/>
        <item h="1" x="4596"/>
        <item h="1" x="4597"/>
        <item h="1" x="4598"/>
        <item h="1" x="4599"/>
        <item h="1" x="4600"/>
        <item h="1" x="4601"/>
        <item h="1" x="4602"/>
        <item h="1" x="4603"/>
        <item h="1" x="4604"/>
        <item h="1" x="4605"/>
        <item h="1" x="4606"/>
        <item h="1" x="4607"/>
        <item h="1" x="4608"/>
        <item h="1" x="4609"/>
        <item h="1" x="4610"/>
        <item h="1" x="4611"/>
        <item h="1" x="4612"/>
        <item h="1" x="4613"/>
        <item h="1" x="4614"/>
        <item h="1" x="4615"/>
        <item h="1" x="4616"/>
        <item h="1" x="4617"/>
        <item h="1" x="4618"/>
        <item h="1" x="4619"/>
        <item h="1" x="4620"/>
        <item h="1" x="4621"/>
        <item h="1" x="4622"/>
        <item h="1" x="4623"/>
        <item h="1" x="4624"/>
        <item h="1" x="4625"/>
        <item h="1" x="4626"/>
        <item h="1" x="4627"/>
        <item h="1" x="4628"/>
        <item h="1" x="4629"/>
        <item h="1" x="4630"/>
        <item h="1" x="4631"/>
        <item h="1" x="4632"/>
        <item h="1" x="4633"/>
        <item h="1" x="4634"/>
        <item h="1" x="4635"/>
        <item h="1" x="4636"/>
        <item h="1" x="4637"/>
        <item h="1" x="4638"/>
        <item h="1" x="4639"/>
        <item h="1" x="4640"/>
        <item h="1" x="4641"/>
        <item h="1" x="4642"/>
        <item h="1" x="4643"/>
        <item h="1" x="4644"/>
        <item h="1" x="4645"/>
        <item h="1" x="4646"/>
        <item h="1" x="4647"/>
        <item h="1" x="4648"/>
        <item h="1" x="4649"/>
        <item h="1" x="4650"/>
        <item h="1" x="4651"/>
        <item h="1" x="4652"/>
        <item h="1" x="4653"/>
        <item h="1" x="4654"/>
        <item h="1" x="4655"/>
        <item h="1" x="4656"/>
        <item h="1" x="4657"/>
        <item h="1" x="4658"/>
        <item h="1" x="4659"/>
        <item h="1" x="4660"/>
        <item h="1" x="4661"/>
        <item h="1" x="4662"/>
        <item h="1" x="4663"/>
        <item h="1" x="4664"/>
        <item h="1" x="4665"/>
        <item h="1" x="4666"/>
        <item h="1" x="4667"/>
        <item h="1" x="4668"/>
        <item h="1" x="4669"/>
        <item h="1" x="4670"/>
        <item h="1" x="4671"/>
        <item h="1" x="4672"/>
        <item h="1" x="4673"/>
        <item h="1" x="4674"/>
        <item h="1" x="4675"/>
        <item h="1" x="4676"/>
        <item h="1" x="4677"/>
        <item h="1" x="4678"/>
        <item h="1" x="4679"/>
        <item h="1" x="4680"/>
        <item h="1" x="4681"/>
        <item h="1" x="4682"/>
        <item h="1" x="4683"/>
        <item h="1" x="4684"/>
        <item h="1" x="4685"/>
        <item h="1" x="4686"/>
        <item h="1" x="4687"/>
        <item h="1" x="4688"/>
        <item h="1" x="4689"/>
        <item h="1" x="4690"/>
        <item h="1" x="4691"/>
        <item h="1" x="4692"/>
        <item h="1" x="4693"/>
        <item h="1" x="4694"/>
        <item h="1" x="4695"/>
        <item h="1" x="4696"/>
        <item h="1" x="4697"/>
        <item h="1" x="4698"/>
        <item h="1" x="4699"/>
        <item h="1" x="4700"/>
        <item h="1" x="4701"/>
        <item h="1" x="4702"/>
        <item h="1" x="4703"/>
        <item h="1" x="4704"/>
        <item h="1" x="4705"/>
        <item h="1" x="4706"/>
        <item h="1" x="4707"/>
        <item h="1" x="4708"/>
        <item h="1" x="4709"/>
        <item h="1" x="4710"/>
        <item h="1" x="4711"/>
        <item h="1" x="4712"/>
        <item h="1" x="4713"/>
        <item h="1" x="4714"/>
        <item h="1" x="4715"/>
        <item h="1" x="4716"/>
        <item h="1" x="4717"/>
        <item h="1" x="4718"/>
        <item h="1" x="4719"/>
        <item h="1" x="4720"/>
        <item h="1" x="4721"/>
        <item h="1" x="4722"/>
        <item h="1" x="4723"/>
        <item h="1" x="4724"/>
        <item h="1" x="4725"/>
        <item h="1" x="4726"/>
        <item h="1" x="4727"/>
        <item h="1" x="4728"/>
        <item h="1" x="4729"/>
        <item h="1" x="4730"/>
        <item h="1" x="4731"/>
        <item h="1" x="4732"/>
        <item h="1" x="4733"/>
        <item h="1" x="4734"/>
        <item h="1" x="4735"/>
        <item h="1" x="4736"/>
        <item h="1" x="4737"/>
        <item h="1" x="4738"/>
        <item h="1" x="4739"/>
        <item h="1" x="4740"/>
        <item h="1" x="4741"/>
        <item h="1" x="4742"/>
        <item h="1" x="4743"/>
        <item h="1" x="4744"/>
        <item h="1" x="4745"/>
        <item h="1" x="4746"/>
        <item h="1" x="4747"/>
        <item h="1" x="4748"/>
        <item h="1" x="4749"/>
        <item h="1" x="4750"/>
        <item h="1" x="4751"/>
        <item h="1" x="4752"/>
        <item h="1" x="4753"/>
        <item h="1" x="4754"/>
        <item h="1" x="4755"/>
        <item h="1" x="4756"/>
        <item h="1" x="4757"/>
        <item h="1" x="4758"/>
        <item h="1" x="4759"/>
        <item h="1" x="4760"/>
        <item h="1" x="4761"/>
        <item h="1" x="4762"/>
        <item h="1" x="4763"/>
        <item h="1" x="4764"/>
        <item h="1" x="4765"/>
        <item h="1" x="4766"/>
        <item h="1" x="4767"/>
        <item h="1" x="4768"/>
        <item h="1" x="4769"/>
        <item h="1" x="4770"/>
        <item h="1" x="4771"/>
        <item h="1" x="4772"/>
        <item h="1" x="4773"/>
        <item h="1" x="4774"/>
        <item h="1" x="4775"/>
        <item h="1" x="4776"/>
        <item h="1" x="4777"/>
        <item h="1" x="4778"/>
        <item h="1" x="4779"/>
        <item h="1" x="4780"/>
        <item h="1" x="4781"/>
        <item h="1" x="4782"/>
        <item h="1" x="4783"/>
        <item h="1" x="4784"/>
        <item h="1" x="4785"/>
        <item h="1" x="4786"/>
        <item h="1" x="4787"/>
        <item h="1" x="4788"/>
        <item h="1" x="4789"/>
        <item h="1" x="4790"/>
        <item h="1" x="4791"/>
        <item h="1" x="4792"/>
        <item h="1" x="4793"/>
        <item h="1" x="4794"/>
        <item h="1" x="4795"/>
        <item h="1" x="4796"/>
        <item h="1" x="4797"/>
        <item h="1" x="4798"/>
        <item h="1" x="4799"/>
        <item h="1" x="4800"/>
        <item h="1" x="4801"/>
        <item h="1" x="4802"/>
        <item h="1" x="4803"/>
        <item h="1" x="4804"/>
        <item h="1" x="4805"/>
        <item h="1" x="4806"/>
        <item h="1" x="4807"/>
        <item h="1" x="4808"/>
        <item h="1" x="4809"/>
        <item h="1" x="4810"/>
        <item h="1" x="4811"/>
        <item h="1" x="4812"/>
        <item h="1" x="4813"/>
        <item h="1" x="4814"/>
        <item h="1" x="4815"/>
        <item h="1" x="4816"/>
        <item h="1" x="4817"/>
        <item h="1" x="4818"/>
        <item h="1" x="4819"/>
        <item h="1" x="4820"/>
        <item h="1" x="4821"/>
        <item h="1" x="4822"/>
        <item h="1" x="4823"/>
        <item h="1" x="4824"/>
        <item h="1" x="4825"/>
        <item h="1" x="4826"/>
        <item h="1" x="4827"/>
        <item h="1" x="4828"/>
        <item h="1" x="4829"/>
        <item h="1" x="4830"/>
        <item h="1" x="4831"/>
        <item h="1" x="4832"/>
        <item h="1" x="4833"/>
        <item h="1" x="4834"/>
        <item h="1" x="4835"/>
        <item h="1" x="4836"/>
        <item h="1" x="4837"/>
        <item h="1" x="4838"/>
        <item h="1" x="4839"/>
        <item h="1" x="4840"/>
        <item h="1" x="4841"/>
        <item h="1" x="4842"/>
        <item h="1" x="4843"/>
        <item h="1" x="4844"/>
        <item h="1" x="4845"/>
        <item h="1" x="4846"/>
        <item h="1" x="4847"/>
        <item h="1" x="4848"/>
        <item h="1" x="4849"/>
        <item h="1" x="4850"/>
        <item h="1" x="4851"/>
        <item h="1" x="4852"/>
        <item h="1" x="4853"/>
        <item h="1" x="4854"/>
        <item h="1" x="4855"/>
        <item h="1" x="4856"/>
        <item h="1" x="4857"/>
        <item h="1" x="4858"/>
        <item h="1" x="4859"/>
        <item h="1" x="4860"/>
        <item h="1" x="4861"/>
        <item h="1" x="4862"/>
        <item h="1" x="4863"/>
        <item h="1" x="4864"/>
        <item h="1" x="4865"/>
        <item h="1" x="4866"/>
        <item h="1" x="4867"/>
        <item h="1" x="4868"/>
        <item h="1" x="4869"/>
        <item h="1" x="4870"/>
        <item h="1" x="4871"/>
        <item h="1" x="4872"/>
        <item h="1" x="4873"/>
        <item h="1" x="4874"/>
        <item h="1" x="4875"/>
        <item h="1" x="4876"/>
        <item h="1" x="4877"/>
        <item h="1" x="4878"/>
        <item h="1" x="4879"/>
        <item h="1" x="4880"/>
        <item h="1" x="4881"/>
        <item h="1" x="4882"/>
        <item h="1" x="4883"/>
        <item h="1" x="4884"/>
        <item h="1" x="4885"/>
        <item h="1" x="4886"/>
        <item h="1" x="4887"/>
        <item h="1" x="4888"/>
        <item h="1" x="4889"/>
        <item h="1" x="4890"/>
        <item h="1" x="4891"/>
        <item h="1" x="4892"/>
        <item h="1" x="4893"/>
        <item h="1" x="4894"/>
        <item h="1" x="4895"/>
        <item h="1" x="4896"/>
        <item h="1" x="4897"/>
        <item h="1" x="4898"/>
        <item h="1" x="4899"/>
        <item h="1" x="4900"/>
        <item h="1" x="4901"/>
        <item h="1" x="4902"/>
        <item h="1" x="4903"/>
        <item h="1" x="4904"/>
        <item h="1" x="4905"/>
        <item h="1" x="4906"/>
        <item h="1" x="4907"/>
        <item h="1" x="4908"/>
        <item h="1" x="4909"/>
        <item h="1" x="4910"/>
        <item h="1" x="4911"/>
        <item h="1" x="4912"/>
        <item h="1" x="4913"/>
        <item h="1" x="4914"/>
        <item h="1" x="4915"/>
        <item h="1" x="4916"/>
        <item h="1" x="4917"/>
        <item h="1" x="4918"/>
        <item h="1" x="4919"/>
        <item h="1" x="4920"/>
        <item h="1" x="4921"/>
        <item h="1" x="4922"/>
        <item h="1" x="4923"/>
        <item h="1" x="4924"/>
        <item h="1" x="4925"/>
        <item h="1" x="4926"/>
        <item h="1" x="4927"/>
        <item h="1" x="4928"/>
        <item h="1" x="4929"/>
        <item h="1" x="4930"/>
        <item h="1" x="4931"/>
        <item h="1" x="4932"/>
        <item h="1" x="4933"/>
        <item h="1" x="4934"/>
        <item h="1" x="4935"/>
        <item h="1" x="4936"/>
        <item h="1" x="4937"/>
        <item h="1" x="4938"/>
        <item h="1" x="4939"/>
        <item h="1" x="4940"/>
        <item h="1" x="4941"/>
        <item h="1" x="4942"/>
        <item h="1" x="4943"/>
        <item h="1" x="4944"/>
        <item h="1" x="4945"/>
        <item h="1" x="4946"/>
        <item h="1" x="4947"/>
        <item h="1" x="4948"/>
        <item h="1" x="4949"/>
        <item h="1" x="4950"/>
        <item h="1" x="4951"/>
        <item h="1" x="4952"/>
        <item h="1" x="4953"/>
        <item h="1" x="4954"/>
        <item h="1" x="4955"/>
        <item h="1" x="4956"/>
        <item h="1" x="4957"/>
        <item h="1" x="4958"/>
        <item h="1" x="4959"/>
        <item h="1" x="4960"/>
        <item h="1" x="4961"/>
        <item h="1" x="4962"/>
        <item h="1" x="4963"/>
        <item h="1" x="4964"/>
        <item h="1" x="4965"/>
        <item h="1" x="4966"/>
        <item h="1" x="4967"/>
        <item h="1" x="4968"/>
        <item h="1" x="4969"/>
        <item h="1" x="4970"/>
        <item h="1" x="4971"/>
        <item h="1" x="4972"/>
        <item h="1" x="4973"/>
        <item h="1" x="4974"/>
        <item h="1" x="4975"/>
        <item h="1" x="4976"/>
        <item h="1" x="4977"/>
        <item h="1" x="4978"/>
        <item h="1" x="4979"/>
        <item h="1" x="4980"/>
        <item h="1" x="4981"/>
        <item h="1" x="4982"/>
        <item h="1" x="4983"/>
        <item h="1" x="4984"/>
        <item h="1" x="4985"/>
        <item h="1" x="4986"/>
        <item h="1" x="4987"/>
        <item h="1" x="4988"/>
        <item h="1" x="4989"/>
        <item h="1" x="4990"/>
        <item h="1" x="4991"/>
        <item h="1" x="4992"/>
        <item h="1" x="4993"/>
        <item h="1" x="4994"/>
        <item h="1" x="4995"/>
        <item h="1" x="4996"/>
        <item h="1" x="4997"/>
        <item h="1" x="4998"/>
        <item h="1" x="4999"/>
        <item h="1" x="5000"/>
        <item h="1" x="5001"/>
        <item h="1" x="5002"/>
        <item h="1" x="5003"/>
        <item h="1" x="5004"/>
        <item h="1" x="5005"/>
        <item h="1" x="5006"/>
        <item h="1" x="5007"/>
        <item h="1" x="5008"/>
        <item h="1" x="5009"/>
        <item h="1" x="5010"/>
        <item h="1" x="5011"/>
        <item h="1" x="5012"/>
        <item h="1" x="5013"/>
        <item h="1" x="5014"/>
        <item h="1" x="5015"/>
        <item h="1" x="5016"/>
        <item h="1" x="5017"/>
        <item h="1" x="5018"/>
        <item h="1" x="5019"/>
        <item h="1" x="5020"/>
        <item h="1" x="5021"/>
        <item h="1" x="5022"/>
        <item h="1" x="5023"/>
        <item h="1" x="5024"/>
        <item h="1" x="5025"/>
        <item h="1" x="5026"/>
        <item h="1" x="5027"/>
        <item h="1" x="5028"/>
        <item h="1" x="5029"/>
        <item h="1" x="5030"/>
        <item h="1" x="5031"/>
        <item h="1" x="5032"/>
        <item h="1" x="5033"/>
        <item h="1" x="5034"/>
        <item h="1" x="5035"/>
        <item h="1" x="5036"/>
        <item h="1" x="5037"/>
        <item h="1" x="5038"/>
        <item h="1" x="5039"/>
        <item h="1" x="5040"/>
        <item h="1" x="5041"/>
        <item h="1" x="5042"/>
        <item h="1" x="5043"/>
        <item h="1" x="5044"/>
        <item h="1" x="5045"/>
        <item h="1" x="5046"/>
        <item h="1" x="5047"/>
        <item h="1" x="5048"/>
        <item h="1" x="5049"/>
        <item h="1" x="5050"/>
        <item h="1" x="5051"/>
        <item h="1" x="5052"/>
        <item h="1" x="5053"/>
        <item h="1" x="5054"/>
        <item h="1" x="5055"/>
        <item h="1" x="5056"/>
        <item h="1" x="5057"/>
        <item h="1" x="5058"/>
        <item h="1" x="5059"/>
        <item h="1" x="5060"/>
        <item h="1" x="5061"/>
        <item h="1" x="5062"/>
        <item h="1" x="5063"/>
        <item h="1" x="5064"/>
        <item h="1" x="5065"/>
        <item h="1" x="5066"/>
        <item h="1" x="5067"/>
        <item h="1" x="5068"/>
        <item h="1" x="5069"/>
        <item h="1" x="5070"/>
        <item h="1" x="5071"/>
        <item h="1" x="5072"/>
        <item h="1" x="5073"/>
        <item h="1" x="5074"/>
        <item h="1" x="5075"/>
        <item h="1" x="5076"/>
        <item h="1" x="5077"/>
        <item h="1" x="5078"/>
        <item h="1" x="5079"/>
        <item h="1" x="5080"/>
        <item h="1" x="5081"/>
        <item h="1" x="5082"/>
        <item h="1" x="5083"/>
        <item h="1" x="5084"/>
        <item h="1" x="5085"/>
        <item h="1" x="5086"/>
        <item h="1" x="5087"/>
        <item h="1" x="5088"/>
        <item h="1" x="5089"/>
        <item h="1" x="5090"/>
        <item h="1" x="5091"/>
        <item h="1" x="5092"/>
        <item h="1" x="5093"/>
        <item h="1" x="5094"/>
        <item h="1" x="5095"/>
        <item h="1" x="5096"/>
        <item h="1" x="5097"/>
        <item h="1" x="5098"/>
        <item h="1" x="5099"/>
        <item h="1" x="5100"/>
        <item h="1" x="5101"/>
        <item h="1" x="5102"/>
        <item h="1" x="5103"/>
        <item h="1" x="5104"/>
        <item h="1" x="5105"/>
        <item h="1" x="5106"/>
        <item h="1" x="5107"/>
        <item h="1" x="5108"/>
        <item h="1" x="5109"/>
        <item h="1" x="5110"/>
        <item h="1" x="5111"/>
        <item h="1" x="5112"/>
        <item h="1" x="5113"/>
        <item h="1" x="5114"/>
        <item h="1" x="5115"/>
        <item h="1" x="5116"/>
        <item h="1" x="5117"/>
        <item h="1" x="5118"/>
        <item h="1" x="5119"/>
        <item h="1" x="5120"/>
        <item h="1" x="5121"/>
        <item h="1" x="5122"/>
        <item h="1" x="5123"/>
        <item h="1" x="5124"/>
        <item h="1" x="5125"/>
        <item h="1" x="5126"/>
        <item h="1" x="5127"/>
        <item h="1" x="5128"/>
        <item h="1" x="5129"/>
        <item h="1" x="5130"/>
        <item h="1" x="5131"/>
        <item h="1" x="5132"/>
        <item h="1" x="5133"/>
        <item h="1" x="5134"/>
        <item h="1" x="5135"/>
        <item h="1" x="5136"/>
        <item h="1" x="5137"/>
        <item h="1" x="5138"/>
        <item h="1" x="5139"/>
        <item h="1" x="5140"/>
        <item h="1" x="5141"/>
        <item h="1" x="5142"/>
        <item h="1" x="5143"/>
        <item h="1" x="5144"/>
        <item h="1" x="5145"/>
        <item h="1" x="5146"/>
        <item h="1" x="5147"/>
        <item h="1" x="5148"/>
        <item h="1" x="5149"/>
        <item h="1" x="5150"/>
        <item h="1" x="5151"/>
        <item h="1" x="5152"/>
        <item h="1" x="5153"/>
        <item h="1" x="5154"/>
        <item h="1" x="5155"/>
        <item h="1" x="5156"/>
        <item h="1" x="5157"/>
        <item h="1" x="5158"/>
        <item h="1" x="5159"/>
        <item h="1" x="5160"/>
        <item h="1" x="5161"/>
        <item h="1" x="5162"/>
        <item h="1" x="5163"/>
        <item h="1" x="5164"/>
        <item h="1" x="5165"/>
        <item h="1" x="5166"/>
        <item h="1" x="5167"/>
        <item h="1" x="5168"/>
        <item h="1" x="5169"/>
        <item h="1" x="5170"/>
        <item h="1" x="5171"/>
        <item h="1" x="5172"/>
        <item h="1" x="5173"/>
        <item h="1" x="5174"/>
        <item h="1" x="5175"/>
        <item h="1" x="5176"/>
        <item h="1" x="5177"/>
        <item h="1" x="5178"/>
        <item h="1" x="5179"/>
        <item h="1" x="5180"/>
        <item h="1" x="5181"/>
        <item h="1" x="5182"/>
        <item h="1" x="5183"/>
        <item h="1" x="5184"/>
        <item h="1" x="5185"/>
        <item h="1" x="5186"/>
        <item h="1" x="5187"/>
        <item h="1" x="5188"/>
        <item h="1" x="5189"/>
        <item h="1" x="5190"/>
        <item h="1" x="5191"/>
        <item h="1" x="5192"/>
        <item h="1" x="5193"/>
        <item h="1" x="5194"/>
        <item h="1" x="5195"/>
        <item h="1" x="5196"/>
        <item h="1" x="5197"/>
        <item h="1" x="5198"/>
        <item h="1" x="5199"/>
        <item h="1" x="5200"/>
        <item h="1" x="5201"/>
        <item h="1" x="5202"/>
        <item h="1" x="5203"/>
        <item h="1" x="5204"/>
        <item h="1" x="5205"/>
        <item h="1" x="5206"/>
        <item h="1" x="5207"/>
        <item h="1" x="5208"/>
        <item h="1" x="5209"/>
        <item h="1" x="5210"/>
        <item h="1" x="5211"/>
        <item h="1" x="5212"/>
        <item h="1" x="5213"/>
        <item h="1" x="5214"/>
        <item h="1" x="5215"/>
        <item h="1" x="5216"/>
        <item h="1" x="5217"/>
        <item h="1" x="5218"/>
        <item h="1" x="5219"/>
        <item h="1" x="5220"/>
        <item h="1" x="5221"/>
        <item h="1" x="5222"/>
        <item h="1" x="5223"/>
        <item h="1" x="5224"/>
        <item h="1" x="5225"/>
        <item h="1" x="5226"/>
        <item h="1" x="5227"/>
        <item h="1" x="5228"/>
        <item h="1" x="5229"/>
        <item h="1" x="5230"/>
        <item h="1" x="5231"/>
        <item h="1" x="5232"/>
        <item h="1" x="5233"/>
        <item h="1" x="5234"/>
        <item h="1" x="5235"/>
        <item h="1" x="5236"/>
        <item h="1" x="5237"/>
        <item h="1" x="5238"/>
        <item h="1" x="5239"/>
        <item h="1" x="5240"/>
        <item h="1" x="5241"/>
        <item h="1" x="5242"/>
        <item h="1" x="5243"/>
        <item h="1" x="5244"/>
        <item h="1" x="5245"/>
        <item h="1" x="5246"/>
        <item h="1" x="5247"/>
        <item h="1" x="5248"/>
        <item h="1" x="5249"/>
        <item h="1" x="5250"/>
        <item h="1" x="5251"/>
        <item h="1" x="5252"/>
        <item h="1" x="5253"/>
        <item h="1" x="5254"/>
        <item h="1" x="5255"/>
        <item h="1" x="5256"/>
        <item h="1" x="5257"/>
        <item h="1" x="5258"/>
        <item h="1" x="5259"/>
        <item h="1" x="5260"/>
        <item h="1" x="5261"/>
        <item h="1" x="5262"/>
        <item h="1" x="5263"/>
        <item h="1" x="5264"/>
        <item h="1" x="5265"/>
        <item h="1" x="5266"/>
        <item h="1" x="5267"/>
        <item h="1" x="5268"/>
        <item h="1" x="5269"/>
        <item h="1" x="5270"/>
        <item h="1" x="5271"/>
        <item h="1" x="5272"/>
        <item h="1" x="5273"/>
        <item h="1" x="5274"/>
        <item h="1" x="5275"/>
        <item h="1" x="5276"/>
        <item h="1" x="5277"/>
        <item h="1" x="5278"/>
        <item h="1" x="5279"/>
        <item h="1" x="5280"/>
        <item h="1" x="5281"/>
        <item h="1" x="5282"/>
        <item h="1" x="5283"/>
        <item h="1" x="5284"/>
        <item h="1" x="5285"/>
        <item h="1" x="5286"/>
        <item h="1" x="5287"/>
        <item h="1" x="5288"/>
        <item h="1" x="5289"/>
        <item h="1" x="5290"/>
        <item h="1" x="5291"/>
        <item h="1" x="5292"/>
        <item h="1" x="5293"/>
        <item h="1" x="5294"/>
        <item h="1" x="5295"/>
        <item h="1" x="5296"/>
        <item h="1" x="5297"/>
        <item h="1" x="5298"/>
        <item h="1" x="5299"/>
        <item h="1" x="5300"/>
        <item h="1" x="5301"/>
        <item h="1" x="5302"/>
        <item h="1" x="5303"/>
        <item h="1" x="5304"/>
        <item h="1" x="5305"/>
        <item h="1" x="5306"/>
        <item h="1" x="5307"/>
        <item h="1" x="5308"/>
        <item h="1" x="5309"/>
        <item h="1" x="5310"/>
        <item h="1" x="5311"/>
        <item h="1" x="5312"/>
        <item h="1" x="5313"/>
        <item h="1" x="5314"/>
        <item h="1" x="5315"/>
        <item h="1" x="5316"/>
        <item h="1" x="5317"/>
        <item h="1" x="5318"/>
        <item h="1" x="5319"/>
        <item h="1" x="5320"/>
        <item h="1" x="5321"/>
        <item h="1" x="5322"/>
        <item h="1" x="5323"/>
        <item h="1" x="5324"/>
        <item h="1" x="5325"/>
        <item h="1" x="5326"/>
        <item h="1" x="5327"/>
        <item h="1" x="5328"/>
        <item h="1" x="5329"/>
        <item h="1" x="5330"/>
        <item h="1" x="5331"/>
        <item h="1" x="5332"/>
        <item h="1" x="5333"/>
        <item h="1" x="5334"/>
        <item h="1" x="5335"/>
        <item h="1" x="5336"/>
        <item h="1" x="5337"/>
        <item h="1" x="5338"/>
        <item h="1" x="5339"/>
        <item h="1" x="5340"/>
        <item h="1" x="5341"/>
        <item h="1" x="5342"/>
        <item h="1" x="5343"/>
        <item h="1" x="5344"/>
        <item h="1" x="5345"/>
        <item h="1" x="5346"/>
        <item h="1" x="5347"/>
        <item h="1" x="5348"/>
        <item h="1" x="5349"/>
        <item h="1" x="5350"/>
        <item h="1" x="5351"/>
        <item h="1" x="5352"/>
        <item h="1" x="5353"/>
        <item h="1" x="5354"/>
        <item h="1" x="5355"/>
        <item h="1" x="5356"/>
        <item h="1" x="5357"/>
        <item h="1" x="5358"/>
        <item h="1" x="5359"/>
        <item h="1" x="5360"/>
        <item h="1" x="5361"/>
        <item h="1" x="5362"/>
        <item h="1" x="5363"/>
        <item h="1" x="5364"/>
        <item h="1" x="5365"/>
        <item h="1" x="5366"/>
        <item h="1" x="5367"/>
        <item h="1" x="5368"/>
        <item h="1" x="5369"/>
        <item h="1" x="5370"/>
        <item h="1" x="5371"/>
        <item h="1" x="5372"/>
        <item h="1" x="5373"/>
        <item h="1" x="5374"/>
        <item h="1" x="5375"/>
        <item h="1" x="5376"/>
        <item h="1" x="5377"/>
        <item h="1" x="5378"/>
        <item h="1" x="5379"/>
        <item h="1" x="5380"/>
        <item h="1" x="5381"/>
        <item h="1" x="5382"/>
        <item h="1" x="5383"/>
        <item h="1" x="5384"/>
        <item h="1" x="5385"/>
        <item h="1" x="5386"/>
        <item h="1" x="5387"/>
        <item h="1" x="5388"/>
        <item h="1" x="5389"/>
        <item h="1" x="5390"/>
        <item h="1" x="5391"/>
        <item h="1" x="5392"/>
        <item h="1" x="5393"/>
        <item h="1" x="5394"/>
        <item h="1" x="5395"/>
        <item h="1" x="5396"/>
        <item h="1" x="5397"/>
        <item h="1" x="5398"/>
        <item h="1" x="5399"/>
        <item h="1" x="5400"/>
        <item h="1" x="5401"/>
        <item h="1" x="5402"/>
        <item h="1" x="5403"/>
        <item h="1" x="5404"/>
        <item h="1" x="5405"/>
        <item h="1" x="5406"/>
        <item h="1" x="5407"/>
        <item h="1" x="5408"/>
        <item h="1" x="5409"/>
        <item h="1" x="5410"/>
        <item h="1" x="5411"/>
        <item h="1" x="5412"/>
        <item h="1" x="5413"/>
        <item h="1" x="5414"/>
        <item h="1" x="5415"/>
        <item h="1" x="5416"/>
        <item h="1" x="5417"/>
        <item h="1" x="5418"/>
        <item h="1" x="5419"/>
        <item h="1" x="5420"/>
        <item h="1" x="5421"/>
        <item h="1" x="5422"/>
        <item h="1" x="5423"/>
        <item h="1" x="5424"/>
        <item h="1" x="5425"/>
        <item h="1" x="5426"/>
        <item h="1" x="5427"/>
        <item h="1" x="5428"/>
        <item h="1" x="5429"/>
        <item h="1" x="5430"/>
        <item h="1" x="5431"/>
        <item h="1" x="5432"/>
        <item h="1" x="5433"/>
        <item h="1" x="5434"/>
        <item h="1" x="5435"/>
        <item h="1" x="5436"/>
        <item h="1" x="5437"/>
        <item h="1" x="5438"/>
        <item h="1" x="5439"/>
        <item h="1" x="5440"/>
        <item h="1" x="5441"/>
        <item h="1" x="5442"/>
        <item h="1" x="5443"/>
        <item h="1" x="5444"/>
        <item h="1" x="5445"/>
        <item h="1" x="5446"/>
        <item h="1" x="5447"/>
        <item h="1" x="5448"/>
        <item h="1" x="5449"/>
        <item h="1" x="5450"/>
        <item h="1" x="5451"/>
        <item h="1" x="5452"/>
        <item h="1" x="5453"/>
        <item h="1" x="5454"/>
        <item h="1" x="5455"/>
        <item h="1" x="5456"/>
        <item h="1" x="5457"/>
        <item h="1" x="5458"/>
        <item h="1" x="5459"/>
        <item h="1" x="5460"/>
        <item h="1" x="5461"/>
        <item h="1" x="5462"/>
        <item h="1" x="5463"/>
        <item h="1" x="5464"/>
        <item h="1" x="5465"/>
        <item h="1" x="5466"/>
        <item h="1" x="5467"/>
        <item h="1" x="5468"/>
        <item h="1" x="5469"/>
        <item h="1" x="5470"/>
        <item h="1" x="5471"/>
        <item h="1" x="5472"/>
        <item h="1" x="5473"/>
        <item h="1" x="5474"/>
        <item h="1" x="5475"/>
        <item h="1" x="5476"/>
        <item h="1" x="5477"/>
        <item h="1" x="5478"/>
        <item h="1" x="5479"/>
        <item h="1" x="5480"/>
        <item h="1" x="5481"/>
        <item h="1" x="5482"/>
        <item h="1" x="5483"/>
        <item h="1" x="5484"/>
        <item h="1" x="5485"/>
        <item h="1" x="5486"/>
        <item h="1" x="5487"/>
        <item h="1" x="5488"/>
        <item h="1" x="5489"/>
        <item h="1" x="5490"/>
        <item h="1" x="5491"/>
        <item h="1" x="5492"/>
        <item h="1" x="5493"/>
        <item h="1" x="5494"/>
        <item h="1" x="5495"/>
        <item h="1" x="5496"/>
        <item h="1" x="5497"/>
        <item h="1" x="5498"/>
        <item h="1" x="5499"/>
        <item h="1" x="5500"/>
        <item h="1" x="5501"/>
        <item h="1" x="5502"/>
        <item h="1" x="5503"/>
        <item h="1" x="5504"/>
        <item h="1" x="5505"/>
        <item h="1" x="5506"/>
        <item h="1" x="5507"/>
        <item h="1" x="5508"/>
        <item h="1" x="5509"/>
        <item h="1" x="5510"/>
        <item h="1" x="5511"/>
        <item h="1" x="5512"/>
        <item h="1" x="5513"/>
        <item h="1" x="5514"/>
        <item h="1" x="5515"/>
        <item h="1" x="5516"/>
        <item h="1" x="5517"/>
        <item h="1" x="5518"/>
        <item h="1" x="5519"/>
        <item h="1" x="5520"/>
        <item h="1" x="5521"/>
        <item h="1" x="5522"/>
        <item h="1" x="5523"/>
        <item h="1" x="5524"/>
        <item h="1" x="5525"/>
        <item h="1" x="5526"/>
        <item h="1" x="5527"/>
        <item h="1" x="5528"/>
        <item h="1" x="5529"/>
        <item h="1" x="5530"/>
        <item h="1" x="5531"/>
        <item h="1" x="5532"/>
        <item h="1" x="5533"/>
        <item h="1" x="5534"/>
        <item h="1" x="5535"/>
        <item h="1" x="5536"/>
        <item h="1" x="5537"/>
        <item h="1" x="5538"/>
        <item h="1" x="5539"/>
        <item h="1" x="5540"/>
        <item h="1" x="5541"/>
        <item h="1" x="5542"/>
        <item h="1" x="5543"/>
        <item h="1" x="5544"/>
        <item h="1" x="5545"/>
        <item h="1" x="5546"/>
        <item h="1" x="5547"/>
        <item h="1" x="5548"/>
        <item h="1" x="5549"/>
        <item h="1" x="5550"/>
        <item h="1" x="5551"/>
        <item h="1" x="5552"/>
        <item h="1" x="5553"/>
        <item h="1" x="5554"/>
        <item h="1" x="5555"/>
        <item h="1" x="5556"/>
        <item h="1" x="5557"/>
        <item h="1" x="5558"/>
        <item h="1" x="5559"/>
        <item h="1" x="5560"/>
        <item h="1" x="5561"/>
        <item h="1" x="5562"/>
        <item h="1" x="5563"/>
        <item h="1" x="5564"/>
        <item h="1" x="5565"/>
        <item h="1" x="5566"/>
        <item h="1" x="5567"/>
        <item h="1" x="5568"/>
        <item h="1" x="5569"/>
        <item h="1" x="5570"/>
        <item h="1" x="5571"/>
        <item h="1" x="5572"/>
        <item h="1" x="5573"/>
        <item h="1" x="5574"/>
        <item h="1" x="5575"/>
        <item h="1" x="5576"/>
        <item h="1" x="5577"/>
        <item h="1" x="5578"/>
        <item h="1" x="5579"/>
        <item h="1" x="5580"/>
        <item h="1" x="5581"/>
        <item h="1" x="5582"/>
        <item h="1" x="5583"/>
        <item h="1" x="5584"/>
        <item h="1" x="5585"/>
        <item h="1" x="5586"/>
        <item h="1" x="5587"/>
        <item h="1" x="5588"/>
        <item h="1" x="5589"/>
        <item h="1" x="5590"/>
        <item h="1" x="5591"/>
        <item h="1" x="5592"/>
        <item h="1" x="5593"/>
        <item h="1" x="5594"/>
        <item h="1" x="5595"/>
        <item h="1" x="5596"/>
        <item h="1" x="5597"/>
        <item h="1" x="5598"/>
        <item h="1" x="5599"/>
        <item h="1" x="5600"/>
        <item h="1" x="5601"/>
        <item h="1" x="5602"/>
        <item h="1" x="5603"/>
        <item h="1" x="5604"/>
        <item h="1" x="5605"/>
        <item h="1" x="5606"/>
        <item h="1" x="5607"/>
        <item h="1" x="5608"/>
        <item h="1" x="5609"/>
        <item h="1" x="5610"/>
        <item h="1" x="5611"/>
        <item h="1" x="5612"/>
        <item h="1" x="5613"/>
        <item h="1" x="5614"/>
        <item h="1" x="5615"/>
        <item h="1" x="5616"/>
        <item h="1" x="5617"/>
        <item h="1" x="5618"/>
        <item h="1" x="5619"/>
        <item h="1" x="5620"/>
        <item h="1" x="5621"/>
        <item h="1" x="5622"/>
        <item h="1" x="5623"/>
        <item h="1" x="5624"/>
        <item h="1" x="5625"/>
        <item h="1" x="5626"/>
        <item h="1" x="5627"/>
        <item h="1" x="5628"/>
        <item h="1" x="5629"/>
        <item h="1" x="5630"/>
        <item h="1" x="5631"/>
        <item h="1" x="5632"/>
        <item h="1" x="5633"/>
        <item h="1" x="5634"/>
        <item h="1" x="5635"/>
        <item h="1" x="5636"/>
        <item h="1" x="5637"/>
        <item h="1" x="5638"/>
        <item h="1" x="5639"/>
        <item h="1" x="5640"/>
        <item h="1" x="5641"/>
        <item h="1" x="5642"/>
        <item h="1" x="5643"/>
        <item h="1" x="5644"/>
        <item h="1" x="5645"/>
        <item h="1" x="5646"/>
        <item h="1" x="5647"/>
        <item h="1" x="5648"/>
        <item h="1" x="5649"/>
        <item h="1" x="5650"/>
        <item h="1" x="5651"/>
        <item h="1" x="5652"/>
        <item h="1" x="5653"/>
        <item h="1" x="5654"/>
        <item h="1" x="5655"/>
        <item h="1" x="5656"/>
        <item h="1" x="5657"/>
        <item h="1" x="5658"/>
        <item h="1" x="5659"/>
        <item h="1" x="5660"/>
        <item h="1" x="5661"/>
        <item h="1" x="5662"/>
        <item h="1" x="5663"/>
        <item h="1" x="5664"/>
        <item h="1" x="5665"/>
        <item h="1" x="5666"/>
        <item h="1" x="5667"/>
        <item h="1" x="5668"/>
        <item h="1" x="5669"/>
        <item h="1" x="5670"/>
        <item h="1" x="5671"/>
        <item h="1" x="5672"/>
        <item h="1" x="5673"/>
        <item h="1" x="5674"/>
        <item h="1" x="5675"/>
        <item h="1" x="5676"/>
        <item h="1" x="5677"/>
        <item h="1" x="5678"/>
        <item h="1" x="5679"/>
        <item h="1" x="5680"/>
        <item h="1" x="5681"/>
        <item h="1" x="5682"/>
        <item h="1" x="5683"/>
        <item h="1" x="5684"/>
        <item h="1" x="5685"/>
        <item h="1" x="5686"/>
        <item h="1" x="5687"/>
        <item h="1" x="5688"/>
        <item h="1" x="5689"/>
        <item h="1" x="5690"/>
        <item h="1" x="5691"/>
        <item h="1" x="5692"/>
        <item h="1" x="5693"/>
        <item h="1" x="5694"/>
        <item h="1" x="5695"/>
        <item h="1" x="5696"/>
        <item h="1" x="5697"/>
        <item h="1" x="5698"/>
        <item h="1" x="5699"/>
        <item h="1" x="5700"/>
        <item h="1" x="5701"/>
        <item h="1" x="5702"/>
        <item h="1" x="5703"/>
        <item h="1" x="5704"/>
        <item h="1" x="5705"/>
        <item h="1" x="5706"/>
        <item h="1" x="5707"/>
        <item h="1" x="5708"/>
        <item h="1" x="5709"/>
        <item h="1" x="5710"/>
        <item h="1" x="5711"/>
        <item h="1" x="5712"/>
        <item h="1" x="5713"/>
        <item h="1" x="5714"/>
        <item h="1" x="5715"/>
        <item h="1" x="5716"/>
        <item h="1" x="5717"/>
        <item h="1" x="5718"/>
        <item h="1" x="5719"/>
        <item h="1" x="5720"/>
        <item h="1" x="5721"/>
        <item h="1" x="5722"/>
        <item h="1" x="5723"/>
        <item h="1" x="5724"/>
        <item h="1" x="5725"/>
        <item h="1" x="5726"/>
        <item h="1" x="5727"/>
        <item h="1" x="5728"/>
        <item h="1" x="5729"/>
        <item h="1" x="5730"/>
        <item h="1" x="5731"/>
        <item h="1" x="5732"/>
        <item h="1" x="5733"/>
        <item h="1" x="5734"/>
        <item h="1" x="5735"/>
        <item h="1" x="5736"/>
        <item h="1" x="5737"/>
        <item h="1" x="5738"/>
        <item h="1" x="5739"/>
        <item h="1" x="5740"/>
        <item h="1" x="5741"/>
        <item h="1" x="5742"/>
        <item h="1" x="5743"/>
        <item h="1" x="5744"/>
        <item h="1" x="5745"/>
        <item h="1" x="5746"/>
        <item h="1" x="5747"/>
        <item h="1" x="5748"/>
        <item h="1" x="5749"/>
        <item h="1" x="5750"/>
        <item h="1" x="5751"/>
        <item h="1" x="5752"/>
        <item h="1" x="5753"/>
        <item h="1" x="5754"/>
        <item h="1" x="5755"/>
        <item h="1" x="5756"/>
        <item h="1" x="5757"/>
        <item h="1" x="5758"/>
        <item h="1" x="5759"/>
        <item h="1" x="5760"/>
        <item h="1" x="5761"/>
        <item h="1" x="5762"/>
        <item h="1" x="5763"/>
        <item h="1" x="5764"/>
        <item h="1" x="5765"/>
        <item h="1" x="5766"/>
        <item h="1" x="5767"/>
        <item h="1" x="5768"/>
        <item h="1" x="5769"/>
        <item h="1" x="5770"/>
        <item h="1" x="5771"/>
        <item h="1" x="5772"/>
        <item h="1" x="5773"/>
        <item h="1" x="5774"/>
        <item h="1" x="5775"/>
        <item h="1" x="5776"/>
        <item h="1" x="5777"/>
        <item h="1" x="5778"/>
        <item h="1" x="5779"/>
        <item h="1" x="5780"/>
        <item h="1" x="5781"/>
        <item h="1" x="5782"/>
        <item h="1" x="5783"/>
        <item h="1" x="5784"/>
        <item h="1" x="5785"/>
        <item h="1" x="5786"/>
        <item h="1" x="5787"/>
        <item h="1" x="5788"/>
        <item h="1" x="5789"/>
        <item h="1" x="5790"/>
        <item h="1" x="5791"/>
        <item h="1" x="5792"/>
        <item h="1" x="5793"/>
        <item h="1" x="5794"/>
        <item h="1" x="5795"/>
        <item h="1" x="5796"/>
        <item h="1" x="5797"/>
        <item h="1" x="5798"/>
        <item h="1" x="5799"/>
        <item h="1" x="5800"/>
        <item h="1" x="5801"/>
        <item h="1" x="5802"/>
        <item h="1" x="5803"/>
        <item h="1" x="5804"/>
        <item h="1" x="5805"/>
        <item h="1" x="5806"/>
        <item h="1" x="5807"/>
        <item h="1" x="5808"/>
        <item h="1" x="5809"/>
        <item h="1" x="5810"/>
        <item h="1" x="5811"/>
        <item h="1" x="5812"/>
        <item h="1" x="5813"/>
        <item h="1" x="5814"/>
        <item h="1" x="5815"/>
        <item h="1" x="5816"/>
        <item h="1" x="5817"/>
        <item h="1" x="5818"/>
        <item h="1" x="5819"/>
        <item h="1" x="5820"/>
        <item h="1" x="5821"/>
        <item h="1" x="5822"/>
        <item h="1" x="5823"/>
        <item h="1" x="5824"/>
        <item h="1" x="5825"/>
        <item h="1" x="5826"/>
        <item h="1" x="5827"/>
        <item h="1" x="5828"/>
        <item h="1" x="5829"/>
        <item h="1" x="5830"/>
        <item h="1" x="5831"/>
        <item h="1" x="5832"/>
        <item h="1" x="5833"/>
        <item h="1" x="5834"/>
        <item h="1" x="5835"/>
        <item h="1" x="5836"/>
        <item h="1" x="5837"/>
        <item h="1" x="5838"/>
        <item h="1" x="5839"/>
        <item h="1" x="5840"/>
        <item h="1" x="5841"/>
        <item h="1" x="5842"/>
        <item h="1" x="5843"/>
        <item h="1" x="5844"/>
        <item h="1" x="5845"/>
        <item h="1" x="5846"/>
        <item h="1" x="5847"/>
        <item h="1" x="5848"/>
        <item h="1" x="5849"/>
        <item h="1" x="5850"/>
        <item h="1" x="5851"/>
        <item h="1" x="5852"/>
        <item h="1" x="5853"/>
        <item h="1" x="5854"/>
        <item h="1" x="5855"/>
        <item h="1" x="5856"/>
        <item h="1" x="5857"/>
        <item h="1" x="5858"/>
        <item h="1" x="5859"/>
        <item h="1" x="5860"/>
        <item h="1" x="5861"/>
        <item h="1" x="5862"/>
        <item h="1" x="5863"/>
        <item h="1" x="5864"/>
        <item h="1" x="5865"/>
        <item h="1" x="5866"/>
        <item h="1" x="5867"/>
        <item h="1" x="5868"/>
        <item h="1" x="5869"/>
        <item h="1" x="5870"/>
        <item h="1" x="5871"/>
        <item h="1" x="5872"/>
        <item h="1" x="5873"/>
        <item h="1" x="5874"/>
        <item h="1" x="5875"/>
        <item h="1" x="5876"/>
        <item h="1" x="5877"/>
        <item h="1" x="5878"/>
        <item h="1" x="5879"/>
        <item h="1" x="5880"/>
        <item h="1" x="5881"/>
        <item h="1" x="5882"/>
        <item h="1" x="5883"/>
        <item h="1" x="5884"/>
        <item h="1" x="5885"/>
        <item h="1" x="5886"/>
        <item h="1" x="5887"/>
        <item h="1" x="5888"/>
        <item h="1" x="5889"/>
        <item h="1" x="5890"/>
        <item h="1" x="5891"/>
        <item h="1" x="5892"/>
        <item h="1" x="5893"/>
        <item h="1" x="5894"/>
        <item h="1" x="5895"/>
        <item h="1" x="5896"/>
        <item h="1" x="5897"/>
        <item h="1" x="5898"/>
        <item h="1" x="5899"/>
        <item h="1" x="5900"/>
        <item h="1" x="5901"/>
        <item h="1" x="5902"/>
        <item h="1" x="5903"/>
        <item h="1" x="5904"/>
        <item h="1" x="5905"/>
        <item h="1" x="5906"/>
        <item h="1" x="5907"/>
        <item h="1" x="5908"/>
        <item h="1" x="5909"/>
        <item h="1" x="5910"/>
        <item h="1" x="5911"/>
        <item h="1" x="5912"/>
        <item h="1" x="5913"/>
        <item h="1" x="5914"/>
        <item h="1" x="5915"/>
        <item h="1" x="5916"/>
        <item h="1" x="5917"/>
        <item h="1" x="5918"/>
        <item h="1" x="5919"/>
        <item h="1" x="5920"/>
        <item h="1" x="5921"/>
        <item h="1" x="5922"/>
        <item h="1" x="5923"/>
        <item h="1" x="5924"/>
        <item h="1" x="5925"/>
        <item h="1" x="5926"/>
        <item h="1" x="5927"/>
        <item h="1" x="5928"/>
        <item h="1" x="5929"/>
        <item h="1" x="5930"/>
        <item h="1" x="5931"/>
        <item h="1" x="5932"/>
        <item h="1" x="5933"/>
        <item h="1" x="5934"/>
        <item h="1" x="5935"/>
        <item h="1" x="5936"/>
        <item h="1" x="5937"/>
        <item h="1" x="5938"/>
        <item h="1" x="5939"/>
        <item h="1" x="5940"/>
        <item h="1" x="5941"/>
        <item h="1" x="5942"/>
        <item h="1" x="5943"/>
        <item h="1" x="5944"/>
        <item h="1" x="5945"/>
        <item h="1" x="5946"/>
        <item h="1" x="5947"/>
        <item h="1" x="5948"/>
        <item h="1" x="5949"/>
        <item h="1" x="5950"/>
        <item h="1" x="5951"/>
        <item h="1" x="5952"/>
        <item h="1" x="5953"/>
        <item h="1" x="5954"/>
        <item h="1" x="5955"/>
        <item h="1" x="5956"/>
        <item h="1" x="5957"/>
        <item h="1" x="5958"/>
        <item h="1" x="5959"/>
        <item h="1" x="5960"/>
        <item h="1" x="5961"/>
        <item h="1" x="5962"/>
        <item h="1" x="5963"/>
        <item h="1" x="5964"/>
        <item h="1" x="5965"/>
        <item h="1" x="5966"/>
        <item h="1" x="5967"/>
        <item h="1" x="5968"/>
        <item h="1" x="5969"/>
        <item h="1" x="5970"/>
        <item h="1" x="5971"/>
        <item h="1" x="5972"/>
        <item h="1" x="5973"/>
        <item h="1" x="5974"/>
        <item h="1" x="5975"/>
        <item h="1" x="5976"/>
        <item h="1" x="5977"/>
        <item h="1" x="5978"/>
        <item h="1" x="5979"/>
        <item h="1" x="5980"/>
        <item h="1" x="5981"/>
        <item h="1" x="5982"/>
        <item h="1" x="5983"/>
        <item h="1" x="5984"/>
        <item h="1" x="5985"/>
        <item h="1" x="5986"/>
        <item h="1" x="5987"/>
        <item h="1" x="5988"/>
        <item h="1" x="5989"/>
        <item h="1" x="5990"/>
        <item h="1" x="5991"/>
        <item h="1" x="5992"/>
        <item h="1" x="5993"/>
        <item h="1" x="5994"/>
        <item h="1" x="5995"/>
        <item h="1" x="5996"/>
        <item h="1" x="5997"/>
        <item h="1" x="5998"/>
        <item h="1" x="5999"/>
        <item h="1" x="6000"/>
        <item h="1" x="6001"/>
        <item h="1" x="6002"/>
        <item h="1" x="6003"/>
        <item h="1" x="6004"/>
        <item h="1" x="6005"/>
        <item h="1" x="6006"/>
        <item h="1" x="6007"/>
        <item h="1" x="6008"/>
        <item h="1" x="6009"/>
        <item h="1" x="6010"/>
        <item h="1" x="6011"/>
        <item h="1" x="6012"/>
        <item h="1" x="6013"/>
        <item h="1" x="6014"/>
        <item h="1" x="6015"/>
        <item h="1" x="6016"/>
        <item h="1" x="6017"/>
        <item h="1" x="6018"/>
        <item h="1" x="6019"/>
        <item h="1" x="6020"/>
        <item h="1" x="6021"/>
        <item h="1" x="6022"/>
        <item h="1" x="6023"/>
        <item h="1" x="6024"/>
        <item h="1" x="6025"/>
        <item h="1" x="6026"/>
        <item h="1" x="6027"/>
        <item h="1" x="6028"/>
        <item h="1" x="6029"/>
        <item h="1" x="6030"/>
        <item h="1" x="6031"/>
        <item h="1" x="6032"/>
        <item h="1" x="6033"/>
        <item h="1" x="6034"/>
        <item h="1" x="6035"/>
        <item h="1" x="6036"/>
        <item h="1" x="6037"/>
        <item h="1" x="6038"/>
        <item h="1" x="6039"/>
        <item h="1" x="6040"/>
        <item h="1" x="6041"/>
        <item h="1" x="6042"/>
        <item h="1" x="6043"/>
        <item h="1" x="6044"/>
        <item h="1" x="6045"/>
        <item h="1" x="6046"/>
        <item h="1" x="6047"/>
        <item h="1" x="6048"/>
        <item h="1" x="6049"/>
        <item h="1" x="6050"/>
        <item h="1" x="6051"/>
        <item h="1" x="6052"/>
        <item h="1" x="6053"/>
        <item h="1" x="6054"/>
        <item h="1" x="6055"/>
        <item h="1" x="6056"/>
        <item h="1" x="6057"/>
        <item h="1" x="6058"/>
        <item h="1" x="6059"/>
        <item h="1" x="6060"/>
        <item h="1" x="6061"/>
        <item h="1" x="6062"/>
        <item h="1" x="6063"/>
        <item h="1" x="6064"/>
        <item h="1" x="6065"/>
        <item h="1" x="6066"/>
        <item h="1" x="6067"/>
        <item h="1" x="6068"/>
        <item h="1" x="6069"/>
        <item h="1" x="6070"/>
        <item h="1" x="6071"/>
        <item h="1" x="6072"/>
        <item h="1" x="6073"/>
        <item h="1" x="6074"/>
        <item h="1" x="6075"/>
        <item h="1" x="6076"/>
        <item h="1" x="6077"/>
        <item h="1" x="6078"/>
        <item h="1" x="6079"/>
        <item h="1" x="6080"/>
        <item h="1" x="6081"/>
        <item h="1" x="6082"/>
        <item h="1" x="6083"/>
        <item h="1" x="6084"/>
        <item h="1" x="6085"/>
        <item h="1" x="6086"/>
        <item h="1" x="6087"/>
        <item h="1" x="6088"/>
        <item h="1" x="6089"/>
        <item h="1" x="6090"/>
        <item h="1" x="6091"/>
        <item h="1" x="6092"/>
        <item h="1" x="6093"/>
        <item h="1" x="6094"/>
        <item h="1" x="6095"/>
        <item h="1" x="6096"/>
        <item h="1" x="6097"/>
        <item h="1" x="6098"/>
        <item h="1" x="6099"/>
        <item h="1" x="6100"/>
        <item h="1" x="6101"/>
        <item h="1" x="6102"/>
        <item h="1" x="6103"/>
        <item h="1" x="6104"/>
        <item h="1" x="6105"/>
        <item h="1" x="6106"/>
        <item h="1" x="6107"/>
        <item h="1" x="6108"/>
        <item h="1" x="6109"/>
        <item h="1" x="6110"/>
        <item h="1" x="6111"/>
        <item h="1" x="6112"/>
        <item h="1" x="6113"/>
        <item h="1" x="6114"/>
        <item h="1" x="6115"/>
        <item h="1" x="6116"/>
        <item h="1" x="6117"/>
        <item h="1" x="6118"/>
        <item h="1" x="6119"/>
        <item h="1" x="6120"/>
        <item h="1" x="6121"/>
        <item h="1" x="6122"/>
        <item h="1" x="6123"/>
        <item h="1" x="6124"/>
        <item h="1" x="6125"/>
        <item h="1" x="6126"/>
        <item h="1" x="6127"/>
        <item h="1" x="6128"/>
        <item h="1" x="6129"/>
        <item h="1" x="6130"/>
        <item h="1" x="6131"/>
        <item h="1" x="6132"/>
        <item h="1" x="6133"/>
        <item h="1" x="6134"/>
        <item h="1" x="6135"/>
        <item h="1" x="6136"/>
        <item h="1" x="6137"/>
        <item h="1" x="6138"/>
        <item h="1" x="6139"/>
        <item h="1" x="6140"/>
        <item h="1" x="6141"/>
        <item h="1" x="6142"/>
        <item h="1" x="6143"/>
        <item h="1" x="6144"/>
        <item h="1" x="6145"/>
        <item h="1" x="6146"/>
        <item h="1" x="6147"/>
        <item h="1" x="6148"/>
        <item h="1" x="6149"/>
        <item h="1" x="6150"/>
        <item h="1" x="6151"/>
        <item h="1" x="6152"/>
        <item h="1" x="6153"/>
        <item h="1" x="6154"/>
        <item h="1" x="6155"/>
        <item h="1" x="6156"/>
        <item h="1" x="6157"/>
        <item h="1" x="6158"/>
        <item h="1" x="6159"/>
        <item h="1" x="6160"/>
        <item h="1" x="6161"/>
        <item h="1" x="6162"/>
        <item h="1" x="6163"/>
        <item h="1" x="6164"/>
        <item h="1" x="6165"/>
        <item h="1" x="6166"/>
        <item h="1" x="6167"/>
        <item h="1" x="6168"/>
        <item h="1" x="6169"/>
        <item h="1" x="6170"/>
        <item h="1" x="6171"/>
        <item h="1" x="6172"/>
        <item h="1" x="6173"/>
        <item h="1" x="6174"/>
        <item h="1" x="6175"/>
        <item h="1" x="6176"/>
        <item h="1" x="6177"/>
        <item h="1" x="6178"/>
        <item h="1" x="6179"/>
        <item h="1" x="6180"/>
        <item h="1" x="6181"/>
        <item h="1" x="6182"/>
        <item h="1" x="6183"/>
        <item h="1" x="6184"/>
        <item h="1" x="6185"/>
        <item h="1" x="6186"/>
        <item h="1" x="6187"/>
        <item h="1" x="6188"/>
        <item h="1" x="6189"/>
        <item h="1" x="6190"/>
        <item h="1" x="6191"/>
        <item h="1" x="6192"/>
        <item h="1" x="6193"/>
        <item h="1" x="6194"/>
        <item h="1" x="6195"/>
        <item h="1" x="6196"/>
        <item h="1" x="6197"/>
        <item h="1" x="6198"/>
        <item h="1" x="6199"/>
        <item h="1" x="6200"/>
        <item h="1" x="6201"/>
        <item h="1" x="6202"/>
        <item h="1" x="6203"/>
        <item h="1" x="6204"/>
        <item h="1" x="6205"/>
        <item h="1" x="6206"/>
        <item h="1" x="6207"/>
        <item h="1" x="6208"/>
        <item h="1" x="6209"/>
        <item h="1" x="6210"/>
        <item h="1" x="6211"/>
        <item h="1" x="6212"/>
        <item h="1" x="6213"/>
        <item h="1" x="6214"/>
        <item h="1" x="6215"/>
        <item h="1" x="6216"/>
        <item h="1" x="6217"/>
        <item h="1" x="6218"/>
        <item h="1" x="6219"/>
        <item h="1" x="6220"/>
        <item h="1" x="6221"/>
        <item h="1" x="6222"/>
        <item h="1" x="6223"/>
        <item h="1" x="6224"/>
        <item h="1" x="6225"/>
        <item h="1" x="6226"/>
        <item h="1" x="6227"/>
        <item h="1" x="6228"/>
        <item h="1" x="6229"/>
        <item h="1" x="6230"/>
        <item h="1" x="6231"/>
        <item h="1" x="6232"/>
        <item h="1" x="6233"/>
        <item h="1" x="6234"/>
        <item h="1" x="6235"/>
        <item h="1" x="6236"/>
        <item h="1" x="6237"/>
        <item h="1" x="6238"/>
        <item h="1" x="6239"/>
        <item h="1" x="6240"/>
        <item h="1" x="6241"/>
        <item h="1" x="6242"/>
        <item h="1" x="6243"/>
        <item h="1" x="6244"/>
        <item h="1" x="6245"/>
        <item h="1" x="6246"/>
        <item h="1" x="6247"/>
        <item h="1" x="6248"/>
        <item h="1" x="6249"/>
        <item h="1" x="6250"/>
        <item h="1" x="6251"/>
        <item h="1" x="6252"/>
        <item h="1" x="6253"/>
        <item h="1" x="6254"/>
        <item h="1" x="6255"/>
        <item h="1" x="6256"/>
        <item h="1" x="6257"/>
        <item h="1" x="6258"/>
        <item h="1" x="6259"/>
        <item h="1" x="6260"/>
        <item h="1" x="6261"/>
        <item h="1" x="6262"/>
        <item h="1" x="6263"/>
        <item h="1" x="6264"/>
        <item h="1" x="6265"/>
        <item h="1" x="6266"/>
        <item h="1" x="6267"/>
        <item h="1" x="6268"/>
        <item h="1" x="6269"/>
        <item h="1" x="6270"/>
        <item h="1" x="6271"/>
        <item h="1" x="6272"/>
        <item h="1" x="6273"/>
        <item h="1" x="6274"/>
        <item h="1" x="6275"/>
        <item h="1" x="6276"/>
        <item h="1" x="6277"/>
        <item h="1" x="6278"/>
        <item h="1" x="6279"/>
        <item h="1" x="6280"/>
        <item h="1" x="6281"/>
        <item h="1" x="6282"/>
        <item h="1" x="6283"/>
        <item h="1" x="6284"/>
        <item h="1" x="6285"/>
        <item h="1" x="6286"/>
        <item h="1" x="6287"/>
        <item h="1" x="6288"/>
        <item h="1" x="6289"/>
        <item h="1" x="6290"/>
        <item h="1" x="6291"/>
        <item h="1" x="6292"/>
        <item h="1" x="6293"/>
        <item h="1" x="6294"/>
        <item h="1" x="6295"/>
        <item h="1" x="6296"/>
        <item h="1" x="6297"/>
        <item h="1" x="6298"/>
        <item h="1" x="6299"/>
        <item h="1" x="6300"/>
        <item h="1" x="6301"/>
        <item h="1" x="6302"/>
        <item h="1" x="6303"/>
        <item h="1" x="6304"/>
        <item h="1" x="6305"/>
        <item h="1" x="6306"/>
        <item h="1" x="6307"/>
        <item h="1" x="6308"/>
        <item h="1" x="6309"/>
        <item h="1" x="6310"/>
        <item h="1" x="6311"/>
        <item h="1" x="6312"/>
        <item h="1" x="6313"/>
        <item h="1" x="6314"/>
        <item h="1" x="6315"/>
        <item h="1" x="6316"/>
        <item h="1" x="6317"/>
        <item h="1" x="6318"/>
        <item h="1" x="6319"/>
        <item h="1" x="6320"/>
        <item h="1" x="6321"/>
        <item h="1" x="6322"/>
        <item h="1" x="6323"/>
        <item h="1" x="6324"/>
        <item h="1" x="6325"/>
        <item h="1" x="6326"/>
        <item h="1" x="6327"/>
        <item h="1" x="6328"/>
        <item h="1" x="6329"/>
        <item h="1" x="6330"/>
        <item h="1" x="6331"/>
        <item h="1" x="6332"/>
        <item h="1" x="6333"/>
        <item h="1" x="6334"/>
        <item h="1" x="6335"/>
        <item h="1" x="6336"/>
        <item h="1" x="6337"/>
        <item h="1" x="6338"/>
        <item h="1" x="6339"/>
        <item h="1" x="6340"/>
        <item h="1" x="6341"/>
        <item h="1" x="6342"/>
        <item h="1" x="6343"/>
        <item h="1" x="6344"/>
        <item h="1" x="6345"/>
        <item h="1" x="6346"/>
        <item h="1" x="6347"/>
        <item h="1" x="6348"/>
        <item h="1" x="6349"/>
        <item h="1" x="6350"/>
        <item h="1" x="6351"/>
        <item h="1" x="6352"/>
        <item h="1" x="6353"/>
        <item h="1" x="6354"/>
        <item h="1" x="6355"/>
        <item h="1" x="6356"/>
        <item h="1" x="6357"/>
        <item h="1" x="6358"/>
        <item h="1" x="6359"/>
        <item h="1" x="6360"/>
        <item h="1" x="6361"/>
        <item h="1" x="6362"/>
        <item h="1" x="6363"/>
        <item h="1" x="6364"/>
        <item h="1" x="6365"/>
        <item h="1" x="6366"/>
        <item h="1" x="6367"/>
        <item h="1" x="6368"/>
        <item h="1" x="6369"/>
        <item h="1" x="6370"/>
        <item h="1" x="6371"/>
        <item h="1" x="6372"/>
        <item h="1" x="6373"/>
        <item h="1" x="6374"/>
        <item h="1" x="6375"/>
        <item h="1" x="6376"/>
        <item h="1" x="6377"/>
        <item h="1" x="6378"/>
        <item h="1" x="6379"/>
        <item h="1" x="6380"/>
        <item h="1" x="6381"/>
        <item h="1" x="6382"/>
        <item h="1" x="6383"/>
        <item h="1" x="6384"/>
        <item h="1" x="6385"/>
        <item h="1" x="6386"/>
        <item h="1" x="6387"/>
        <item h="1" x="6388"/>
        <item h="1" x="6389"/>
        <item h="1" x="6390"/>
        <item h="1" x="6391"/>
        <item h="1" x="6392"/>
        <item h="1" x="6393"/>
        <item h="1" x="6394"/>
        <item h="1" x="6395"/>
        <item h="1" x="6396"/>
        <item h="1" x="6397"/>
        <item h="1" x="6398"/>
        <item h="1" x="6399"/>
        <item h="1" x="6400"/>
        <item h="1" x="6401"/>
        <item h="1" x="6402"/>
        <item h="1" x="6403"/>
        <item h="1" x="6404"/>
        <item h="1" x="6405"/>
        <item h="1" x="6406"/>
        <item h="1" x="6407"/>
        <item h="1" x="6408"/>
        <item h="1" x="6409"/>
        <item h="1" x="6410"/>
        <item h="1" x="6411"/>
        <item h="1" x="6412"/>
        <item h="1" x="6413"/>
        <item h="1" x="6414"/>
        <item h="1" x="6415"/>
        <item h="1" x="6416"/>
        <item h="1" x="6417"/>
        <item h="1" x="6418"/>
        <item h="1" x="6419"/>
        <item h="1" x="6420"/>
        <item h="1" x="6421"/>
        <item h="1" x="6422"/>
        <item h="1" x="6423"/>
        <item h="1" x="6424"/>
        <item h="1" x="6425"/>
        <item h="1" x="6426"/>
        <item h="1" x="6427"/>
        <item h="1" x="6428"/>
        <item h="1" x="6429"/>
        <item h="1" x="6430"/>
        <item h="1" x="6431"/>
        <item h="1" x="6432"/>
        <item h="1" x="6433"/>
        <item h="1" x="6434"/>
        <item h="1" x="6435"/>
        <item h="1" x="6436"/>
        <item h="1" x="6437"/>
        <item h="1" x="6438"/>
        <item h="1" x="6439"/>
        <item h="1" x="6440"/>
        <item h="1" x="6441"/>
        <item h="1" x="6442"/>
        <item h="1" x="6443"/>
        <item h="1" x="6444"/>
        <item h="1" x="6445"/>
        <item h="1" x="6446"/>
        <item h="1" x="6447"/>
        <item h="1" x="6448"/>
        <item h="1" x="6449"/>
        <item h="1" x="6450"/>
        <item h="1" x="6451"/>
        <item h="1" x="6452"/>
        <item h="1" x="6453"/>
        <item h="1" x="6454"/>
        <item h="1" x="6455"/>
        <item h="1" x="6456"/>
        <item h="1" x="6457"/>
        <item h="1" x="6458"/>
        <item h="1" x="6459"/>
        <item h="1" x="6460"/>
        <item h="1" x="6461"/>
        <item h="1" x="6462"/>
        <item h="1" x="6463"/>
        <item h="1" x="6464"/>
        <item h="1" x="6465"/>
        <item h="1" x="6466"/>
        <item h="1" x="6467"/>
        <item h="1" x="6468"/>
        <item h="1" x="6469"/>
        <item h="1" x="6470"/>
        <item h="1" x="6471"/>
        <item h="1" x="6472"/>
        <item h="1" x="6473"/>
        <item h="1" x="6474"/>
        <item h="1" x="6475"/>
        <item h="1" x="6476"/>
        <item h="1" x="6477"/>
        <item h="1" x="6478"/>
        <item h="1" x="6479"/>
        <item h="1" x="6480"/>
        <item h="1" x="6481"/>
        <item h="1" x="6482"/>
        <item h="1" x="6483"/>
        <item h="1" x="6484"/>
        <item h="1" x="6485"/>
        <item h="1" x="6486"/>
        <item h="1" x="6487"/>
        <item h="1" x="6488"/>
        <item h="1" x="6489"/>
        <item h="1" x="6490"/>
        <item h="1" x="6491"/>
        <item h="1" x="6492"/>
        <item h="1" x="6493"/>
        <item h="1" x="6494"/>
        <item h="1" x="6495"/>
        <item h="1" x="6496"/>
        <item h="1" x="6497"/>
        <item h="1" x="6498"/>
        <item h="1" x="6499"/>
        <item h="1" x="6500"/>
        <item h="1" x="6501"/>
        <item h="1" x="6502"/>
        <item h="1" x="6503"/>
        <item h="1" x="6504"/>
        <item h="1" x="6505"/>
        <item h="1" x="6506"/>
        <item h="1" x="6507"/>
        <item h="1" x="6508"/>
        <item h="1" x="6509"/>
        <item h="1" x="6510"/>
        <item h="1" x="6511"/>
        <item h="1" x="6512"/>
        <item h="1" x="6513"/>
        <item h="1" x="6514"/>
        <item h="1" x="6515"/>
        <item h="1" x="6516"/>
        <item h="1" x="6517"/>
        <item h="1" x="6518"/>
        <item h="1" x="6519"/>
        <item h="1" x="6520"/>
        <item h="1" x="6521"/>
        <item h="1" x="6522"/>
        <item h="1" x="6523"/>
        <item h="1" x="6524"/>
        <item h="1" x="6525"/>
        <item h="1" x="6526"/>
        <item h="1" x="6527"/>
        <item h="1" x="6528"/>
        <item h="1" x="6529"/>
        <item h="1" x="6530"/>
        <item h="1" x="6531"/>
        <item h="1" x="6532"/>
        <item h="1" x="6533"/>
        <item h="1" x="6534"/>
        <item h="1" x="6535"/>
        <item h="1" x="6536"/>
        <item h="1" x="6537"/>
        <item h="1" x="6538"/>
        <item h="1" x="6539"/>
        <item h="1" x="6540"/>
        <item h="1" x="6541"/>
        <item h="1" x="6542"/>
        <item h="1" x="6543"/>
        <item h="1" x="6544"/>
        <item h="1" x="6545"/>
        <item h="1" x="6546"/>
        <item h="1" x="6547"/>
        <item h="1" x="6548"/>
        <item h="1" x="6549"/>
        <item h="1" x="6550"/>
        <item h="1" x="6551"/>
        <item h="1" x="6552"/>
        <item h="1" x="6553"/>
        <item h="1" x="6554"/>
        <item h="1" x="6555"/>
        <item h="1" x="6556"/>
        <item h="1" x="6557"/>
        <item h="1" x="6558"/>
        <item h="1" x="6559"/>
        <item h="1" x="6560"/>
        <item h="1" x="6561"/>
        <item h="1" x="6562"/>
        <item h="1" x="6563"/>
        <item h="1" x="6564"/>
        <item h="1" x="6565"/>
        <item h="1" x="6566"/>
        <item h="1" x="6567"/>
        <item h="1" x="6568"/>
        <item h="1" x="6569"/>
        <item h="1" x="6570"/>
        <item h="1" x="6571"/>
        <item h="1" x="6572"/>
        <item h="1" x="6573"/>
        <item h="1" x="6574"/>
        <item h="1" x="6575"/>
        <item h="1" x="6576"/>
        <item h="1" x="6577"/>
        <item h="1" x="6578"/>
        <item h="1" x="6579"/>
        <item h="1" x="6580"/>
        <item h="1" x="6581"/>
        <item h="1" x="6582"/>
        <item h="1" x="6583"/>
        <item h="1" x="6584"/>
        <item h="1" x="6585"/>
        <item h="1" x="6586"/>
        <item h="1" x="6587"/>
        <item h="1" x="6588"/>
        <item h="1" x="6589"/>
        <item h="1" x="6590"/>
        <item h="1" x="6591"/>
        <item h="1" x="6592"/>
        <item h="1" x="6593"/>
        <item h="1" x="6594"/>
        <item h="1" x="6595"/>
        <item h="1" x="6596"/>
        <item h="1" x="6597"/>
        <item h="1" x="6598"/>
        <item h="1" x="6599"/>
        <item h="1" x="6600"/>
        <item h="1" x="6601"/>
        <item h="1" x="6602"/>
        <item h="1" x="6603"/>
        <item h="1" x="6604"/>
        <item h="1" x="6605"/>
        <item h="1" x="6606"/>
        <item h="1" x="6607"/>
        <item h="1" x="6608"/>
        <item h="1" x="6609"/>
        <item h="1" x="6610"/>
        <item h="1" x="6611"/>
        <item h="1" x="6612"/>
        <item h="1" x="6613"/>
        <item h="1" x="6614"/>
        <item h="1" x="6615"/>
        <item h="1" x="6616"/>
        <item h="1" x="6617"/>
        <item h="1" x="6618"/>
        <item h="1" x="6619"/>
        <item h="1" x="6620"/>
        <item h="1" x="6621"/>
        <item h="1" x="6622"/>
        <item h="1" x="6623"/>
        <item h="1" x="6624"/>
        <item h="1" x="6625"/>
        <item h="1" x="6626"/>
        <item h="1" x="6627"/>
        <item h="1" x="6628"/>
        <item h="1" x="6629"/>
        <item h="1" x="6630"/>
        <item h="1" x="6631"/>
        <item h="1" x="6632"/>
        <item h="1" x="6633"/>
        <item h="1" x="6634"/>
        <item h="1" x="6635"/>
        <item h="1" x="6636"/>
        <item h="1" x="6637"/>
        <item h="1" x="6638"/>
        <item h="1" x="6639"/>
        <item h="1" x="6640"/>
        <item h="1" x="6641"/>
        <item h="1" x="6642"/>
        <item h="1" x="6643"/>
        <item h="1" x="6644"/>
        <item h="1" x="6645"/>
        <item h="1" x="6646"/>
        <item h="1" x="6647"/>
        <item h="1" x="6648"/>
        <item h="1" x="6649"/>
        <item h="1" x="6650"/>
        <item h="1" x="6651"/>
        <item h="1" x="6652"/>
        <item h="1" x="6653"/>
        <item h="1" x="6654"/>
        <item h="1" x="6655"/>
        <item h="1" x="6656"/>
        <item h="1" x="6657"/>
        <item h="1" x="6658"/>
        <item h="1" x="6659"/>
        <item h="1" x="6660"/>
        <item h="1" x="6661"/>
        <item h="1" x="6662"/>
        <item h="1" x="6663"/>
        <item h="1" x="6664"/>
        <item h="1" x="6665"/>
        <item h="1" x="6666"/>
        <item h="1" x="6667"/>
        <item h="1" x="6668"/>
        <item h="1" x="6669"/>
        <item h="1" x="6670"/>
        <item h="1" x="6671"/>
        <item h="1" x="6672"/>
        <item h="1" x="6673"/>
        <item h="1" x="6674"/>
        <item h="1" x="6675"/>
        <item h="1" x="6676"/>
        <item h="1" x="6677"/>
        <item h="1" x="6678"/>
        <item h="1" x="6679"/>
        <item h="1" x="6680"/>
        <item h="1" x="6681"/>
        <item h="1" x="6682"/>
        <item h="1" x="6683"/>
        <item h="1" x="6684"/>
        <item h="1" x="6685"/>
        <item h="1" x="6686"/>
        <item h="1" x="6687"/>
        <item h="1" x="6688"/>
        <item h="1" x="6689"/>
        <item h="1" x="6690"/>
        <item h="1" x="6691"/>
        <item h="1" x="6692"/>
        <item h="1" x="6693"/>
        <item h="1" x="6694"/>
        <item h="1" x="6695"/>
        <item h="1" x="6696"/>
        <item h="1" x="6697"/>
        <item h="1" x="6698"/>
        <item h="1" x="6699"/>
        <item h="1" x="6700"/>
        <item h="1" x="6701"/>
        <item h="1" x="6702"/>
        <item h="1" x="6703"/>
        <item h="1" x="6704"/>
        <item h="1" x="6705"/>
        <item h="1" x="6706"/>
        <item h="1" x="6707"/>
        <item h="1" x="6708"/>
        <item h="1" x="6709"/>
        <item h="1" x="6710"/>
        <item h="1" x="6711"/>
        <item h="1" x="6712"/>
        <item h="1" x="6713"/>
        <item h="1" x="6714"/>
        <item h="1" x="6715"/>
        <item h="1" x="6716"/>
        <item h="1" x="6717"/>
        <item h="1" x="6718"/>
        <item h="1" x="6719"/>
        <item h="1" x="6720"/>
        <item h="1" x="6721"/>
        <item h="1" x="6722"/>
        <item h="1" x="6723"/>
        <item h="1" x="6724"/>
        <item h="1" x="6725"/>
        <item h="1" x="6726"/>
        <item h="1" x="6727"/>
        <item h="1" x="6728"/>
        <item h="1" x="6729"/>
        <item h="1" x="6730"/>
        <item h="1" x="6731"/>
        <item h="1" x="6732"/>
        <item h="1" x="6733"/>
        <item h="1" x="6734"/>
        <item h="1" x="6735"/>
        <item h="1" x="6736"/>
        <item h="1" x="6737"/>
        <item h="1" x="6738"/>
        <item h="1" x="6739"/>
        <item h="1" x="6740"/>
        <item h="1" x="6741"/>
        <item h="1" x="6742"/>
        <item h="1" x="6743"/>
        <item h="1" x="6744"/>
        <item h="1" x="6745"/>
        <item h="1" x="6746"/>
        <item h="1" x="6747"/>
        <item h="1" x="6748"/>
        <item h="1" x="6749"/>
        <item h="1" x="6750"/>
        <item h="1" x="6751"/>
        <item h="1" x="6752"/>
        <item h="1" x="6753"/>
        <item h="1" x="6754"/>
        <item h="1" x="6755"/>
        <item h="1" x="6756"/>
        <item h="1" x="6757"/>
        <item h="1" x="6758"/>
        <item h="1" x="6759"/>
        <item h="1" x="6760"/>
        <item h="1" x="6761"/>
        <item h="1" x="6762"/>
        <item h="1" x="6763"/>
        <item h="1" x="6764"/>
        <item h="1" x="6765"/>
        <item h="1" x="6766"/>
        <item h="1" x="6767"/>
        <item h="1" x="6768"/>
        <item h="1" x="6769"/>
        <item h="1" x="6770"/>
        <item h="1" x="6771"/>
        <item h="1" x="6772"/>
        <item h="1" x="6773"/>
        <item h="1" x="6774"/>
        <item h="1" x="6775"/>
        <item h="1" x="6776"/>
        <item h="1" x="6777"/>
        <item h="1" x="6778"/>
        <item h="1" x="6779"/>
        <item h="1" x="6780"/>
        <item h="1" x="6781"/>
        <item h="1" x="6782"/>
        <item h="1" x="6783"/>
        <item h="1" x="6784"/>
        <item h="1" x="6785"/>
        <item h="1" x="6786"/>
        <item h="1" x="6787"/>
        <item h="1" x="6788"/>
        <item h="1" x="6789"/>
        <item h="1" x="6790"/>
        <item h="1" x="6791"/>
        <item h="1" x="6792"/>
        <item h="1" x="6793"/>
        <item h="1" x="6794"/>
        <item h="1" x="6795"/>
        <item h="1" x="6796"/>
        <item h="1" x="6797"/>
        <item h="1" x="6798"/>
        <item h="1" x="6799"/>
        <item h="1" x="6800"/>
        <item h="1" x="6801"/>
        <item h="1" x="6802"/>
        <item h="1" x="6803"/>
        <item h="1" x="6804"/>
        <item h="1" x="6805"/>
        <item h="1" x="6806"/>
        <item h="1" x="6807"/>
        <item h="1" x="6808"/>
        <item h="1" x="6809"/>
        <item h="1" x="6810"/>
        <item h="1" x="6811"/>
        <item h="1" x="6812"/>
        <item h="1" x="6813"/>
        <item h="1" x="6814"/>
        <item h="1" x="6815"/>
        <item h="1" x="6816"/>
        <item h="1" x="6817"/>
        <item h="1" x="6818"/>
        <item h="1" x="6819"/>
        <item h="1" x="6820"/>
        <item h="1" x="6821"/>
        <item h="1" x="6822"/>
        <item h="1" x="6823"/>
        <item h="1" x="6824"/>
        <item h="1" x="6825"/>
        <item h="1" x="6826"/>
        <item h="1" x="6827"/>
        <item h="1" x="6828"/>
        <item h="1" x="6829"/>
        <item h="1" x="6830"/>
        <item h="1" x="6831"/>
        <item h="1" x="6832"/>
        <item h="1" x="6833"/>
        <item h="1" x="6834"/>
        <item h="1" x="6835"/>
        <item h="1" x="6836"/>
        <item h="1" x="6837"/>
        <item h="1" x="6838"/>
        <item h="1" x="6839"/>
        <item h="1" x="6840"/>
        <item h="1" x="6841"/>
        <item h="1" x="6842"/>
        <item h="1" x="6843"/>
        <item h="1" x="6844"/>
        <item h="1" x="6845"/>
        <item h="1" x="6846"/>
        <item h="1" x="6847"/>
        <item h="1" x="6848"/>
        <item h="1" x="6849"/>
        <item h="1" x="6850"/>
        <item h="1" x="6851"/>
        <item h="1" x="6852"/>
        <item h="1" x="6853"/>
        <item h="1" x="6854"/>
        <item h="1" x="6855"/>
        <item h="1" x="6856"/>
        <item h="1" x="6857"/>
        <item h="1" x="6858"/>
        <item h="1" x="6859"/>
        <item h="1" x="6860"/>
        <item h="1" x="6861"/>
        <item h="1" x="6862"/>
        <item h="1" x="6863"/>
        <item h="1" x="6864"/>
        <item h="1" x="6865"/>
        <item h="1" x="6866"/>
        <item h="1" x="6867"/>
        <item h="1" x="6868"/>
        <item h="1" x="6869"/>
        <item h="1" x="6870"/>
        <item h="1" x="6871"/>
        <item h="1" x="6872"/>
        <item h="1" x="6873"/>
        <item h="1" x="6874"/>
        <item h="1" x="6875"/>
        <item h="1" x="6876"/>
        <item h="1" x="6877"/>
        <item h="1" x="6878"/>
        <item h="1" x="6879"/>
        <item h="1" x="6880"/>
        <item h="1" x="6881"/>
        <item h="1" x="6882"/>
        <item h="1" x="6883"/>
        <item h="1" x="6884"/>
        <item h="1" x="6885"/>
        <item h="1" x="6886"/>
        <item h="1" x="6887"/>
        <item h="1" x="6888"/>
        <item h="1" x="6889"/>
        <item h="1" x="6890"/>
        <item h="1" x="6891"/>
        <item h="1" x="6892"/>
        <item h="1" x="6893"/>
        <item h="1" x="6894"/>
        <item h="1" x="6895"/>
        <item h="1" x="6896"/>
        <item h="1" x="6897"/>
        <item h="1" x="6898"/>
        <item h="1" x="6899"/>
        <item h="1" x="6900"/>
        <item h="1" x="6901"/>
        <item h="1" x="6902"/>
        <item h="1" x="6903"/>
        <item h="1" x="6904"/>
        <item h="1" x="6905"/>
        <item h="1" x="6906"/>
        <item h="1" x="6907"/>
        <item h="1" x="6908"/>
        <item h="1" x="6909"/>
        <item h="1" x="6910"/>
        <item h="1" x="6911"/>
        <item h="1" x="6912"/>
        <item h="1" x="6913"/>
        <item h="1" x="6914"/>
        <item h="1" x="6915"/>
        <item h="1" x="6916"/>
        <item h="1" x="6917"/>
        <item h="1" x="6918"/>
        <item h="1" x="6919"/>
        <item h="1" x="6920"/>
        <item h="1" x="6921"/>
        <item h="1" x="6922"/>
        <item h="1" x="6923"/>
        <item h="1" x="6924"/>
        <item h="1" x="6925"/>
        <item h="1" x="6926"/>
        <item h="1" x="6927"/>
        <item h="1" x="6928"/>
        <item h="1" x="6929"/>
        <item h="1" x="6930"/>
        <item h="1" x="6931"/>
        <item h="1" x="6932"/>
        <item h="1" x="6933"/>
        <item h="1" x="6934"/>
        <item h="1" x="6935"/>
        <item h="1" x="6936"/>
        <item h="1" x="6937"/>
        <item h="1" x="6938"/>
        <item h="1" x="6939"/>
        <item h="1" x="6940"/>
        <item h="1" x="6941"/>
        <item h="1" x="6942"/>
        <item h="1" x="6943"/>
        <item h="1" x="6944"/>
        <item h="1" x="6945"/>
        <item h="1" x="6946"/>
        <item h="1" x="6947"/>
        <item h="1" x="6948"/>
        <item h="1" x="6949"/>
        <item h="1" x="6950"/>
        <item h="1" x="6951"/>
        <item h="1" x="6952"/>
        <item h="1" x="6953"/>
        <item h="1" x="6954"/>
        <item h="1" x="6955"/>
        <item h="1" x="6956"/>
        <item h="1" x="6957"/>
        <item h="1" x="6958"/>
        <item h="1" x="6959"/>
        <item h="1" x="6960"/>
        <item h="1" x="6961"/>
        <item h="1" x="6962"/>
        <item h="1" x="6963"/>
        <item h="1" x="6964"/>
        <item h="1" x="6965"/>
        <item h="1" x="6966"/>
        <item h="1" x="6967"/>
        <item h="1" x="6968"/>
        <item h="1" x="6969"/>
        <item h="1" x="6970"/>
        <item h="1" x="6971"/>
        <item h="1" x="6972"/>
        <item h="1" x="6973"/>
        <item h="1" x="6974"/>
        <item h="1" x="6975"/>
        <item h="1" x="6976"/>
        <item h="1" x="6977"/>
        <item h="1" x="6978"/>
        <item h="1" x="6979"/>
        <item h="1" x="6980"/>
        <item h="1" x="6981"/>
        <item h="1" x="6982"/>
        <item h="1" x="6983"/>
        <item h="1" x="6984"/>
        <item h="1" x="6985"/>
        <item h="1" x="6986"/>
        <item h="1" x="6987"/>
        <item h="1" x="6988"/>
        <item h="1" x="6989"/>
        <item h="1" x="6990"/>
        <item h="1" x="6991"/>
        <item h="1" x="6992"/>
        <item h="1" x="6993"/>
        <item h="1" x="6994"/>
        <item h="1" x="6995"/>
        <item h="1" x="6996"/>
        <item h="1" x="6997"/>
        <item h="1" x="6998"/>
        <item h="1" x="6999"/>
        <item h="1" x="7000"/>
        <item h="1" x="7001"/>
        <item h="1" x="7002"/>
        <item h="1" x="7003"/>
        <item h="1" x="7004"/>
        <item h="1" x="7005"/>
        <item h="1" x="7006"/>
        <item h="1" x="7007"/>
        <item h="1" x="7008"/>
        <item h="1" x="7009"/>
        <item h="1" x="7010"/>
        <item h="1" x="7011"/>
        <item h="1" x="7012"/>
        <item h="1" x="7013"/>
        <item h="1" x="7014"/>
        <item h="1" x="7015"/>
        <item h="1" x="7016"/>
        <item h="1" x="7017"/>
        <item h="1" x="7018"/>
        <item h="1" x="7019"/>
        <item h="1" x="7020"/>
        <item h="1" x="7021"/>
        <item h="1" x="7022"/>
        <item h="1" x="7023"/>
        <item h="1" x="7024"/>
        <item h="1" x="7025"/>
        <item h="1" x="7026"/>
        <item h="1" x="7027"/>
        <item h="1" x="7028"/>
        <item h="1" x="7029"/>
        <item h="1" x="7030"/>
        <item h="1" x="7031"/>
        <item h="1" x="7032"/>
        <item h="1" x="7033"/>
        <item h="1" x="7034"/>
        <item h="1" x="7035"/>
        <item h="1" x="7036"/>
        <item h="1" x="7037"/>
        <item h="1" x="7038"/>
        <item h="1" x="7039"/>
        <item h="1" x="7040"/>
        <item h="1" x="7041"/>
        <item h="1" x="7042"/>
        <item h="1" x="7043"/>
        <item h="1" x="7044"/>
        <item h="1" x="7045"/>
        <item h="1" x="7046"/>
        <item h="1" x="7047"/>
        <item h="1" x="7048"/>
        <item h="1" x="7049"/>
        <item h="1" x="7050"/>
        <item h="1" x="7051"/>
        <item h="1" x="7052"/>
        <item h="1" x="7053"/>
        <item h="1" x="7054"/>
        <item h="1" x="7055"/>
        <item h="1" x="7056"/>
        <item h="1" x="7057"/>
        <item h="1" x="7058"/>
        <item h="1" x="7059"/>
        <item h="1" x="7060"/>
        <item h="1" x="7061"/>
        <item h="1" x="7062"/>
        <item h="1" x="7063"/>
        <item h="1" x="7064"/>
        <item h="1" x="7065"/>
        <item h="1" x="7066"/>
        <item h="1" x="7067"/>
        <item h="1" x="7068"/>
        <item h="1" x="7069"/>
        <item h="1" x="7070"/>
        <item h="1" x="7071"/>
        <item h="1" x="7072"/>
        <item h="1" x="7073"/>
        <item h="1" x="7074"/>
        <item h="1" x="7075"/>
        <item h="1" x="7076"/>
        <item h="1" x="7077"/>
        <item h="1" x="7078"/>
        <item h="1" x="7079"/>
        <item h="1" x="7080"/>
        <item h="1" x="7081"/>
        <item h="1" x="7082"/>
        <item h="1" x="7083"/>
        <item h="1" x="7084"/>
        <item h="1" x="7085"/>
        <item h="1" x="7086"/>
        <item h="1" x="7087"/>
        <item h="1" x="7088"/>
        <item h="1" x="7089"/>
        <item h="1" x="7090"/>
        <item h="1" x="7091"/>
        <item h="1" x="7092"/>
        <item h="1" x="7093"/>
        <item h="1" x="7094"/>
        <item h="1" x="7095"/>
        <item h="1" x="7096"/>
        <item h="1" x="7097"/>
        <item h="1" x="7098"/>
        <item h="1" x="7099"/>
        <item h="1" x="7100"/>
        <item h="1" x="7101"/>
        <item h="1" x="7102"/>
        <item h="1" x="7103"/>
        <item h="1" x="7104"/>
        <item h="1" x="7105"/>
        <item h="1" x="7106"/>
        <item h="1" x="7107"/>
        <item h="1" x="7108"/>
        <item h="1" x="7109"/>
        <item h="1" x="7110"/>
        <item h="1" x="7111"/>
        <item h="1" x="7112"/>
        <item h="1" x="7113"/>
        <item h="1" x="7114"/>
        <item h="1" x="7115"/>
        <item h="1" x="7116"/>
        <item h="1" x="7117"/>
        <item h="1" x="7118"/>
        <item h="1" x="7119"/>
        <item h="1" x="7120"/>
        <item h="1" x="7121"/>
        <item h="1" x="7122"/>
        <item h="1" x="7123"/>
        <item h="1" x="7124"/>
        <item h="1" x="7125"/>
        <item h="1" x="7126"/>
        <item h="1" x="7127"/>
        <item h="1" x="7128"/>
        <item h="1" x="7129"/>
        <item h="1" x="7130"/>
        <item h="1" x="7131"/>
        <item h="1" x="7132"/>
        <item h="1" x="7133"/>
        <item h="1" x="7134"/>
        <item h="1" x="7135"/>
        <item h="1" x="7136"/>
        <item h="1" x="7137"/>
        <item h="1" x="7138"/>
        <item h="1" x="7139"/>
        <item h="1" x="7140"/>
        <item h="1" x="7141"/>
        <item h="1" x="7142"/>
        <item h="1" x="7143"/>
        <item h="1" x="7144"/>
        <item h="1" x="7145"/>
        <item h="1" x="7146"/>
        <item h="1" x="7147"/>
        <item h="1" x="7148"/>
        <item h="1" x="7149"/>
        <item h="1" x="7150"/>
        <item h="1" x="7151"/>
        <item h="1" x="7152"/>
        <item h="1" x="7153"/>
        <item h="1" x="7154"/>
        <item h="1" x="7155"/>
        <item h="1" x="7156"/>
        <item h="1" x="7157"/>
        <item h="1" x="7158"/>
        <item h="1" x="7159"/>
        <item h="1" x="7160"/>
        <item h="1" x="7161"/>
        <item h="1" x="7162"/>
        <item h="1" x="7163"/>
        <item h="1" x="7164"/>
        <item h="1" x="7165"/>
        <item h="1" x="7166"/>
        <item h="1" x="7167"/>
        <item h="1" x="7168"/>
        <item h="1" x="7169"/>
        <item h="1" x="7170"/>
        <item h="1" x="7171"/>
        <item h="1" x="7172"/>
        <item h="1" x="7173"/>
        <item h="1" x="7174"/>
        <item h="1" x="7175"/>
        <item h="1" x="7176"/>
        <item h="1" x="7177"/>
        <item h="1" x="7178"/>
        <item h="1" x="7179"/>
        <item h="1" x="7180"/>
        <item h="1" x="7181"/>
        <item h="1" x="7182"/>
        <item h="1" x="7183"/>
        <item h="1" x="7184"/>
        <item h="1" x="7185"/>
        <item h="1" x="7186"/>
        <item h="1" x="7187"/>
        <item h="1" x="7188"/>
        <item h="1" x="7189"/>
        <item h="1" x="7190"/>
        <item h="1" x="7191"/>
        <item h="1" x="7192"/>
        <item h="1" x="7193"/>
        <item h="1" x="7194"/>
        <item h="1" x="7195"/>
        <item h="1" x="7196"/>
        <item h="1" x="7197"/>
        <item h="1" x="7198"/>
        <item h="1" x="7199"/>
        <item h="1" x="7200"/>
        <item h="1" x="7201"/>
        <item h="1" x="7202"/>
        <item h="1" x="7203"/>
        <item h="1" x="7204"/>
        <item h="1" x="7205"/>
        <item h="1" x="7206"/>
        <item h="1" x="7207"/>
        <item h="1" x="7208"/>
        <item h="1" x="7209"/>
        <item h="1" x="7210"/>
        <item h="1" x="7211"/>
        <item h="1" x="7212"/>
        <item h="1" x="7213"/>
        <item h="1" x="7214"/>
        <item h="1" x="7215"/>
        <item h="1" x="7216"/>
        <item h="1" x="7217"/>
        <item h="1" x="7218"/>
        <item h="1" x="7219"/>
        <item h="1" x="7220"/>
        <item h="1" x="7221"/>
        <item h="1" x="7222"/>
        <item h="1" x="7223"/>
        <item h="1" x="7224"/>
        <item h="1" x="7225"/>
        <item h="1" x="7226"/>
        <item h="1" x="7227"/>
        <item h="1" x="7228"/>
        <item h="1" x="7229"/>
        <item h="1" x="7230"/>
        <item h="1" x="7231"/>
        <item h="1" x="7232"/>
        <item h="1" x="7233"/>
        <item h="1" x="7234"/>
        <item h="1" x="7235"/>
        <item h="1" x="7236"/>
        <item h="1" x="7237"/>
        <item h="1" x="7238"/>
        <item h="1" x="7239"/>
        <item h="1" x="7240"/>
        <item h="1" x="7241"/>
        <item h="1" x="7242"/>
        <item h="1" x="7243"/>
        <item h="1" x="7244"/>
        <item h="1" x="7245"/>
        <item h="1" x="7246"/>
        <item h="1" x="7247"/>
        <item h="1" x="7248"/>
        <item h="1" x="7249"/>
        <item h="1" x="7250"/>
        <item h="1" x="7251"/>
        <item h="1" x="7252"/>
        <item h="1" x="7253"/>
        <item h="1" x="7254"/>
        <item h="1" x="7255"/>
        <item h="1" x="7256"/>
        <item h="1" x="7257"/>
        <item h="1" x="7258"/>
        <item h="1" x="7259"/>
        <item h="1" x="7260"/>
        <item h="1" x="7261"/>
        <item h="1" x="7262"/>
        <item h="1" x="7263"/>
        <item h="1" x="7264"/>
        <item h="1" x="7265"/>
        <item h="1" x="7266"/>
        <item h="1" x="7267"/>
        <item h="1" x="7268"/>
        <item h="1" x="7269"/>
        <item h="1" x="7270"/>
        <item h="1" x="7271"/>
        <item h="1" x="7272"/>
        <item h="1" x="7273"/>
        <item h="1" x="7274"/>
        <item h="1" x="7275"/>
        <item h="1" x="7276"/>
        <item h="1" x="7277"/>
        <item h="1" x="7278"/>
        <item h="1" x="7279"/>
        <item h="1" x="7280"/>
        <item h="1" x="7281"/>
        <item h="1" x="7282"/>
        <item h="1" x="7283"/>
        <item h="1" x="7284"/>
        <item h="1" x="7285"/>
        <item h="1" x="7286"/>
        <item h="1" x="7287"/>
        <item h="1" x="7288"/>
        <item h="1" x="7289"/>
        <item h="1" x="7290"/>
        <item h="1" x="7291"/>
        <item h="1" x="7292"/>
        <item h="1" x="7293"/>
        <item h="1" x="7294"/>
        <item h="1" x="7295"/>
        <item h="1" x="7296"/>
        <item h="1" x="7297"/>
        <item h="1" x="7298"/>
        <item h="1" x="7299"/>
        <item h="1" x="7300"/>
        <item h="1" x="7301"/>
        <item h="1" x="7302"/>
        <item h="1" x="7303"/>
        <item h="1" x="7304"/>
        <item h="1" x="7305"/>
        <item h="1" x="7306"/>
        <item h="1" x="7307"/>
        <item h="1" x="7308"/>
        <item h="1" x="7309"/>
        <item h="1" x="7310"/>
        <item h="1" x="7311"/>
        <item h="1" x="7312"/>
        <item h="1" x="7313"/>
        <item h="1" x="7314"/>
        <item h="1" x="7315"/>
        <item h="1" x="7316"/>
        <item h="1" x="7317"/>
        <item h="1" x="7318"/>
        <item h="1" x="7319"/>
        <item h="1" x="7320"/>
        <item h="1" x="7321"/>
        <item h="1" x="7322"/>
        <item h="1" x="7323"/>
        <item h="1" x="7324"/>
        <item h="1" x="7325"/>
        <item h="1" x="7326"/>
        <item h="1" x="7327"/>
        <item h="1" x="7328"/>
        <item h="1" x="7329"/>
        <item h="1" x="7330"/>
        <item h="1" x="7331"/>
        <item h="1" x="7332"/>
        <item h="1" x="7333"/>
        <item h="1" x="7334"/>
        <item h="1" x="7335"/>
        <item h="1" x="7336"/>
        <item h="1" x="7337"/>
        <item h="1" x="7338"/>
        <item h="1" x="7339"/>
        <item h="1" x="7340"/>
        <item h="1" x="7341"/>
        <item h="1" x="7342"/>
        <item h="1" x="7343"/>
        <item h="1" x="7344"/>
        <item h="1" x="7345"/>
        <item h="1" x="7346"/>
        <item h="1" x="7347"/>
        <item h="1" x="7348"/>
        <item h="1" x="7349"/>
        <item h="1" x="7350"/>
        <item h="1" x="7351"/>
        <item h="1" x="7352"/>
        <item h="1" x="7353"/>
        <item h="1" x="7354"/>
        <item h="1" x="7355"/>
        <item h="1" x="7356"/>
        <item h="1" x="7357"/>
        <item h="1" x="7358"/>
        <item h="1" x="7359"/>
        <item h="1" x="7360"/>
        <item h="1" x="7361"/>
        <item h="1" x="7362"/>
        <item h="1" x="7363"/>
        <item h="1" x="7364"/>
        <item h="1" x="7365"/>
        <item h="1" x="7366"/>
        <item h="1" x="7367"/>
        <item h="1" x="7368"/>
        <item h="1" x="7369"/>
        <item h="1" x="7370"/>
        <item h="1" x="7371"/>
        <item h="1" x="7372"/>
        <item h="1" x="7373"/>
        <item h="1" x="7374"/>
        <item h="1" x="7375"/>
        <item h="1" x="7376"/>
        <item h="1" x="7377"/>
        <item h="1" x="7378"/>
        <item h="1" x="7379"/>
        <item h="1" x="7380"/>
        <item h="1" x="7381"/>
        <item h="1" x="7382"/>
        <item h="1" x="7383"/>
        <item h="1" x="7384"/>
        <item h="1" x="7385"/>
        <item h="1" x="7386"/>
        <item h="1" x="7387"/>
        <item h="1" x="7388"/>
        <item h="1" x="7389"/>
        <item h="1" x="7390"/>
        <item h="1" x="7391"/>
        <item h="1" x="7392"/>
        <item h="1" x="7393"/>
        <item h="1" x="7394"/>
        <item h="1" x="7395"/>
        <item h="1" x="7396"/>
        <item h="1" x="7397"/>
        <item h="1" x="7398"/>
        <item h="1" x="7399"/>
        <item h="1" x="7400"/>
        <item h="1" x="7401"/>
        <item h="1" x="7402"/>
        <item h="1" x="7403"/>
        <item h="1" x="7404"/>
        <item h="1" x="7405"/>
        <item h="1" x="7406"/>
        <item h="1" x="7407"/>
        <item h="1" x="7408"/>
        <item h="1" x="7409"/>
        <item h="1" x="7410"/>
        <item h="1" x="7411"/>
        <item h="1" x="7412"/>
        <item h="1" x="7413"/>
        <item h="1" x="7414"/>
        <item h="1" x="7415"/>
        <item h="1" x="7416"/>
        <item h="1" x="7417"/>
        <item h="1" x="7418"/>
        <item h="1" x="7419"/>
        <item h="1" x="7420"/>
        <item h="1" x="7421"/>
        <item h="1" x="7422"/>
        <item h="1" x="7423"/>
        <item h="1" x="7424"/>
        <item h="1" x="7425"/>
        <item h="1" x="7426"/>
        <item h="1" x="7427"/>
        <item h="1" x="7428"/>
        <item h="1" x="7429"/>
        <item h="1" x="7430"/>
        <item h="1" x="7431"/>
        <item h="1" x="7432"/>
        <item h="1" x="7433"/>
        <item h="1" x="7434"/>
        <item h="1" x="7435"/>
        <item h="1" x="7436"/>
        <item h="1" x="7437"/>
        <item h="1" x="7438"/>
        <item h="1" x="7439"/>
        <item h="1" x="7440"/>
        <item h="1" x="7441"/>
        <item h="1" x="7442"/>
        <item h="1" x="7443"/>
        <item h="1" x="7444"/>
        <item h="1" x="7445"/>
        <item h="1" x="7446"/>
        <item h="1" x="7447"/>
        <item h="1" x="7448"/>
        <item h="1" x="7449"/>
        <item h="1" x="7450"/>
        <item h="1" x="7451"/>
        <item h="1" x="7452"/>
        <item h="1" x="7453"/>
        <item h="1" x="7454"/>
        <item h="1" x="7455"/>
        <item h="1" x="7456"/>
        <item h="1" x="7457"/>
        <item h="1" x="7458"/>
        <item h="1" x="7459"/>
        <item h="1" x="7460"/>
        <item h="1" x="7461"/>
        <item h="1" x="7462"/>
        <item h="1" x="7463"/>
        <item h="1" x="7464"/>
        <item h="1" x="7465"/>
        <item h="1" x="7466"/>
        <item h="1" x="7467"/>
        <item h="1" x="7468"/>
        <item h="1" x="7469"/>
        <item h="1" x="7470"/>
        <item h="1" x="7471"/>
        <item h="1" x="7472"/>
        <item h="1" x="7473"/>
        <item h="1" x="7474"/>
        <item h="1" x="7475"/>
        <item h="1" x="7476"/>
        <item h="1" x="7477"/>
        <item h="1" x="7478"/>
        <item h="1" x="7479"/>
        <item h="1" x="7480"/>
        <item h="1" x="7481"/>
        <item h="1" x="7482"/>
        <item h="1" x="7483"/>
        <item h="1" x="7484"/>
        <item h="1" x="7485"/>
        <item h="1" x="7486"/>
        <item h="1" x="7487"/>
        <item h="1" x="7488"/>
        <item h="1" x="7489"/>
        <item h="1" x="7490"/>
        <item h="1" x="7491"/>
        <item h="1" x="7492"/>
        <item h="1" x="7493"/>
        <item h="1" x="7494"/>
        <item h="1" x="7495"/>
        <item h="1" x="7496"/>
        <item h="1" x="7497"/>
        <item h="1" x="7498"/>
        <item h="1" x="7499"/>
        <item h="1" x="7500"/>
        <item h="1" x="7501"/>
        <item h="1" x="7502"/>
        <item h="1" x="7503"/>
        <item h="1" x="7504"/>
        <item h="1" x="7505"/>
        <item h="1" x="7506"/>
        <item h="1" x="7507"/>
        <item h="1" x="7508"/>
        <item h="1" x="7509"/>
        <item h="1" x="7510"/>
        <item h="1" x="7511"/>
        <item h="1" x="7512"/>
        <item h="1" x="7513"/>
        <item h="1" x="7514"/>
        <item h="1" x="7515"/>
        <item h="1" x="7516"/>
        <item h="1" x="7517"/>
        <item h="1" x="7518"/>
        <item h="1" x="7519"/>
        <item h="1" x="7520"/>
        <item h="1" x="7521"/>
        <item h="1" x="7522"/>
        <item h="1" x="7523"/>
        <item h="1" x="7524"/>
        <item h="1" x="7525"/>
        <item h="1" x="7526"/>
        <item h="1" x="7527"/>
        <item h="1" x="7528"/>
        <item h="1" x="7529"/>
        <item h="1" x="7530"/>
        <item h="1" x="7531"/>
        <item h="1" x="7532"/>
        <item h="1" x="7533"/>
        <item h="1" x="7534"/>
        <item h="1" x="7535"/>
        <item h="1" x="7536"/>
        <item h="1" x="7537"/>
        <item h="1" x="7538"/>
        <item h="1" x="7539"/>
        <item h="1" x="7540"/>
        <item h="1" x="7541"/>
        <item h="1" x="7542"/>
        <item h="1" x="7543"/>
        <item h="1" x="7544"/>
        <item h="1" x="7545"/>
        <item h="1" x="7546"/>
        <item h="1" x="7547"/>
        <item h="1" x="7548"/>
        <item h="1" x="7549"/>
        <item h="1" x="7550"/>
        <item h="1" x="7551"/>
        <item h="1" x="7552"/>
        <item h="1" x="7553"/>
        <item h="1" x="7554"/>
        <item h="1" x="7555"/>
        <item h="1" x="7556"/>
        <item h="1" x="7557"/>
        <item h="1" x="7558"/>
        <item h="1" x="7559"/>
        <item h="1" x="7560"/>
        <item h="1" x="7561"/>
        <item h="1" x="7562"/>
        <item h="1" x="7563"/>
        <item h="1" x="7564"/>
        <item h="1" x="7565"/>
        <item h="1" x="7566"/>
        <item h="1" x="7567"/>
        <item h="1" x="7568"/>
        <item h="1" x="7569"/>
        <item h="1" x="7570"/>
        <item h="1" x="7571"/>
        <item h="1" x="7572"/>
        <item h="1" x="7573"/>
        <item h="1" x="7574"/>
        <item h="1" x="7575"/>
        <item h="1" x="7576"/>
        <item h="1" x="7577"/>
        <item h="1" x="7578"/>
        <item h="1" x="7579"/>
        <item h="1" x="7580"/>
        <item h="1" x="7581"/>
        <item h="1" x="7582"/>
        <item h="1" x="7583"/>
        <item h="1" x="7584"/>
        <item h="1" x="7585"/>
        <item h="1" x="7586"/>
        <item h="1" x="7587"/>
        <item h="1" x="7588"/>
        <item h="1" x="7589"/>
        <item h="1" x="7590"/>
        <item h="1" x="7591"/>
        <item h="1" x="7592"/>
        <item h="1" x="7593"/>
        <item h="1" x="7594"/>
        <item h="1" x="7595"/>
        <item h="1" x="7596"/>
        <item h="1" x="7597"/>
        <item h="1" x="7598"/>
        <item h="1" x="7599"/>
        <item h="1" x="7600"/>
        <item h="1" x="7601"/>
        <item h="1" x="7602"/>
        <item h="1" x="7603"/>
        <item h="1" x="7604"/>
        <item h="1" x="7605"/>
        <item h="1" x="7606"/>
        <item h="1" x="7607"/>
        <item h="1" x="7608"/>
        <item h="1" x="7609"/>
        <item h="1" x="7610"/>
        <item h="1" x="7611"/>
        <item h="1" x="7612"/>
        <item h="1" x="7613"/>
        <item h="1" x="7614"/>
        <item h="1" x="7615"/>
        <item h="1" x="7616"/>
        <item h="1" x="7617"/>
        <item h="1" x="7618"/>
        <item h="1" x="7619"/>
        <item h="1" x="7620"/>
        <item h="1" x="7621"/>
        <item h="1" x="7622"/>
        <item h="1" x="7623"/>
        <item h="1" x="7624"/>
        <item h="1" x="7625"/>
        <item h="1" x="7626"/>
        <item h="1" x="7627"/>
        <item h="1" x="7628"/>
        <item h="1" x="7629"/>
        <item h="1" x="7630"/>
        <item h="1" x="7631"/>
        <item h="1" x="7632"/>
        <item h="1" x="7633"/>
        <item h="1" x="7634"/>
        <item h="1" x="7635"/>
        <item h="1" x="7636"/>
        <item h="1" x="7637"/>
        <item h="1" x="7638"/>
        <item h="1" x="7639"/>
        <item h="1" x="7640"/>
        <item h="1" x="7641"/>
        <item h="1" x="7642"/>
        <item h="1" x="7643"/>
        <item h="1" x="7644"/>
        <item h="1" x="7645"/>
        <item h="1" x="7646"/>
        <item h="1" x="7647"/>
        <item h="1" x="7648"/>
        <item h="1" x="7649"/>
        <item h="1" x="7650"/>
        <item h="1" x="7651"/>
        <item h="1" x="7652"/>
        <item h="1" x="7653"/>
        <item h="1" x="7654"/>
        <item h="1" x="7655"/>
        <item h="1" x="7656"/>
        <item h="1" x="7657"/>
        <item h="1" x="7658"/>
        <item h="1" x="7659"/>
        <item h="1" x="7660"/>
        <item h="1" x="7661"/>
        <item h="1" x="7662"/>
        <item h="1" x="7663"/>
        <item h="1" x="7664"/>
        <item h="1" x="7665"/>
        <item h="1" x="7666"/>
        <item h="1" x="7667"/>
        <item h="1" x="7668"/>
        <item h="1" x="7669"/>
        <item h="1" x="7670"/>
        <item h="1" x="7671"/>
        <item h="1" x="7672"/>
        <item h="1" x="7673"/>
        <item h="1" x="7674"/>
        <item h="1" x="7675"/>
        <item h="1" x="7676"/>
        <item h="1" x="7677"/>
        <item h="1" x="7678"/>
        <item h="1" x="7679"/>
        <item h="1" x="7680"/>
        <item h="1" x="7681"/>
        <item h="1" x="7682"/>
        <item h="1" x="7683"/>
        <item h="1" x="7684"/>
        <item h="1" x="7685"/>
        <item h="1" x="7686"/>
        <item h="1" x="7687"/>
        <item h="1" x="7688"/>
        <item h="1" x="7689"/>
        <item h="1" x="7690"/>
        <item h="1" x="7691"/>
        <item h="1" x="7692"/>
        <item h="1" x="7693"/>
        <item h="1" x="7694"/>
        <item h="1" x="7695"/>
        <item h="1" x="7696"/>
        <item h="1" x="7697"/>
        <item h="1" x="7698"/>
        <item h="1" x="7699"/>
        <item h="1" x="7700"/>
        <item h="1" x="7701"/>
        <item h="1" x="7702"/>
        <item h="1" x="7703"/>
        <item h="1" x="7704"/>
        <item h="1" x="7705"/>
        <item h="1" x="7706"/>
        <item h="1" x="7707"/>
        <item h="1" x="7708"/>
        <item h="1" x="7709"/>
        <item h="1" x="7710"/>
        <item h="1" x="7711"/>
        <item h="1" x="7712"/>
        <item h="1" x="7713"/>
        <item h="1" x="7714"/>
        <item h="1" x="7715"/>
        <item h="1" x="7716"/>
        <item h="1" x="7717"/>
        <item h="1" x="7718"/>
        <item h="1" x="7719"/>
        <item h="1" x="7720"/>
        <item h="1" x="7721"/>
        <item h="1" x="7722"/>
        <item h="1" x="7723"/>
        <item h="1" x="7724"/>
        <item h="1" x="7725"/>
        <item h="1" x="7726"/>
        <item h="1" x="7727"/>
        <item h="1" x="7728"/>
        <item h="1" x="7729"/>
        <item h="1" x="7730"/>
        <item h="1" x="7731"/>
        <item h="1" x="7732"/>
        <item h="1" x="7733"/>
        <item h="1" x="7734"/>
        <item h="1" x="7735"/>
        <item h="1" x="7736"/>
        <item h="1" x="7737"/>
        <item h="1" x="7738"/>
        <item h="1" x="7739"/>
        <item h="1" x="7740"/>
        <item h="1" x="7741"/>
        <item h="1" x="7742"/>
        <item h="1" x="7743"/>
        <item h="1" x="7744"/>
        <item h="1" x="7745"/>
        <item h="1" x="7746"/>
        <item h="1" x="7747"/>
        <item h="1" x="7748"/>
        <item h="1" x="7749"/>
        <item h="1" x="7750"/>
        <item h="1" x="7751"/>
        <item h="1" x="7752"/>
        <item h="1" x="7753"/>
        <item h="1" x="7754"/>
        <item h="1" x="7755"/>
        <item h="1" x="7756"/>
        <item h="1" x="7757"/>
        <item h="1" x="7758"/>
        <item h="1" x="7759"/>
        <item h="1" x="7760"/>
        <item h="1" x="7761"/>
        <item h="1" x="7762"/>
        <item h="1" x="7763"/>
        <item h="1" x="7764"/>
        <item h="1" x="7765"/>
        <item h="1" x="7766"/>
        <item h="1" x="7767"/>
        <item h="1" x="7768"/>
        <item h="1" x="7769"/>
        <item h="1" x="7770"/>
        <item h="1" x="7771"/>
        <item h="1" x="7772"/>
        <item h="1" x="7773"/>
        <item h="1" x="7774"/>
        <item h="1" x="7775"/>
        <item h="1" x="7776"/>
        <item h="1" x="7777"/>
        <item h="1" x="7778"/>
        <item h="1" x="7779"/>
        <item h="1" x="7780"/>
        <item h="1" x="7781"/>
        <item h="1" x="7782"/>
        <item h="1" x="7783"/>
        <item h="1" x="7784"/>
        <item h="1" x="7785"/>
        <item h="1" x="7786"/>
        <item h="1" x="7787"/>
        <item h="1" x="7788"/>
        <item h="1" x="7789"/>
        <item h="1" x="7790"/>
        <item h="1" x="7791"/>
        <item h="1" x="7792"/>
        <item h="1" x="7793"/>
        <item h="1" x="7794"/>
        <item h="1" x="7795"/>
        <item h="1" x="7796"/>
        <item h="1" x="7797"/>
        <item h="1" x="7798"/>
        <item h="1" x="7799"/>
        <item h="1" x="7800"/>
        <item h="1" x="7801"/>
        <item h="1" x="7802"/>
        <item h="1" x="7803"/>
        <item h="1" x="7804"/>
        <item h="1" x="7805"/>
        <item h="1" x="7806"/>
        <item h="1" x="7807"/>
        <item h="1" x="7808"/>
        <item h="1" x="7809"/>
        <item h="1" x="7810"/>
        <item h="1" x="7811"/>
        <item h="1" x="7812"/>
        <item h="1" x="7813"/>
        <item h="1" x="7814"/>
        <item h="1" x="7815"/>
        <item h="1" x="7816"/>
        <item h="1" x="7817"/>
        <item h="1" x="7818"/>
        <item h="1" x="7819"/>
        <item h="1" x="7820"/>
        <item h="1" x="7821"/>
        <item h="1" x="7822"/>
        <item h="1" x="7823"/>
        <item h="1" x="7824"/>
        <item h="1" x="7825"/>
        <item h="1" x="7826"/>
        <item h="1" x="7827"/>
        <item h="1" x="7828"/>
        <item h="1" x="7829"/>
        <item h="1" x="7830"/>
        <item h="1" x="7831"/>
        <item h="1" x="7832"/>
        <item h="1" x="7833"/>
        <item h="1" x="7834"/>
        <item h="1" x="7835"/>
        <item h="1" x="7836"/>
        <item h="1" x="7837"/>
        <item h="1" x="7838"/>
        <item h="1" x="7839"/>
        <item h="1" x="7840"/>
        <item h="1" x="7841"/>
        <item h="1" x="7842"/>
        <item h="1" x="7843"/>
        <item h="1" x="7844"/>
        <item h="1" x="7845"/>
        <item h="1" x="7846"/>
        <item h="1" x="7847"/>
        <item h="1" x="7848"/>
        <item h="1" x="7849"/>
        <item h="1" x="7850"/>
        <item h="1" x="7851"/>
        <item h="1" x="7852"/>
        <item h="1" x="7853"/>
        <item h="1" x="7854"/>
        <item h="1" x="7855"/>
        <item h="1" x="7856"/>
        <item h="1" x="7857"/>
        <item h="1" x="7858"/>
        <item h="1" x="7859"/>
        <item h="1" x="7860"/>
        <item h="1" x="7861"/>
        <item h="1" x="7862"/>
        <item h="1" x="7863"/>
        <item h="1" x="7864"/>
        <item h="1" x="7865"/>
        <item h="1" x="7866"/>
        <item h="1" x="7867"/>
        <item h="1" x="7868"/>
        <item h="1" x="7869"/>
        <item h="1" x="7870"/>
        <item h="1" x="7871"/>
        <item h="1" x="7872"/>
        <item h="1" x="7873"/>
        <item h="1" x="7874"/>
        <item h="1" x="7875"/>
        <item h="1" x="7876"/>
        <item h="1" x="7877"/>
        <item h="1" x="7878"/>
        <item h="1" x="7879"/>
        <item h="1" x="7880"/>
        <item h="1" x="7881"/>
        <item h="1" x="7882"/>
        <item h="1" x="7883"/>
        <item h="1" x="7884"/>
        <item h="1" x="7885"/>
        <item h="1" x="7886"/>
        <item h="1" x="7887"/>
        <item h="1" x="7888"/>
        <item h="1" x="7889"/>
        <item h="1" x="7890"/>
        <item h="1" x="7891"/>
        <item h="1" x="7892"/>
        <item h="1" x="7893"/>
        <item h="1" x="7894"/>
        <item h="1" x="7895"/>
        <item h="1" x="7896"/>
        <item h="1" x="7897"/>
        <item h="1" x="7898"/>
        <item h="1" x="7899"/>
        <item h="1" x="7900"/>
        <item h="1" x="7901"/>
        <item h="1" x="7902"/>
        <item h="1" x="7903"/>
        <item h="1" x="7904"/>
        <item h="1" x="7905"/>
        <item h="1" x="7906"/>
        <item h="1" x="7907"/>
        <item h="1" x="7908"/>
        <item h="1" x="7909"/>
        <item h="1" x="7910"/>
        <item h="1" x="7911"/>
        <item h="1" x="7912"/>
        <item h="1" x="7913"/>
        <item h="1" x="7914"/>
        <item h="1" x="7915"/>
        <item h="1" x="7916"/>
        <item h="1" x="7917"/>
        <item h="1" x="7918"/>
        <item h="1" x="7919"/>
        <item h="1" x="7920"/>
        <item h="1" x="7921"/>
        <item h="1" x="7922"/>
        <item h="1" x="7923"/>
        <item h="1" x="7924"/>
        <item h="1" x="7925"/>
        <item h="1" x="7926"/>
        <item h="1" x="7927"/>
        <item h="1" x="7928"/>
        <item h="1" x="7929"/>
        <item h="1" x="7930"/>
        <item h="1" x="7931"/>
        <item h="1" x="7932"/>
        <item h="1" x="7933"/>
        <item h="1" x="7934"/>
        <item h="1" x="7935"/>
        <item h="1" x="7936"/>
        <item h="1" x="7937"/>
        <item h="1" x="7938"/>
        <item h="1" x="7939"/>
        <item h="1" x="7940"/>
        <item h="1" x="7941"/>
        <item h="1" x="7942"/>
        <item h="1" x="7943"/>
        <item h="1" x="7944"/>
        <item h="1" x="7945"/>
        <item h="1" x="7946"/>
        <item h="1" x="7947"/>
        <item h="1" x="7948"/>
        <item h="1" x="7949"/>
        <item h="1" x="7950"/>
        <item h="1" x="7951"/>
        <item h="1" x="7952"/>
        <item h="1" x="7953"/>
        <item h="1" x="7954"/>
        <item h="1" x="7955"/>
        <item h="1" x="7956"/>
        <item h="1" x="7957"/>
        <item h="1" x="7958"/>
        <item h="1" x="7959"/>
        <item h="1" x="7960"/>
        <item h="1" x="7961"/>
        <item h="1" x="7962"/>
        <item h="1" x="7963"/>
        <item h="1" x="7964"/>
        <item h="1" x="7965"/>
        <item h="1" x="7966"/>
        <item h="1" x="7967"/>
        <item h="1" x="7968"/>
        <item h="1" x="7969"/>
        <item h="1" x="7970"/>
        <item h="1" x="7971"/>
        <item h="1" x="7972"/>
        <item h="1" x="7973"/>
        <item h="1" x="7974"/>
        <item h="1" x="7975"/>
        <item h="1" x="7976"/>
        <item h="1" x="7977"/>
        <item h="1" x="7978"/>
        <item h="1" x="7979"/>
        <item h="1" x="7980"/>
        <item h="1" x="7981"/>
        <item h="1" x="7982"/>
        <item h="1" x="7983"/>
        <item h="1" x="7984"/>
        <item h="1" x="7985"/>
        <item h="1" x="7986"/>
        <item h="1" x="7987"/>
        <item h="1" x="7988"/>
        <item h="1" x="7989"/>
        <item h="1" x="7990"/>
        <item h="1" x="7991"/>
        <item h="1" x="7992"/>
        <item h="1" x="7993"/>
        <item h="1" x="7994"/>
        <item h="1" x="7995"/>
        <item h="1" x="7996"/>
        <item h="1" x="7997"/>
        <item h="1" x="7998"/>
        <item h="1" x="7999"/>
        <item h="1" x="8000"/>
        <item h="1" x="8001"/>
        <item h="1" x="8002"/>
        <item h="1" x="8003"/>
        <item h="1" x="8004"/>
        <item h="1" x="8005"/>
        <item h="1" x="8006"/>
        <item h="1" x="8007"/>
        <item h="1" x="8008"/>
        <item h="1" x="8009"/>
        <item h="1" x="8010"/>
        <item h="1" x="8011"/>
        <item h="1" x="8012"/>
        <item h="1" x="8013"/>
        <item h="1" x="8014"/>
        <item h="1" x="8015"/>
        <item h="1" x="8016"/>
        <item h="1" x="8017"/>
        <item h="1" x="8018"/>
        <item h="1" x="8019"/>
        <item h="1" x="8020"/>
        <item h="1" x="8021"/>
        <item h="1" x="8022"/>
        <item h="1" x="8023"/>
        <item h="1" x="8024"/>
        <item h="1" x="8025"/>
        <item h="1" x="8026"/>
        <item h="1" x="8027"/>
        <item h="1" x="8028"/>
        <item h="1" x="8029"/>
        <item h="1" x="8030"/>
        <item h="1" x="8031"/>
        <item h="1" x="8032"/>
        <item h="1" x="8033"/>
        <item h="1" x="8034"/>
        <item h="1" x="8035"/>
        <item h="1" x="8036"/>
        <item h="1" x="8037"/>
        <item h="1" x="8038"/>
        <item h="1" x="8039"/>
        <item h="1" x="8040"/>
        <item h="1" x="8041"/>
        <item h="1" x="8042"/>
        <item h="1" x="8043"/>
        <item h="1" x="8044"/>
        <item h="1" x="8045"/>
        <item h="1" x="8046"/>
        <item h="1" x="8047"/>
        <item h="1" x="8048"/>
        <item h="1" x="8049"/>
        <item h="1" x="8050"/>
        <item h="1" x="8051"/>
        <item h="1" x="8052"/>
        <item h="1" x="8053"/>
        <item h="1" x="8054"/>
        <item h="1" x="8055"/>
        <item h="1" x="8056"/>
        <item h="1" x="8057"/>
        <item h="1" x="8058"/>
        <item h="1" x="8059"/>
        <item h="1" x="8060"/>
        <item h="1" x="8061"/>
        <item h="1" x="8062"/>
        <item h="1" x="8063"/>
        <item h="1" x="8064"/>
        <item h="1" x="8065"/>
        <item h="1" x="8066"/>
        <item h="1" x="8067"/>
        <item h="1" x="8068"/>
        <item h="1" x="8069"/>
        <item h="1" x="8070"/>
        <item h="1" x="8071"/>
        <item h="1" x="8072"/>
        <item h="1" x="8073"/>
        <item h="1" x="8074"/>
        <item h="1" x="8075"/>
        <item h="1" x="8076"/>
        <item h="1" x="8077"/>
        <item h="1" x="8078"/>
        <item h="1" x="8079"/>
        <item h="1" x="8080"/>
        <item h="1" x="8081"/>
        <item h="1" x="8082"/>
        <item h="1" x="8083"/>
        <item h="1" x="8084"/>
        <item h="1" x="8085"/>
        <item h="1" x="8086"/>
        <item h="1" x="8087"/>
        <item h="1" x="8088"/>
        <item h="1" x="8089"/>
        <item h="1" x="8090"/>
        <item h="1" x="8091"/>
        <item h="1" x="8092"/>
        <item h="1" x="8093"/>
        <item h="1" x="8094"/>
        <item h="1" x="8095"/>
        <item h="1" x="8096"/>
        <item h="1" x="8097"/>
        <item h="1" x="8098"/>
        <item h="1" x="8099"/>
        <item h="1" x="8100"/>
        <item h="1" x="8101"/>
        <item h="1" x="8102"/>
        <item h="1" x="8103"/>
        <item h="1" x="8104"/>
        <item h="1" x="8105"/>
        <item h="1" x="8106"/>
        <item h="1" x="8107"/>
        <item h="1" x="8108"/>
        <item h="1" x="8109"/>
        <item h="1" x="8110"/>
        <item h="1" x="8111"/>
        <item h="1" x="8112"/>
        <item h="1" x="8113"/>
        <item h="1" x="8114"/>
        <item h="1" x="8115"/>
        <item h="1" x="8116"/>
        <item h="1" x="8117"/>
        <item h="1" x="8118"/>
        <item h="1" x="8119"/>
        <item h="1" x="8120"/>
        <item h="1" x="8121"/>
        <item h="1" x="8122"/>
        <item h="1" x="8123"/>
        <item h="1" x="8124"/>
        <item h="1" x="8125"/>
        <item h="1" x="8126"/>
        <item h="1" x="8127"/>
        <item h="1" x="8128"/>
        <item h="1" x="8129"/>
        <item h="1" x="8130"/>
        <item h="1" x="8131"/>
        <item h="1" x="8132"/>
        <item h="1" x="8133"/>
        <item h="1" x="8134"/>
        <item h="1" x="8135"/>
        <item h="1" x="8136"/>
        <item h="1" x="8137"/>
        <item h="1" x="8138"/>
        <item h="1" x="8139"/>
        <item h="1" x="8140"/>
        <item h="1" x="8141"/>
        <item h="1" x="8142"/>
        <item h="1" x="8143"/>
        <item h="1" x="8144"/>
        <item h="1" x="8145"/>
        <item h="1" x="8146"/>
        <item h="1" x="8147"/>
        <item h="1" x="8148"/>
        <item h="1" x="8149"/>
        <item h="1" x="8150"/>
        <item h="1" x="8151"/>
        <item h="1" x="8152"/>
        <item h="1" x="8153"/>
        <item h="1" x="8154"/>
        <item h="1" x="8155"/>
        <item h="1" x="8156"/>
        <item h="1" x="8157"/>
        <item h="1" x="8158"/>
        <item h="1" x="8159"/>
        <item h="1" x="8160"/>
        <item h="1" x="8161"/>
        <item h="1" x="8162"/>
        <item h="1" x="8163"/>
        <item h="1" x="8164"/>
        <item h="1" x="8165"/>
        <item h="1" x="8166"/>
        <item h="1" x="8167"/>
        <item h="1" x="8168"/>
        <item h="1" x="8169"/>
        <item h="1" x="8170"/>
        <item h="1" x="8171"/>
        <item h="1" x="8172"/>
        <item h="1" x="8173"/>
        <item h="1" x="8174"/>
        <item h="1" x="8175"/>
        <item h="1" x="8176"/>
        <item h="1" x="8177"/>
        <item h="1" x="8178"/>
        <item h="1" x="8179"/>
        <item h="1" x="8180"/>
        <item h="1" x="8181"/>
        <item h="1" x="8182"/>
        <item h="1" x="8183"/>
        <item h="1" x="8184"/>
        <item h="1" x="8185"/>
        <item h="1" x="8186"/>
        <item h="1" x="8187"/>
        <item h="1" x="8188"/>
        <item h="1" x="8189"/>
        <item h="1" x="8190"/>
        <item h="1" x="8191"/>
        <item h="1" x="8192"/>
        <item h="1" x="8193"/>
        <item h="1" x="8194"/>
        <item h="1" x="8195"/>
        <item h="1" x="8196"/>
        <item h="1" x="8197"/>
        <item h="1" x="8198"/>
        <item h="1" x="8199"/>
        <item h="1" x="8200"/>
        <item h="1" x="8201"/>
        <item h="1" x="8202"/>
        <item h="1" x="8203"/>
        <item h="1" x="8204"/>
        <item h="1" x="8205"/>
        <item h="1" x="8206"/>
        <item h="1" x="8207"/>
        <item h="1" x="8208"/>
        <item h="1" x="8209"/>
        <item h="1" x="8210"/>
        <item h="1" x="8211"/>
        <item h="1" x="8212"/>
        <item h="1" x="8213"/>
        <item h="1" x="8214"/>
        <item h="1" x="8215"/>
        <item h="1" x="8216"/>
        <item h="1" x="8217"/>
        <item h="1" x="8218"/>
        <item h="1" x="8219"/>
        <item h="1" x="8220"/>
        <item h="1" x="8221"/>
        <item h="1" x="8222"/>
        <item h="1" x="8223"/>
        <item h="1" x="8224"/>
        <item h="1" x="8225"/>
        <item h="1" x="8226"/>
        <item h="1" x="8227"/>
        <item h="1" x="8228"/>
        <item h="1" x="8229"/>
        <item h="1" x="8230"/>
        <item h="1" x="8231"/>
        <item h="1" x="8232"/>
        <item h="1" x="8233"/>
        <item h="1" x="8234"/>
        <item h="1" x="8235"/>
        <item h="1" x="8236"/>
        <item h="1" x="8237"/>
        <item h="1" x="8238"/>
        <item h="1" x="8239"/>
        <item h="1" x="8240"/>
        <item h="1" x="8241"/>
        <item h="1" x="8242"/>
        <item h="1" x="8243"/>
        <item h="1" x="8244"/>
        <item h="1" x="8245"/>
        <item h="1" x="8246"/>
        <item h="1" x="8247"/>
        <item h="1" x="8248"/>
        <item h="1" x="8249"/>
        <item h="1" x="8250"/>
        <item h="1" x="8251"/>
        <item h="1" x="8252"/>
        <item h="1" x="8253"/>
        <item h="1" x="8254"/>
        <item h="1" x="8255"/>
        <item h="1" x="8256"/>
        <item h="1" x="8257"/>
        <item h="1" x="8258"/>
        <item h="1" x="8259"/>
        <item h="1" x="8260"/>
        <item h="1" x="8261"/>
        <item h="1" x="8262"/>
        <item h="1" x="8263"/>
        <item h="1" x="8264"/>
        <item h="1" x="8265"/>
        <item h="1" x="8266"/>
        <item h="1" x="8267"/>
        <item h="1" x="8268"/>
        <item h="1" x="8269"/>
        <item h="1" x="8270"/>
        <item h="1" x="8271"/>
        <item h="1" x="8272"/>
        <item h="1" x="8273"/>
        <item h="1" x="8274"/>
        <item h="1" x="8275"/>
        <item h="1" x="8276"/>
        <item h="1" x="8277"/>
        <item h="1" x="8278"/>
        <item h="1" x="8279"/>
        <item h="1" x="8280"/>
        <item h="1" x="8281"/>
        <item h="1" x="8282"/>
        <item h="1" x="8283"/>
        <item h="1" x="8284"/>
        <item h="1" x="8285"/>
        <item h="1" x="8286"/>
        <item h="1" x="8287"/>
        <item h="1" x="8288"/>
        <item h="1" x="8289"/>
        <item h="1" x="8290"/>
        <item h="1" x="8291"/>
        <item h="1" x="8292"/>
        <item h="1" x="8293"/>
        <item h="1" x="8294"/>
        <item h="1" x="8295"/>
        <item h="1" x="8296"/>
        <item h="1" x="8297"/>
        <item h="1" x="8298"/>
        <item h="1" x="8299"/>
        <item h="1" x="8300"/>
        <item h="1" x="8301"/>
        <item h="1" x="8302"/>
        <item h="1" x="8303"/>
        <item h="1" x="8304"/>
        <item h="1" x="8305"/>
        <item h="1" x="8306"/>
        <item h="1" x="8307"/>
        <item h="1" x="8308"/>
        <item h="1" x="8309"/>
        <item h="1" x="8310"/>
        <item h="1" x="8311"/>
        <item h="1" x="8312"/>
        <item h="1" x="8313"/>
        <item h="1" x="8314"/>
        <item h="1" x="8315"/>
        <item h="1" x="8316"/>
        <item h="1" x="8317"/>
        <item h="1" x="8318"/>
        <item h="1" x="8319"/>
        <item h="1" x="8320"/>
        <item h="1" x="8321"/>
        <item h="1" x="8322"/>
        <item h="1" x="8323"/>
        <item h="1" x="8324"/>
        <item h="1" x="8325"/>
        <item h="1" x="8326"/>
        <item h="1" x="8327"/>
        <item h="1" x="8328"/>
        <item h="1" x="8329"/>
        <item h="1" x="8330"/>
        <item h="1" x="8331"/>
        <item h="1" x="8332"/>
        <item h="1" x="8333"/>
        <item h="1" x="8334"/>
        <item h="1" x="8335"/>
        <item h="1" x="8336"/>
        <item h="1" x="8337"/>
        <item h="1" x="8338"/>
        <item h="1" x="8339"/>
        <item h="1" x="8340"/>
        <item h="1" x="8341"/>
        <item h="1" x="8342"/>
        <item h="1" x="8343"/>
        <item h="1" x="8344"/>
        <item h="1" x="8345"/>
        <item h="1" x="8346"/>
        <item h="1" x="8347"/>
        <item h="1" x="8348"/>
        <item h="1" x="8349"/>
        <item h="1" x="8350"/>
        <item h="1" x="8351"/>
        <item h="1" x="8352"/>
        <item h="1" x="8353"/>
        <item h="1" x="8354"/>
        <item h="1" x="8355"/>
        <item h="1" x="8356"/>
        <item h="1" x="8357"/>
        <item h="1" x="8358"/>
        <item h="1" x="8359"/>
        <item h="1" x="8360"/>
        <item h="1" x="8361"/>
        <item h="1" x="8362"/>
        <item h="1" x="8363"/>
        <item h="1" x="8364"/>
        <item h="1" x="8365"/>
        <item h="1" x="8366"/>
        <item h="1" x="8367"/>
        <item h="1" x="8368"/>
        <item h="1" x="8369"/>
        <item h="1" x="8370"/>
        <item h="1" x="8371"/>
        <item h="1" x="8372"/>
        <item h="1" x="8373"/>
        <item h="1" x="8374"/>
        <item h="1" x="8375"/>
        <item h="1" x="8376"/>
        <item h="1" x="8377"/>
        <item h="1" x="8378"/>
        <item h="1" x="8379"/>
        <item h="1" x="8380"/>
        <item h="1" x="8381"/>
        <item h="1" x="8382"/>
        <item h="1" x="8383"/>
        <item h="1" x="8384"/>
        <item h="1" x="8385"/>
        <item h="1" x="8386"/>
        <item h="1" x="8387"/>
        <item h="1" x="8388"/>
        <item h="1" x="8389"/>
        <item h="1" x="8390"/>
        <item h="1" x="8391"/>
        <item h="1" x="8392"/>
        <item h="1" x="8393"/>
        <item h="1" x="8394"/>
        <item h="1" x="8395"/>
        <item h="1" x="8396"/>
        <item h="1" x="8397"/>
        <item h="1" x="8398"/>
        <item h="1" x="8399"/>
        <item h="1" x="8400"/>
        <item h="1" x="8401"/>
        <item h="1" x="8402"/>
        <item h="1" x="8403"/>
        <item h="1" x="8404"/>
        <item h="1" x="8405"/>
        <item h="1" x="8406"/>
        <item h="1" x="8407"/>
        <item h="1" x="8408"/>
        <item h="1" x="8409"/>
        <item h="1" x="8410"/>
        <item h="1" x="8411"/>
        <item h="1" x="8412"/>
        <item h="1" x="8413"/>
        <item h="1" x="8414"/>
        <item h="1" x="8415"/>
        <item h="1" x="8416"/>
        <item h="1" x="8417"/>
        <item h="1" x="8418"/>
        <item h="1" x="8419"/>
        <item h="1" x="8420"/>
        <item h="1" x="8421"/>
        <item h="1" x="8422"/>
        <item h="1" x="8423"/>
        <item h="1" x="8424"/>
        <item h="1" x="8425"/>
        <item h="1" x="8426"/>
        <item h="1" x="8427"/>
        <item h="1" x="8428"/>
        <item h="1" x="8429"/>
        <item h="1" x="8430"/>
        <item h="1" x="8431"/>
        <item h="1" x="8432"/>
        <item h="1" x="8433"/>
        <item h="1" x="8434"/>
        <item h="1" x="8435"/>
        <item h="1" x="8436"/>
        <item h="1" x="8437"/>
        <item h="1" x="8438"/>
        <item h="1" x="8439"/>
        <item h="1" x="8440"/>
        <item h="1" x="8441"/>
        <item h="1" x="8442"/>
        <item h="1" x="8443"/>
        <item h="1" x="8444"/>
        <item h="1" x="8445"/>
        <item h="1" x="8446"/>
        <item h="1" x="8447"/>
        <item h="1" x="8448"/>
        <item h="1" x="8449"/>
        <item h="1" x="8450"/>
        <item h="1" x="8451"/>
        <item h="1" x="8452"/>
        <item h="1" x="8453"/>
        <item h="1" x="8454"/>
        <item h="1" x="8455"/>
        <item h="1" x="8456"/>
        <item h="1" x="8457"/>
        <item h="1" x="8458"/>
        <item h="1" x="8459"/>
        <item h="1" x="8460"/>
        <item h="1" x="8461"/>
        <item h="1" x="8462"/>
        <item h="1" x="8463"/>
        <item h="1" x="8464"/>
        <item h="1" x="8465"/>
        <item h="1" x="8466"/>
        <item h="1" x="8467"/>
        <item h="1" x="8468"/>
        <item h="1" x="8469"/>
        <item h="1" x="8470"/>
        <item h="1" x="8471"/>
        <item h="1" x="8472"/>
        <item h="1" x="8473"/>
        <item h="1" x="8474"/>
        <item h="1" x="8475"/>
        <item h="1" x="8476"/>
        <item h="1" x="8477"/>
        <item h="1" x="8478"/>
        <item h="1" x="8479"/>
        <item h="1" x="8480"/>
        <item h="1" x="8481"/>
        <item h="1" x="8482"/>
        <item h="1" x="8483"/>
        <item h="1" x="8484"/>
        <item h="1" x="8485"/>
        <item h="1" x="8486"/>
        <item h="1" x="8487"/>
        <item h="1" x="8488"/>
        <item h="1" x="8489"/>
        <item h="1" x="8490"/>
        <item h="1" x="8491"/>
        <item h="1" x="8492"/>
        <item h="1" x="8493"/>
        <item h="1" x="8494"/>
        <item h="1" x="8495"/>
        <item h="1" x="8496"/>
        <item h="1" x="8497"/>
        <item h="1" x="8498"/>
        <item h="1" x="8499"/>
        <item h="1" x="8500"/>
        <item h="1" x="8501"/>
        <item h="1" x="8502"/>
        <item h="1" x="8503"/>
        <item h="1" x="8504"/>
        <item h="1" x="8505"/>
        <item h="1" x="8506"/>
        <item h="1" x="8507"/>
        <item h="1" x="8508"/>
        <item h="1" x="8509"/>
        <item h="1" x="8510"/>
        <item h="1" x="8511"/>
        <item h="1" x="8512"/>
        <item h="1" x="8513"/>
        <item h="1" x="8514"/>
        <item h="1" x="8515"/>
        <item h="1" x="8516"/>
        <item h="1" x="8517"/>
        <item h="1" x="8518"/>
        <item h="1" x="8519"/>
        <item h="1" x="8520"/>
        <item h="1" x="8521"/>
        <item h="1" x="8522"/>
        <item h="1" x="8523"/>
        <item h="1" x="8524"/>
        <item h="1" x="8525"/>
        <item h="1" x="8526"/>
        <item h="1" x="8527"/>
        <item h="1" x="8528"/>
        <item h="1" x="8529"/>
        <item h="1" x="8530"/>
        <item h="1" x="8531"/>
        <item h="1" x="8532"/>
        <item h="1" x="8533"/>
        <item h="1" x="8534"/>
        <item h="1" x="8535"/>
        <item h="1" x="8536"/>
        <item h="1" x="8537"/>
        <item h="1" x="8538"/>
        <item h="1" x="8539"/>
        <item h="1" x="8540"/>
        <item h="1" x="8541"/>
        <item h="1" x="8542"/>
        <item h="1" x="8543"/>
        <item h="1" x="8544"/>
        <item h="1" x="8545"/>
        <item h="1" x="8546"/>
        <item h="1" x="8547"/>
        <item h="1" x="8548"/>
        <item h="1" x="8549"/>
        <item h="1" x="8550"/>
        <item h="1" x="8551"/>
        <item h="1" x="8552"/>
        <item h="1" x="8553"/>
        <item h="1" x="8554"/>
        <item h="1" x="8555"/>
        <item h="1" x="8556"/>
        <item h="1" x="8557"/>
        <item h="1" x="8558"/>
        <item h="1" x="8559"/>
        <item h="1" x="8560"/>
        <item h="1" x="8561"/>
        <item h="1" x="8562"/>
        <item h="1" x="8563"/>
        <item h="1" x="8564"/>
        <item h="1" x="8565"/>
        <item h="1" x="8566"/>
        <item h="1" x="8567"/>
        <item h="1" x="8568"/>
        <item h="1" x="8569"/>
        <item h="1" x="8570"/>
        <item h="1" x="8571"/>
        <item h="1" x="8572"/>
        <item h="1" x="8573"/>
        <item h="1" x="8574"/>
        <item h="1" x="8575"/>
        <item h="1" x="8576"/>
        <item h="1" x="8577"/>
        <item h="1" x="8578"/>
        <item h="1" x="8579"/>
        <item h="1" x="8580"/>
        <item h="1" x="8581"/>
        <item h="1" x="8582"/>
        <item h="1" x="8583"/>
        <item h="1" x="8584"/>
        <item h="1" x="8585"/>
        <item h="1" x="8586"/>
        <item h="1" x="8587"/>
        <item h="1" x="8588"/>
        <item h="1" x="8589"/>
        <item h="1" x="8590"/>
        <item h="1" x="8591"/>
        <item h="1" x="8592"/>
        <item h="1" x="8593"/>
        <item h="1" x="8594"/>
        <item h="1" x="8595"/>
        <item h="1" x="8596"/>
        <item h="1" x="8597"/>
        <item h="1" x="8598"/>
        <item h="1" x="8599"/>
        <item h="1" x="8600"/>
        <item h="1" x="8601"/>
        <item h="1" x="8602"/>
        <item h="1" x="8603"/>
        <item h="1" x="8604"/>
        <item h="1" x="8605"/>
        <item h="1" x="8606"/>
        <item h="1" x="8607"/>
        <item h="1" x="8608"/>
        <item h="1" x="8609"/>
        <item h="1" x="8610"/>
        <item h="1" x="8611"/>
        <item h="1" x="8612"/>
        <item h="1" x="8613"/>
        <item h="1" x="8614"/>
        <item h="1" x="8615"/>
        <item h="1" x="8616"/>
        <item h="1" x="8617"/>
        <item h="1" x="8618"/>
        <item h="1" x="8619"/>
        <item h="1" x="8620"/>
        <item h="1" x="8621"/>
        <item h="1" x="8622"/>
        <item h="1" x="8623"/>
        <item h="1" x="8624"/>
        <item h="1" x="8625"/>
        <item h="1" x="8626"/>
        <item h="1" x="8627"/>
        <item h="1" x="8628"/>
        <item h="1" x="8629"/>
        <item h="1" x="8630"/>
        <item h="1" x="8631"/>
        <item h="1" x="8632"/>
        <item h="1" x="8633"/>
        <item h="1" x="8634"/>
        <item h="1" x="8635"/>
        <item h="1" x="8636"/>
        <item h="1" x="8637"/>
        <item h="1" x="8638"/>
        <item h="1" x="8639"/>
        <item h="1" x="8640"/>
        <item h="1" x="8641"/>
        <item h="1" x="8642"/>
        <item h="1" x="8643"/>
        <item h="1" x="8644"/>
        <item h="1" x="8645"/>
        <item h="1" x="8646"/>
        <item h="1" x="8647"/>
        <item h="1" x="8648"/>
        <item h="1" x="8649"/>
        <item h="1" x="8650"/>
        <item h="1" x="8651"/>
        <item h="1" x="8652"/>
        <item h="1" x="8653"/>
        <item h="1" x="8654"/>
        <item h="1" x="8655"/>
        <item h="1" x="8656"/>
        <item h="1" x="8657"/>
        <item h="1" x="8658"/>
        <item h="1" x="8659"/>
        <item h="1" x="8660"/>
        <item h="1" x="8661"/>
        <item h="1" x="8662"/>
        <item h="1" x="8663"/>
        <item h="1" x="8664"/>
        <item h="1" x="8665"/>
        <item h="1" x="8666"/>
        <item h="1" x="8667"/>
        <item h="1" x="8668"/>
        <item h="1" x="8669"/>
        <item h="1" x="8670"/>
        <item h="1" x="8671"/>
        <item h="1" x="8672"/>
        <item h="1" x="8673"/>
        <item h="1" x="8674"/>
        <item h="1" x="8675"/>
        <item h="1" x="8676"/>
        <item h="1" x="8677"/>
        <item h="1" x="8678"/>
        <item h="1" x="8679"/>
        <item h="1" x="8680"/>
        <item h="1" x="8681"/>
        <item h="1" x="8682"/>
        <item h="1" x="8683"/>
        <item h="1" x="8684"/>
        <item h="1" x="8685"/>
        <item h="1" x="8686"/>
        <item h="1" x="8687"/>
        <item h="1" x="8688"/>
        <item h="1" x="8689"/>
        <item h="1" x="8690"/>
        <item h="1" x="8691"/>
        <item h="1" x="8692"/>
        <item h="1" x="8693"/>
        <item h="1" x="8694"/>
        <item h="1" x="8695"/>
        <item h="1" x="8696"/>
        <item h="1" x="8697"/>
        <item h="1" x="8698"/>
        <item h="1" x="8699"/>
        <item h="1" x="8700"/>
        <item h="1" x="8701"/>
        <item h="1" x="8702"/>
        <item h="1" x="8703"/>
        <item h="1" x="8704"/>
        <item h="1" x="8705"/>
        <item h="1" x="8706"/>
        <item h="1" x="8707"/>
        <item h="1" x="8708"/>
        <item h="1" x="8709"/>
        <item h="1" x="8710"/>
        <item h="1" x="8711"/>
        <item h="1" x="8712"/>
        <item h="1" x="8713"/>
        <item h="1" x="8714"/>
        <item h="1" x="8715"/>
        <item h="1" x="8716"/>
        <item h="1" x="8717"/>
        <item h="1" x="8718"/>
        <item h="1" x="8719"/>
        <item h="1" x="8720"/>
        <item h="1" x="8721"/>
        <item h="1" x="8722"/>
        <item h="1" x="8723"/>
        <item h="1" x="8724"/>
        <item h="1" x="8725"/>
        <item h="1" x="8726"/>
        <item h="1" x="8727"/>
        <item h="1" x="8728"/>
        <item h="1" x="8729"/>
        <item h="1" x="8730"/>
        <item h="1" x="8731"/>
        <item h="1" x="8732"/>
        <item h="1" x="8733"/>
        <item h="1" x="8734"/>
        <item h="1" x="8735"/>
        <item h="1" x="8736"/>
        <item h="1" x="8737"/>
        <item h="1" x="8738"/>
        <item h="1" x="8739"/>
        <item h="1" x="8740"/>
        <item h="1" x="8741"/>
        <item h="1" x="8742"/>
        <item h="1" x="8743"/>
        <item h="1" x="8744"/>
        <item h="1" x="8745"/>
        <item h="1" x="8746"/>
        <item h="1" x="8747"/>
        <item h="1" x="8748"/>
        <item h="1" x="8749"/>
        <item h="1" x="8750"/>
        <item h="1" x="8751"/>
        <item h="1" x="8752"/>
        <item h="1" x="8753"/>
        <item h="1" x="8754"/>
        <item h="1" x="8755"/>
        <item h="1" x="8756"/>
        <item h="1" x="8757"/>
        <item h="1" x="8758"/>
        <item h="1" x="8759"/>
        <item h="1" x="8760"/>
        <item h="1" x="8761"/>
        <item h="1" x="8762"/>
        <item h="1" x="8763"/>
        <item h="1" x="8764"/>
        <item h="1" x="8765"/>
        <item h="1" x="8766"/>
        <item h="1" x="8767"/>
        <item h="1" x="8768"/>
        <item h="1" x="8769"/>
        <item h="1" x="8770"/>
        <item h="1" x="8771"/>
        <item h="1" x="8772"/>
        <item h="1" x="8773"/>
        <item h="1" x="8774"/>
        <item h="1" x="8775"/>
        <item h="1" x="8776"/>
        <item h="1" x="8777"/>
        <item h="1" x="8778"/>
        <item h="1" x="8779"/>
        <item h="1" x="8780"/>
        <item h="1" x="8781"/>
        <item h="1" x="8782"/>
        <item h="1" x="8783"/>
        <item h="1" x="8784"/>
        <item h="1" x="8785"/>
        <item h="1" x="8786"/>
        <item h="1" x="8787"/>
        <item h="1" x="8788"/>
        <item h="1" x="8789"/>
        <item h="1" x="8790"/>
        <item h="1" x="8791"/>
        <item h="1" x="8792"/>
        <item h="1" x="8793"/>
        <item h="1" x="8794"/>
        <item h="1" x="8795"/>
        <item h="1" x="8796"/>
        <item h="1" x="8797"/>
        <item h="1" x="8798"/>
        <item h="1" x="8799"/>
        <item h="1" x="8800"/>
        <item h="1" x="8801"/>
        <item h="1" x="8802"/>
        <item h="1" x="8803"/>
        <item h="1" x="8804"/>
        <item h="1" x="8805"/>
        <item h="1" x="8806"/>
        <item h="1" x="8807"/>
        <item h="1" x="8808"/>
        <item h="1" x="8809"/>
        <item h="1" x="8810"/>
        <item h="1" x="8811"/>
        <item h="1" x="8812"/>
        <item h="1" x="8813"/>
        <item h="1" x="8814"/>
        <item h="1" x="8815"/>
        <item h="1" x="8816"/>
        <item h="1" x="8817"/>
        <item h="1" x="8818"/>
        <item h="1" x="8819"/>
        <item h="1" x="8820"/>
        <item h="1" x="8821"/>
        <item h="1" x="8822"/>
        <item h="1" x="8823"/>
        <item h="1" x="8824"/>
        <item h="1" x="8825"/>
        <item h="1" x="8826"/>
        <item h="1" x="8827"/>
        <item h="1" x="8828"/>
        <item h="1" x="8829"/>
        <item h="1" x="8830"/>
        <item h="1" x="8831"/>
        <item h="1" x="8832"/>
        <item h="1" x="8833"/>
        <item h="1" x="8834"/>
        <item h="1" x="8835"/>
        <item h="1" x="8836"/>
        <item h="1" x="8837"/>
        <item h="1" x="8838"/>
        <item h="1" x="8839"/>
        <item h="1" x="8840"/>
        <item h="1" x="8841"/>
        <item h="1" x="8842"/>
        <item h="1" x="8843"/>
        <item h="1" x="8844"/>
        <item h="1" x="8845"/>
        <item h="1" x="8846"/>
        <item h="1" x="8847"/>
        <item h="1" x="8848"/>
        <item h="1" x="8849"/>
        <item h="1" x="8850"/>
        <item h="1" x="8851"/>
        <item h="1" x="8852"/>
        <item h="1" x="8853"/>
        <item h="1" x="8854"/>
        <item h="1" x="8855"/>
        <item h="1" x="8856"/>
        <item h="1" x="8857"/>
        <item h="1" x="8858"/>
        <item h="1" x="8859"/>
        <item h="1" x="8860"/>
        <item h="1" x="8861"/>
        <item h="1" x="8862"/>
        <item h="1" x="8863"/>
        <item h="1" x="8864"/>
        <item h="1" x="8865"/>
        <item h="1" x="8866"/>
        <item h="1" x="8867"/>
        <item h="1" x="8868"/>
        <item h="1" x="8869"/>
        <item h="1" x="8870"/>
        <item h="1" x="8871"/>
        <item h="1" x="8872"/>
        <item h="1" x="8873"/>
        <item h="1" x="8874"/>
        <item h="1" x="8875"/>
        <item h="1" x="8876"/>
        <item h="1" x="8877"/>
        <item h="1" x="8878"/>
        <item h="1" x="8879"/>
        <item h="1" x="8880"/>
        <item h="1" x="8881"/>
        <item h="1" x="8882"/>
        <item h="1" x="8883"/>
        <item h="1" x="8884"/>
        <item h="1" x="8885"/>
        <item h="1" x="8886"/>
        <item h="1" x="8887"/>
        <item h="1" x="8888"/>
        <item h="1" x="8889"/>
        <item h="1" x="8890"/>
        <item h="1" x="8891"/>
        <item h="1" x="8892"/>
        <item h="1" x="8893"/>
        <item h="1" x="8894"/>
        <item h="1" x="8895"/>
        <item h="1" x="8896"/>
        <item h="1" x="8897"/>
        <item h="1" x="8898"/>
        <item h="1" x="8899"/>
        <item h="1" x="8900"/>
        <item h="1" x="8901"/>
        <item h="1" x="8902"/>
        <item h="1" x="8903"/>
        <item h="1" x="8904"/>
        <item h="1" x="8905"/>
        <item h="1" x="8906"/>
        <item h="1" x="8907"/>
        <item h="1" x="8908"/>
        <item h="1" x="8909"/>
        <item h="1" x="8910"/>
        <item h="1" x="8911"/>
        <item h="1" x="8912"/>
        <item h="1" x="8913"/>
        <item h="1" x="8914"/>
        <item h="1" x="8915"/>
        <item h="1" x="8916"/>
        <item h="1" x="8917"/>
        <item h="1" x="8918"/>
        <item h="1" x="8919"/>
        <item h="1" x="8920"/>
        <item h="1" x="8921"/>
        <item h="1" x="8922"/>
        <item h="1" x="8923"/>
        <item h="1" x="8924"/>
        <item h="1" x="8925"/>
        <item h="1" x="8926"/>
        <item h="1" x="8927"/>
        <item h="1" x="8928"/>
        <item h="1" x="8929"/>
        <item h="1" x="8930"/>
        <item h="1" x="8931"/>
        <item h="1" x="8932"/>
        <item h="1" x="8933"/>
        <item h="1" x="8934"/>
        <item h="1" x="8935"/>
        <item h="1" x="8936"/>
        <item h="1" x="8937"/>
        <item h="1" x="8938"/>
        <item h="1" x="8939"/>
        <item h="1" x="8940"/>
        <item h="1" x="8941"/>
        <item h="1" x="8942"/>
        <item h="1" x="8943"/>
        <item h="1" x="8944"/>
        <item h="1" x="8945"/>
        <item h="1" x="8946"/>
        <item h="1" x="8947"/>
        <item h="1" x="8948"/>
        <item h="1" x="8949"/>
        <item h="1" x="8950"/>
        <item h="1" x="8951"/>
        <item h="1" x="8952"/>
        <item h="1" x="8953"/>
        <item h="1" x="8954"/>
        <item h="1" x="8955"/>
        <item h="1" x="8956"/>
        <item h="1" x="8957"/>
        <item h="1" x="8958"/>
        <item h="1" x="8959"/>
        <item h="1" x="8960"/>
        <item h="1" x="8961"/>
        <item h="1" x="8962"/>
        <item h="1" x="8963"/>
        <item h="1" x="8964"/>
        <item h="1" x="8965"/>
        <item h="1" x="8966"/>
        <item h="1" x="8967"/>
        <item h="1" x="8968"/>
        <item h="1" x="8969"/>
        <item h="1" x="8970"/>
        <item h="1" x="8971"/>
        <item h="1" x="8972"/>
        <item h="1" x="8973"/>
        <item h="1" x="8974"/>
        <item h="1" x="8975"/>
        <item h="1" x="8976"/>
        <item h="1" x="8977"/>
        <item h="1" x="8978"/>
        <item h="1" x="8979"/>
        <item h="1" x="8980"/>
        <item h="1" x="8981"/>
        <item h="1" x="8982"/>
        <item h="1" x="8983"/>
        <item h="1" x="8984"/>
        <item h="1" x="8985"/>
        <item h="1" x="8986"/>
        <item h="1" x="8987"/>
        <item h="1" x="8988"/>
        <item h="1" x="8989"/>
        <item h="1" x="8990"/>
        <item h="1" x="8991"/>
        <item h="1" x="8992"/>
        <item h="1" x="8993"/>
        <item h="1" x="8994"/>
        <item h="1" x="8995"/>
        <item h="1" x="8996"/>
        <item h="1" x="8997"/>
        <item h="1" x="8998"/>
        <item h="1" x="8999"/>
        <item h="1" x="9000"/>
        <item h="1" x="9001"/>
        <item h="1" x="9002"/>
        <item h="1" x="9003"/>
        <item h="1" x="9004"/>
        <item h="1" x="9005"/>
        <item h="1" x="9006"/>
        <item h="1" x="9007"/>
        <item h="1" x="9008"/>
        <item h="1" x="9009"/>
        <item h="1" x="9010"/>
        <item h="1" x="9011"/>
        <item h="1" x="9012"/>
        <item h="1" x="9013"/>
        <item h="1" x="9014"/>
        <item h="1" x="9015"/>
        <item h="1" x="9016"/>
        <item h="1" x="9017"/>
        <item h="1" x="9018"/>
        <item h="1" x="9019"/>
        <item h="1" x="9020"/>
        <item h="1" x="9021"/>
        <item h="1" x="9022"/>
        <item h="1" x="9023"/>
        <item h="1" x="9024"/>
        <item h="1" x="9025"/>
        <item h="1" x="9026"/>
        <item h="1" x="9027"/>
        <item h="1" x="9028"/>
        <item h="1" x="9029"/>
        <item h="1" x="9030"/>
        <item h="1" x="9031"/>
        <item h="1" x="9032"/>
        <item h="1" x="9033"/>
        <item h="1" x="9034"/>
        <item h="1" x="9035"/>
        <item h="1" x="9036"/>
        <item h="1" x="9037"/>
        <item h="1" x="9038"/>
        <item h="1" x="9039"/>
        <item h="1" x="9040"/>
        <item h="1" x="9041"/>
        <item h="1" x="9042"/>
        <item h="1" x="9043"/>
        <item h="1" x="9044"/>
        <item h="1" x="9045"/>
        <item h="1" x="9046"/>
        <item h="1" x="9047"/>
        <item h="1" x="9048"/>
        <item h="1" x="9049"/>
        <item h="1" x="9050"/>
        <item h="1" x="9051"/>
        <item h="1" x="9052"/>
        <item h="1" x="9053"/>
        <item h="1" x="9054"/>
        <item h="1" x="9055"/>
        <item h="1" x="9056"/>
        <item h="1" x="9057"/>
        <item h="1" x="9058"/>
        <item h="1" x="9059"/>
        <item h="1" x="9060"/>
        <item h="1" x="9061"/>
        <item h="1" x="9062"/>
        <item h="1" x="9063"/>
        <item h="1" x="9064"/>
        <item h="1" x="9065"/>
        <item h="1" x="9066"/>
        <item h="1" x="9067"/>
        <item h="1" x="9068"/>
        <item h="1" x="9069"/>
        <item h="1" x="9070"/>
        <item h="1" x="9071"/>
        <item h="1" x="9072"/>
        <item h="1" x="9073"/>
        <item h="1" x="9074"/>
        <item h="1" x="9075"/>
        <item h="1" x="9076"/>
        <item h="1" x="9077"/>
        <item h="1" x="9078"/>
        <item h="1" x="9079"/>
        <item h="1" x="9080"/>
        <item h="1" x="9081"/>
        <item h="1" x="9082"/>
        <item h="1" x="9083"/>
        <item h="1" x="9084"/>
        <item h="1" x="9085"/>
        <item h="1" x="9086"/>
        <item h="1" x="9087"/>
        <item h="1" x="9088"/>
        <item h="1" x="9089"/>
        <item h="1" x="9090"/>
        <item h="1" x="9091"/>
        <item h="1" x="9092"/>
        <item h="1" x="9093"/>
        <item h="1" x="9094"/>
        <item h="1" x="9095"/>
        <item h="1" x="9096"/>
        <item h="1" x="9097"/>
        <item h="1" x="9098"/>
        <item h="1" x="9099"/>
        <item h="1" x="9100"/>
        <item h="1" x="9101"/>
        <item h="1" x="9102"/>
        <item h="1" x="9103"/>
        <item h="1" x="9104"/>
        <item h="1" x="9105"/>
        <item h="1" x="9106"/>
        <item h="1" x="9107"/>
        <item h="1" x="9108"/>
        <item h="1" x="9109"/>
        <item h="1" x="9110"/>
        <item h="1" x="9111"/>
        <item h="1" x="9112"/>
        <item h="1" x="9113"/>
        <item h="1" x="9114"/>
        <item h="1" x="9115"/>
        <item h="1" x="9116"/>
        <item h="1" x="9117"/>
        <item h="1" x="9118"/>
        <item h="1" x="9119"/>
        <item h="1" x="9120"/>
        <item h="1" x="9121"/>
        <item h="1" x="9122"/>
        <item h="1" x="9123"/>
        <item h="1" x="9124"/>
        <item h="1" x="9125"/>
        <item h="1" x="9126"/>
        <item h="1" x="9127"/>
        <item h="1" x="9128"/>
        <item h="1" x="9129"/>
        <item h="1" x="9130"/>
        <item h="1" x="9131"/>
        <item h="1" x="9132"/>
        <item h="1" x="9133"/>
        <item h="1" x="9134"/>
        <item h="1" x="9135"/>
        <item h="1" x="9136"/>
        <item h="1" x="9137"/>
        <item h="1" x="9138"/>
        <item h="1" x="9139"/>
        <item h="1" x="9140"/>
        <item h="1" x="9141"/>
        <item h="1" x="9142"/>
        <item h="1" x="9143"/>
        <item h="1" x="9144"/>
        <item h="1" x="9145"/>
        <item h="1" x="9146"/>
        <item h="1" x="9147"/>
        <item h="1" x="9148"/>
        <item h="1" x="9149"/>
        <item h="1" x="9150"/>
        <item h="1" x="9151"/>
        <item h="1" x="9152"/>
        <item h="1" x="9153"/>
        <item h="1" x="9154"/>
        <item h="1" x="9155"/>
        <item h="1" x="9156"/>
        <item h="1" x="9157"/>
        <item h="1" x="9158"/>
        <item h="1" x="9159"/>
        <item h="1" x="9160"/>
        <item h="1" x="9161"/>
        <item h="1" x="9162"/>
        <item h="1" x="9163"/>
        <item h="1" x="9164"/>
        <item h="1" x="9165"/>
        <item h="1" x="9166"/>
        <item h="1" x="9167"/>
        <item h="1" x="9168"/>
        <item h="1" x="9169"/>
        <item h="1" x="9170"/>
        <item h="1" x="9171"/>
        <item h="1" x="9172"/>
        <item h="1" x="9173"/>
        <item h="1" x="9174"/>
        <item h="1" x="9175"/>
        <item h="1" x="9176"/>
        <item h="1" x="9177"/>
        <item h="1" x="9178"/>
        <item h="1" x="9179"/>
        <item h="1" x="9180"/>
        <item h="1" x="9181"/>
        <item h="1" x="9182"/>
        <item h="1" x="9183"/>
        <item h="1" x="9184"/>
        <item h="1" x="9185"/>
        <item h="1" x="9186"/>
        <item h="1" x="9187"/>
        <item h="1" x="9188"/>
        <item h="1" x="9189"/>
        <item h="1" x="9190"/>
        <item h="1" x="9191"/>
        <item h="1" x="9192"/>
        <item h="1" x="9193"/>
        <item h="1" x="9194"/>
        <item h="1" x="9195"/>
        <item h="1" x="9196"/>
        <item h="1" x="9197"/>
        <item h="1" x="9198"/>
        <item h="1" x="9199"/>
        <item h="1" x="9200"/>
        <item h="1" x="9201"/>
        <item h="1" x="9202"/>
        <item h="1" x="9203"/>
        <item h="1" x="9204"/>
        <item h="1" x="9205"/>
        <item h="1" x="9206"/>
        <item h="1" x="9207"/>
        <item h="1" x="9208"/>
        <item h="1" x="9209"/>
        <item h="1" x="9210"/>
        <item h="1" x="9211"/>
        <item h="1" x="9212"/>
        <item h="1" x="9213"/>
        <item h="1" x="9214"/>
        <item h="1" x="9215"/>
        <item h="1" x="9216"/>
        <item h="1" x="9217"/>
        <item h="1" x="9218"/>
        <item h="1" x="9219"/>
        <item h="1" x="9220"/>
        <item h="1" x="9221"/>
        <item h="1" x="9222"/>
        <item h="1" x="9223"/>
        <item h="1" x="9224"/>
        <item h="1" x="9225"/>
        <item h="1" x="9226"/>
        <item h="1" x="9227"/>
        <item h="1" x="9228"/>
        <item h="1" x="9229"/>
        <item h="1" x="9230"/>
        <item h="1" x="9231"/>
        <item h="1" x="9232"/>
        <item h="1" x="9233"/>
        <item h="1" x="9234"/>
        <item h="1" x="9235"/>
        <item h="1" x="9236"/>
        <item h="1" x="9237"/>
        <item h="1" x="9238"/>
        <item h="1" x="9239"/>
        <item h="1" x="9240"/>
        <item h="1" x="9241"/>
        <item h="1" x="9242"/>
        <item h="1" x="9243"/>
        <item h="1" x="9244"/>
        <item h="1" x="9245"/>
        <item h="1" x="9246"/>
        <item h="1" x="9247"/>
        <item h="1" x="9248"/>
        <item h="1" x="9249"/>
        <item h="1" x="9250"/>
        <item h="1" x="9251"/>
        <item h="1" x="9252"/>
        <item h="1" x="9253"/>
        <item h="1" x="9254"/>
        <item h="1" x="9255"/>
        <item h="1" x="9256"/>
        <item h="1" x="9257"/>
        <item h="1" x="9258"/>
        <item h="1" x="9259"/>
        <item h="1" x="9260"/>
        <item h="1" x="9261"/>
        <item h="1" x="9262"/>
        <item h="1" x="9263"/>
        <item h="1" x="9264"/>
        <item h="1" x="9265"/>
        <item h="1" x="9266"/>
        <item h="1" x="9267"/>
        <item h="1" x="9268"/>
        <item h="1" x="9269"/>
        <item h="1" x="9270"/>
        <item h="1" x="9271"/>
        <item h="1" x="9272"/>
        <item h="1" x="9273"/>
        <item h="1" x="9274"/>
        <item h="1" x="9275"/>
        <item h="1" x="9276"/>
        <item h="1" x="9277"/>
        <item h="1" x="9278"/>
        <item h="1" x="9279"/>
        <item h="1" x="9280"/>
        <item h="1" x="9281"/>
        <item h="1" x="9282"/>
        <item h="1" x="9283"/>
        <item h="1" x="9284"/>
        <item h="1" x="9285"/>
        <item h="1" x="9286"/>
        <item h="1" x="9287"/>
        <item h="1" x="9288"/>
        <item h="1" x="9289"/>
        <item h="1" x="9290"/>
        <item h="1" x="9291"/>
        <item h="1" x="9292"/>
        <item h="1" x="9293"/>
        <item h="1" x="9294"/>
        <item h="1" x="9295"/>
        <item h="1" x="9296"/>
        <item h="1" x="9297"/>
        <item h="1" x="9298"/>
        <item h="1" x="9299"/>
        <item h="1" x="9300"/>
        <item h="1" x="9301"/>
        <item h="1" x="9302"/>
        <item h="1" x="9303"/>
        <item h="1" x="9304"/>
        <item h="1" x="9305"/>
        <item h="1" x="9306"/>
        <item h="1" x="9307"/>
        <item h="1" x="9308"/>
        <item h="1" x="9309"/>
        <item h="1" x="9310"/>
        <item h="1" x="9311"/>
        <item h="1" x="9312"/>
        <item h="1" x="9313"/>
        <item h="1" x="9314"/>
        <item h="1" x="9315"/>
        <item h="1" x="9316"/>
        <item h="1" x="9317"/>
        <item h="1" x="9318"/>
        <item h="1" x="9319"/>
        <item h="1" x="9320"/>
        <item h="1" x="9321"/>
        <item h="1" x="9322"/>
        <item h="1" x="9323"/>
        <item h="1" x="9324"/>
        <item h="1" x="9325"/>
        <item h="1" x="9326"/>
        <item h="1" x="9327"/>
        <item h="1" x="9328"/>
        <item h="1" x="9329"/>
        <item h="1" x="9330"/>
        <item h="1" x="9331"/>
        <item h="1" x="9332"/>
        <item h="1" x="9333"/>
        <item h="1" x="9334"/>
        <item h="1" x="9335"/>
        <item h="1" x="9336"/>
        <item h="1" x="9337"/>
        <item h="1" x="9338"/>
        <item h="1" x="9339"/>
        <item h="1" x="9340"/>
        <item h="1" x="9341"/>
        <item h="1" x="9342"/>
        <item h="1" x="9343"/>
        <item h="1" x="9344"/>
        <item h="1" x="9345"/>
        <item h="1" x="9346"/>
        <item h="1" x="9347"/>
        <item h="1" x="9348"/>
        <item h="1" x="9349"/>
        <item h="1" x="9350"/>
        <item h="1" x="9351"/>
        <item h="1" x="9352"/>
        <item h="1" x="9353"/>
        <item h="1" x="9354"/>
        <item h="1" x="9355"/>
        <item h="1" x="9356"/>
        <item h="1" x="9357"/>
        <item h="1" x="9358"/>
        <item h="1" x="9359"/>
        <item h="1" x="9360"/>
        <item h="1" x="9361"/>
        <item h="1" x="9362"/>
        <item h="1" x="9363"/>
        <item h="1" x="9364"/>
        <item h="1" x="9365"/>
        <item h="1" x="9366"/>
        <item h="1" x="9367"/>
        <item h="1" x="9368"/>
        <item h="1" x="9369"/>
        <item h="1" x="9370"/>
        <item h="1" x="9371"/>
        <item h="1" x="9372"/>
        <item h="1" x="9373"/>
        <item h="1" x="9374"/>
        <item h="1" x="9375"/>
        <item h="1" x="9376"/>
        <item h="1" x="9377"/>
        <item h="1" x="9378"/>
        <item h="1" x="9379"/>
        <item h="1" x="9380"/>
        <item h="1" x="9381"/>
        <item h="1" x="9382"/>
        <item h="1" x="9383"/>
        <item h="1" x="9384"/>
        <item h="1" x="9385"/>
        <item h="1" x="9386"/>
        <item h="1" x="9387"/>
        <item h="1" x="9388"/>
        <item h="1" x="9389"/>
        <item h="1" x="9390"/>
        <item h="1" x="9391"/>
        <item h="1" x="9392"/>
        <item h="1" x="9393"/>
        <item h="1" x="9394"/>
        <item h="1" x="9395"/>
        <item h="1" x="9396"/>
        <item h="1" x="9397"/>
        <item h="1" x="9398"/>
        <item h="1" x="9399"/>
        <item h="1" x="9400"/>
        <item h="1" x="9401"/>
        <item h="1" x="9402"/>
        <item h="1" x="9403"/>
        <item h="1" x="9404"/>
        <item h="1" x="9405"/>
        <item h="1" x="9406"/>
        <item h="1" x="9407"/>
        <item h="1" x="9408"/>
        <item h="1" x="9409"/>
        <item h="1" x="9410"/>
        <item h="1" x="9411"/>
        <item h="1" x="9412"/>
        <item h="1" x="9413"/>
        <item h="1" x="9414"/>
        <item h="1" x="9415"/>
        <item h="1" x="9416"/>
        <item h="1" x="9417"/>
        <item h="1" x="9418"/>
        <item h="1" x="9419"/>
        <item h="1" x="9420"/>
        <item h="1" x="9421"/>
        <item h="1" x="9422"/>
        <item h="1" x="9423"/>
        <item h="1" x="9424"/>
        <item h="1" x="9425"/>
        <item h="1" x="9426"/>
        <item h="1" x="9427"/>
        <item h="1" x="9428"/>
        <item h="1" x="9429"/>
        <item h="1" x="9430"/>
        <item h="1" x="9431"/>
        <item h="1" x="9432"/>
        <item h="1" x="9433"/>
        <item h="1" x="9434"/>
        <item h="1" x="9435"/>
        <item h="1" x="9436"/>
        <item h="1" x="9437"/>
        <item h="1" x="9438"/>
        <item h="1" x="9439"/>
        <item h="1" x="9440"/>
        <item h="1" x="9441"/>
        <item h="1" x="9442"/>
        <item h="1" x="9443"/>
        <item h="1" x="9444"/>
        <item h="1" x="9445"/>
        <item h="1" x="9446"/>
        <item h="1" x="9447"/>
        <item h="1" x="9448"/>
        <item h="1" x="9449"/>
        <item h="1" x="9450"/>
        <item h="1" x="9451"/>
        <item h="1" x="9452"/>
        <item h="1" x="9453"/>
        <item h="1" x="9454"/>
        <item h="1" x="9455"/>
        <item h="1" x="9456"/>
        <item h="1" x="9457"/>
        <item h="1" x="9458"/>
        <item h="1" x="9459"/>
        <item h="1" x="9460"/>
        <item h="1" x="9461"/>
        <item h="1" x="9462"/>
        <item h="1" x="9463"/>
        <item h="1" x="9464"/>
        <item h="1" x="9465"/>
        <item h="1" x="9466"/>
        <item h="1" x="9467"/>
        <item h="1" x="9468"/>
        <item h="1" x="9469"/>
        <item h="1" x="9470"/>
        <item h="1" x="9471"/>
        <item h="1" x="9472"/>
        <item h="1" x="9473"/>
        <item h="1" x="9474"/>
        <item h="1" x="9475"/>
        <item h="1" x="9476"/>
        <item h="1" x="9477"/>
        <item h="1" x="9478"/>
        <item h="1" x="9479"/>
        <item h="1" x="9480"/>
        <item h="1" x="9481"/>
        <item h="1" x="9482"/>
        <item h="1" x="9483"/>
        <item h="1" x="9484"/>
        <item h="1" x="9485"/>
        <item h="1" x="9486"/>
        <item h="1" x="9487"/>
        <item h="1" x="9488"/>
        <item h="1" x="9489"/>
        <item h="1" x="9490"/>
        <item h="1" x="9491"/>
        <item h="1" x="9492"/>
        <item h="1" x="9493"/>
        <item h="1" x="9494"/>
        <item h="1" x="9495"/>
        <item h="1" x="9496"/>
        <item h="1" x="9497"/>
        <item h="1" x="9498"/>
        <item h="1" x="9499"/>
        <item h="1" x="9500"/>
        <item h="1" x="9501"/>
        <item h="1" x="9502"/>
        <item h="1" x="9503"/>
        <item h="1" x="9504"/>
        <item h="1" x="9505"/>
        <item h="1" x="9506"/>
        <item h="1" x="9507"/>
        <item h="1" x="9508"/>
        <item h="1" x="9509"/>
        <item h="1" x="9510"/>
        <item h="1" x="9511"/>
        <item h="1" x="9512"/>
        <item h="1" x="9513"/>
        <item h="1" x="9514"/>
        <item h="1" x="9515"/>
        <item h="1" x="9516"/>
        <item h="1" x="9517"/>
        <item h="1" x="9518"/>
        <item h="1" x="9519"/>
        <item h="1" x="9520"/>
        <item h="1" x="9521"/>
        <item h="1" x="9522"/>
        <item h="1" x="9523"/>
        <item h="1" x="9524"/>
        <item h="1" x="9525"/>
        <item h="1" x="9526"/>
        <item h="1" x="9527"/>
        <item h="1" x="9528"/>
        <item h="1" x="9529"/>
        <item h="1" x="9530"/>
        <item h="1" x="9531"/>
        <item h="1" x="9532"/>
        <item h="1" x="9533"/>
        <item h="1" x="9534"/>
        <item h="1" x="9535"/>
        <item h="1" x="9536"/>
        <item h="1" x="9537"/>
        <item h="1" x="9538"/>
        <item h="1" x="9539"/>
        <item h="1" x="9540"/>
        <item h="1" x="9541"/>
        <item h="1" x="9542"/>
        <item h="1" x="9543"/>
        <item h="1" x="9544"/>
        <item h="1" x="9545"/>
        <item h="1" x="9546"/>
        <item h="1" x="9547"/>
        <item h="1" x="9548"/>
        <item h="1" x="9549"/>
        <item h="1" x="9550"/>
        <item h="1" x="9551"/>
        <item h="1" x="9552"/>
        <item h="1" x="9553"/>
        <item h="1" x="9554"/>
        <item h="1" x="9555"/>
        <item h="1" x="9556"/>
        <item h="1" x="9557"/>
        <item h="1" x="9558"/>
        <item h="1" x="9559"/>
        <item h="1" x="9560"/>
        <item h="1" x="9561"/>
        <item h="1" x="9562"/>
        <item h="1" x="9563"/>
        <item h="1" x="9564"/>
        <item h="1" x="9565"/>
        <item h="1" x="9566"/>
        <item h="1" x="9567"/>
        <item h="1" x="9568"/>
        <item h="1" x="9569"/>
        <item h="1" x="9570"/>
        <item h="1" x="9571"/>
        <item h="1" x="9572"/>
        <item h="1" x="9573"/>
        <item h="1" x="9574"/>
        <item h="1" x="9575"/>
        <item h="1" x="9576"/>
        <item h="1" x="9577"/>
        <item h="1" x="9578"/>
        <item h="1" x="9579"/>
        <item h="1" x="9580"/>
        <item h="1" x="9581"/>
        <item h="1" x="9582"/>
        <item h="1" x="9583"/>
        <item h="1" x="9584"/>
        <item h="1" x="9585"/>
        <item h="1" x="9586"/>
        <item h="1" x="9587"/>
        <item h="1" x="9588"/>
        <item h="1" x="9589"/>
        <item h="1" x="9590"/>
        <item h="1" x="9591"/>
        <item h="1" x="9592"/>
        <item h="1" x="9593"/>
        <item h="1" x="9594"/>
        <item h="1" x="9595"/>
        <item h="1" x="9596"/>
        <item h="1" x="9597"/>
        <item h="1" x="9598"/>
        <item h="1" x="9599"/>
        <item h="1" x="9600"/>
        <item h="1" x="9601"/>
        <item h="1" x="9602"/>
        <item h="1" x="9603"/>
        <item h="1" x="9604"/>
        <item h="1" x="9605"/>
        <item h="1" x="9606"/>
        <item h="1" x="9607"/>
        <item h="1" x="9608"/>
        <item h="1" x="9609"/>
        <item h="1" x="9610"/>
        <item h="1" x="9611"/>
        <item h="1" x="9612"/>
        <item h="1" x="9613"/>
        <item h="1" x="9614"/>
        <item h="1" x="9615"/>
        <item h="1" x="9616"/>
        <item h="1" x="9617"/>
        <item h="1" x="9618"/>
        <item h="1" x="9619"/>
        <item h="1" x="9620"/>
        <item h="1" x="9621"/>
        <item h="1" x="9622"/>
        <item h="1" x="9623"/>
        <item h="1" x="9624"/>
        <item h="1" x="9625"/>
        <item h="1" x="9626"/>
        <item h="1" x="9627"/>
        <item h="1" x="9628"/>
        <item h="1" x="9629"/>
        <item h="1" x="9630"/>
        <item h="1" x="9631"/>
        <item h="1" x="9632"/>
        <item h="1" x="9633"/>
        <item h="1" x="9634"/>
        <item h="1" x="9635"/>
        <item h="1" x="9636"/>
        <item h="1" x="9637"/>
        <item h="1" x="9638"/>
        <item h="1" x="9639"/>
        <item h="1" x="9640"/>
        <item h="1" x="9641"/>
        <item h="1" x="9642"/>
        <item h="1" x="9643"/>
        <item h="1" x="9644"/>
        <item h="1" x="9645"/>
        <item h="1" x="9646"/>
        <item h="1" x="9647"/>
        <item h="1" x="9648"/>
        <item h="1" x="9649"/>
        <item h="1" x="9650"/>
        <item h="1" x="9651"/>
        <item h="1" x="9652"/>
        <item h="1" x="9653"/>
        <item h="1" x="9654"/>
        <item h="1" x="9655"/>
        <item h="1" x="9656"/>
        <item h="1" x="9657"/>
        <item h="1" x="9658"/>
        <item h="1" x="9659"/>
        <item h="1" x="9660"/>
        <item h="1" x="9661"/>
        <item h="1" x="9662"/>
        <item h="1" x="9663"/>
        <item h="1" x="9664"/>
        <item h="1" x="9665"/>
        <item h="1" x="9666"/>
        <item h="1" x="9667"/>
        <item h="1" x="9668"/>
        <item h="1" x="9669"/>
        <item h="1" x="9670"/>
        <item h="1" x="9671"/>
        <item h="1" x="9672"/>
        <item h="1" x="9673"/>
        <item h="1" x="9674"/>
        <item h="1" x="9675"/>
        <item h="1" x="9676"/>
        <item h="1" x="9677"/>
        <item h="1" x="9678"/>
        <item h="1" x="9679"/>
        <item h="1" x="9680"/>
        <item h="1" x="9681"/>
        <item h="1" x="9682"/>
        <item h="1" x="9683"/>
        <item h="1" x="9684"/>
        <item h="1" x="9685"/>
        <item h="1" x="9686"/>
        <item h="1" x="9687"/>
        <item h="1" x="9688"/>
        <item h="1" x="9689"/>
        <item h="1" x="9690"/>
        <item h="1" x="9691"/>
        <item h="1" x="9692"/>
        <item h="1" x="9693"/>
        <item h="1" x="9694"/>
        <item h="1" x="9695"/>
        <item h="1" x="9696"/>
        <item h="1" x="9697"/>
        <item h="1" x="9698"/>
        <item h="1" x="9699"/>
        <item h="1" x="9700"/>
        <item h="1" x="9701"/>
        <item h="1" x="9702"/>
        <item h="1" x="9703"/>
        <item h="1" x="9704"/>
        <item h="1" x="9705"/>
        <item h="1" x="9706"/>
        <item h="1" x="9707"/>
        <item h="1" x="9708"/>
        <item h="1" x="9709"/>
        <item h="1" x="9710"/>
        <item h="1" x="9711"/>
        <item h="1" x="9712"/>
        <item h="1" x="9713"/>
        <item h="1" x="9714"/>
        <item h="1" x="9715"/>
        <item h="1" x="9716"/>
        <item h="1" x="9717"/>
        <item h="1" x="9718"/>
        <item h="1" x="9719"/>
        <item h="1" x="9720"/>
        <item h="1" x="9721"/>
        <item h="1" x="9722"/>
        <item h="1" x="9723"/>
        <item h="1" x="9724"/>
        <item h="1" x="9725"/>
        <item h="1" x="9726"/>
        <item h="1" x="9727"/>
        <item h="1" x="9728"/>
        <item h="1" x="9729"/>
        <item h="1" x="9730"/>
        <item h="1" x="9731"/>
        <item h="1" x="9732"/>
        <item h="1" x="9733"/>
        <item h="1" x="9734"/>
        <item h="1" x="9735"/>
        <item h="1" x="9736"/>
        <item h="1" x="9737"/>
        <item h="1" x="9738"/>
        <item h="1" x="9739"/>
        <item h="1" x="9740"/>
        <item h="1" x="9741"/>
        <item h="1" x="9742"/>
        <item h="1" x="9743"/>
        <item h="1" x="9744"/>
        <item h="1" x="9745"/>
        <item h="1" x="9746"/>
        <item h="1" x="9747"/>
        <item h="1" x="9748"/>
        <item h="1" x="9749"/>
        <item h="1" x="9750"/>
        <item h="1" x="9751"/>
        <item h="1" x="9752"/>
        <item h="1" x="9753"/>
        <item h="1" x="9754"/>
        <item h="1" x="9755"/>
        <item h="1" x="9756"/>
        <item h="1" x="9757"/>
        <item h="1" x="9758"/>
        <item h="1" x="9759"/>
        <item h="1" x="9760"/>
        <item h="1" x="9761"/>
        <item h="1" x="9762"/>
        <item h="1" x="9763"/>
        <item h="1" x="9764"/>
        <item h="1" x="9765"/>
        <item h="1" x="9766"/>
        <item h="1" x="9767"/>
        <item h="1" x="9768"/>
        <item h="1" x="9769"/>
        <item h="1" x="9770"/>
        <item h="1" x="9771"/>
        <item h="1" x="9772"/>
        <item h="1" x="9773"/>
        <item h="1" x="9774"/>
        <item h="1" x="9775"/>
        <item h="1" x="9776"/>
        <item h="1" x="9777"/>
        <item h="1" x="9778"/>
        <item h="1" x="9779"/>
        <item h="1" x="9780"/>
        <item h="1" x="9781"/>
        <item h="1" x="9782"/>
        <item h="1" x="9783"/>
        <item h="1" x="9784"/>
        <item h="1" x="9785"/>
        <item h="1" x="9786"/>
        <item h="1" x="9787"/>
        <item h="1" x="9788"/>
        <item h="1" x="9789"/>
        <item h="1" x="9790"/>
        <item h="1" x="9791"/>
        <item h="1" x="9792"/>
        <item h="1" x="9793"/>
        <item h="1" x="9794"/>
        <item h="1" x="9795"/>
        <item h="1" x="9796"/>
        <item h="1" x="9797"/>
        <item h="1" x="9798"/>
        <item h="1" x="9799"/>
        <item h="1" x="9800"/>
        <item h="1" x="9801"/>
        <item h="1" x="9802"/>
        <item h="1" x="9803"/>
        <item h="1" x="9804"/>
        <item h="1" x="9805"/>
        <item h="1" x="9806"/>
        <item h="1" x="9807"/>
        <item h="1" x="9808"/>
        <item h="1" x="9809"/>
        <item h="1" x="9810"/>
        <item h="1" x="9811"/>
        <item h="1" x="9812"/>
        <item h="1" x="9813"/>
        <item h="1" x="9814"/>
        <item h="1" x="9815"/>
        <item h="1" x="9816"/>
        <item h="1" x="9817"/>
        <item h="1" x="9818"/>
        <item h="1" x="9819"/>
        <item h="1" x="9820"/>
        <item h="1" x="9821"/>
        <item h="1" x="9822"/>
        <item h="1" x="9823"/>
        <item h="1" x="9824"/>
        <item h="1" x="9825"/>
        <item h="1" x="9826"/>
        <item h="1" x="9827"/>
        <item h="1" x="9828"/>
        <item h="1" x="9829"/>
        <item h="1" x="9830"/>
        <item h="1" x="9831"/>
        <item h="1" x="9832"/>
        <item h="1" x="9833"/>
        <item h="1" x="9834"/>
        <item h="1" x="9835"/>
        <item h="1" x="9836"/>
        <item h="1" x="9837"/>
        <item h="1" x="9838"/>
        <item h="1" x="9839"/>
        <item h="1" x="9840"/>
        <item h="1" x="9841"/>
        <item h="1" x="9842"/>
        <item h="1" x="9843"/>
        <item h="1" x="9844"/>
        <item h="1" x="9845"/>
        <item h="1" x="9846"/>
        <item h="1" x="9847"/>
        <item h="1" x="9848"/>
        <item h="1" x="9849"/>
        <item h="1" x="9850"/>
        <item h="1" x="9851"/>
        <item h="1" x="9852"/>
        <item h="1" x="9853"/>
        <item h="1" x="9854"/>
        <item h="1" x="9855"/>
        <item h="1" x="9856"/>
        <item h="1" x="9857"/>
        <item h="1" x="9858"/>
        <item h="1" x="9859"/>
        <item h="1" x="9860"/>
        <item h="1" x="9861"/>
        <item h="1" x="9862"/>
        <item h="1" x="9863"/>
        <item h="1" x="9864"/>
        <item h="1" x="9865"/>
        <item h="1" x="9866"/>
        <item h="1" x="9867"/>
        <item h="1" x="9868"/>
        <item h="1" x="9869"/>
        <item h="1" x="9870"/>
        <item h="1" x="9871"/>
        <item h="1" x="9872"/>
        <item h="1" x="9873"/>
        <item h="1" x="9874"/>
        <item h="1" x="9875"/>
        <item h="1" x="9876"/>
        <item h="1" x="9877"/>
        <item h="1" x="9878"/>
        <item h="1" x="9879"/>
        <item h="1" x="9880"/>
        <item h="1" x="9881"/>
        <item h="1" x="9882"/>
        <item h="1" x="9883"/>
        <item h="1" x="9884"/>
        <item h="1" x="9885"/>
        <item h="1" x="9886"/>
        <item h="1" x="9887"/>
        <item h="1" x="9888"/>
        <item h="1" x="9889"/>
        <item h="1" x="9890"/>
        <item h="1" x="9891"/>
        <item h="1" x="9892"/>
        <item h="1" x="9893"/>
        <item h="1" x="9894"/>
        <item h="1" x="9895"/>
        <item h="1" x="9896"/>
        <item h="1" x="9897"/>
        <item h="1" x="9898"/>
        <item h="1" x="9899"/>
        <item h="1" x="9900"/>
        <item h="1" x="9901"/>
        <item h="1" x="9902"/>
        <item h="1" x="9903"/>
        <item h="1" x="9904"/>
        <item h="1" x="9905"/>
        <item h="1" x="9906"/>
        <item h="1" x="9907"/>
        <item h="1" x="9908"/>
        <item h="1" x="9909"/>
        <item h="1" x="9910"/>
        <item h="1" x="9911"/>
        <item h="1" x="9912"/>
        <item h="1" x="9913"/>
        <item h="1" x="9914"/>
        <item h="1" x="9915"/>
        <item h="1" x="9916"/>
        <item h="1" x="9917"/>
        <item h="1" x="9918"/>
        <item h="1" x="9919"/>
        <item h="1" x="9920"/>
        <item h="1" x="9921"/>
        <item h="1" x="9922"/>
        <item h="1" x="9923"/>
        <item h="1" x="9924"/>
        <item h="1" x="9925"/>
        <item h="1" x="9926"/>
        <item h="1" x="9927"/>
        <item h="1" x="9928"/>
        <item h="1" x="9929"/>
        <item h="1" x="9930"/>
        <item h="1" x="9931"/>
        <item h="1" x="9932"/>
        <item h="1" x="9933"/>
        <item h="1" x="9934"/>
        <item h="1" x="9935"/>
        <item h="1" x="9936"/>
        <item h="1" x="9937"/>
        <item h="1" x="9938"/>
        <item h="1" x="9939"/>
        <item h="1" x="9940"/>
        <item h="1" x="9941"/>
        <item h="1" x="9942"/>
        <item h="1" x="9943"/>
        <item h="1" x="9944"/>
        <item h="1" x="9945"/>
        <item h="1" x="9946"/>
        <item h="1" x="9947"/>
        <item h="1" x="9948"/>
        <item h="1" x="9949"/>
        <item h="1" x="9950"/>
        <item h="1" x="9951"/>
        <item h="1" x="9952"/>
        <item h="1" x="9953"/>
        <item h="1" x="9954"/>
        <item h="1" x="9955"/>
        <item h="1" x="9956"/>
        <item h="1" x="9957"/>
        <item h="1" x="9958"/>
        <item h="1" x="9959"/>
        <item h="1" x="9960"/>
        <item h="1" x="9961"/>
        <item h="1" x="9962"/>
        <item h="1" x="9963"/>
        <item h="1" x="9964"/>
        <item h="1" x="9965"/>
        <item h="1" x="9966"/>
        <item h="1" x="9967"/>
        <item h="1" x="9968"/>
        <item h="1" x="9969"/>
        <item h="1" x="9970"/>
        <item h="1" x="9971"/>
        <item h="1" x="9972"/>
        <item h="1" x="9973"/>
        <item h="1" x="9974"/>
        <item h="1" x="9975"/>
        <item h="1" x="9976"/>
        <item h="1" x="9977"/>
        <item h="1" x="9978"/>
        <item h="1" x="9979"/>
        <item h="1" x="9980"/>
        <item h="1" x="9981"/>
        <item h="1" x="9982"/>
        <item h="1" x="9983"/>
        <item h="1" x="9984"/>
        <item h="1" x="9985"/>
        <item h="1" x="9986"/>
        <item h="1" x="9987"/>
        <item h="1" x="9988"/>
        <item h="1" x="9989"/>
        <item h="1" x="9990"/>
        <item h="1" x="9991"/>
        <item h="1" x="9992"/>
        <item h="1" x="9993"/>
        <item h="1" x="9994"/>
        <item h="1" x="9995"/>
        <item h="1" x="9996"/>
        <item h="1" x="9997"/>
        <item h="1" x="9998"/>
        <item h="1" x="9999"/>
        <item h="1" x="10000"/>
        <item h="1" x="10001"/>
        <item h="1" x="10002"/>
        <item h="1" x="10003"/>
        <item h="1" x="10004"/>
        <item h="1" x="10005"/>
        <item h="1" x="10006"/>
        <item h="1" x="10007"/>
        <item h="1" x="10008"/>
        <item h="1" x="10009"/>
        <item h="1" x="10010"/>
        <item h="1" x="10011"/>
        <item h="1" x="10012"/>
        <item h="1" x="10013"/>
        <item h="1" x="10014"/>
        <item h="1" x="10015"/>
        <item h="1" x="10016"/>
        <item h="1" x="10017"/>
        <item h="1" x="10018"/>
        <item h="1" x="10019"/>
        <item h="1" x="10020"/>
        <item h="1" x="10021"/>
        <item h="1" x="10022"/>
        <item h="1" x="10023"/>
        <item h="1" x="10024"/>
        <item h="1" x="10025"/>
        <item h="1" x="10026"/>
        <item h="1" x="10027"/>
        <item h="1" x="10028"/>
        <item h="1" x="10029"/>
        <item h="1" x="10030"/>
        <item h="1" x="10031"/>
        <item h="1" x="10032"/>
        <item h="1" x="10033"/>
        <item h="1" x="10034"/>
        <item h="1" x="10035"/>
        <item h="1" x="10036"/>
        <item h="1" x="10037"/>
        <item h="1" x="10038"/>
        <item h="1" x="10039"/>
        <item h="1" x="10040"/>
        <item h="1" x="10041"/>
        <item h="1" x="10042"/>
        <item h="1" x="10043"/>
        <item h="1" x="10044"/>
        <item h="1" x="10045"/>
        <item h="1" x="10046"/>
        <item h="1" x="10047"/>
        <item h="1" x="10048"/>
        <item h="1" x="10049"/>
        <item h="1" x="10050"/>
        <item h="1" x="10051"/>
        <item h="1" x="10052"/>
        <item h="1" x="10053"/>
        <item h="1" x="10054"/>
        <item h="1" x="10055"/>
        <item h="1" x="10056"/>
        <item h="1" x="10057"/>
        <item h="1" x="10058"/>
        <item h="1" x="10059"/>
        <item h="1" x="10060"/>
        <item h="1" x="10061"/>
        <item h="1" x="10062"/>
        <item h="1" x="10063"/>
        <item h="1" x="10064"/>
        <item h="1" x="10065"/>
        <item h="1" x="10066"/>
        <item h="1" x="10067"/>
        <item h="1" x="10068"/>
        <item h="1" x="10069"/>
        <item h="1" x="10070"/>
        <item h="1" x="10071"/>
        <item h="1" x="10072"/>
        <item h="1" x="10073"/>
        <item h="1" x="10074"/>
        <item h="1" x="10075"/>
        <item h="1" x="10076"/>
        <item h="1" x="10077"/>
        <item h="1" x="10078"/>
        <item h="1" x="10079"/>
        <item h="1" x="10080"/>
        <item h="1" x="10081"/>
        <item h="1" x="10082"/>
        <item h="1" x="10083"/>
        <item h="1" x="10084"/>
        <item h="1" x="10085"/>
        <item h="1" x="10086"/>
        <item h="1" x="10087"/>
        <item h="1" x="10088"/>
        <item h="1" x="10089"/>
        <item h="1" x="10090"/>
        <item h="1" x="10091"/>
        <item h="1" x="10092"/>
        <item h="1" x="10093"/>
        <item h="1" x="10094"/>
        <item h="1" x="10095"/>
        <item h="1" x="10096"/>
        <item h="1" x="10097"/>
        <item h="1" x="10098"/>
        <item h="1" x="10099"/>
        <item h="1" x="10100"/>
        <item h="1" x="10101"/>
        <item h="1" x="10102"/>
        <item h="1" x="10103"/>
        <item h="1" x="10104"/>
        <item h="1" x="10105"/>
        <item h="1" x="10106"/>
        <item h="1" x="10107"/>
        <item h="1" x="10108"/>
        <item h="1" x="10109"/>
        <item h="1" x="10110"/>
        <item h="1" x="10111"/>
        <item h="1" x="10112"/>
        <item h="1" x="10113"/>
        <item h="1" x="10114"/>
        <item h="1" x="10115"/>
        <item h="1" x="10116"/>
        <item h="1" x="10117"/>
        <item h="1" x="10118"/>
        <item h="1" x="10119"/>
        <item h="1" x="10120"/>
        <item h="1" x="10121"/>
        <item h="1" x="10122"/>
        <item h="1" x="10123"/>
        <item h="1" x="10124"/>
        <item h="1" x="10125"/>
        <item h="1" x="10126"/>
        <item h="1" x="10127"/>
        <item h="1" x="10128"/>
        <item h="1" x="10129"/>
        <item h="1" x="10130"/>
        <item h="1" x="10131"/>
        <item h="1" x="10132"/>
        <item h="1" x="10133"/>
        <item h="1" x="10134"/>
        <item h="1" x="10135"/>
        <item h="1" x="10136"/>
        <item h="1" x="10137"/>
        <item h="1" x="10138"/>
        <item h="1" x="10139"/>
        <item h="1" x="10140"/>
        <item h="1" x="10141"/>
        <item h="1" x="10142"/>
        <item h="1" x="10143"/>
        <item h="1" x="10144"/>
        <item h="1" x="10145"/>
        <item h="1" x="10146"/>
        <item h="1" x="10147"/>
        <item h="1" x="10148"/>
        <item h="1" x="10149"/>
        <item h="1" x="10150"/>
        <item h="1" x="10151"/>
        <item h="1" x="10152"/>
        <item h="1" x="10153"/>
        <item h="1" x="10154"/>
        <item h="1" x="10155"/>
        <item h="1" x="10156"/>
        <item h="1" x="10157"/>
        <item h="1" x="10158"/>
        <item h="1" x="10159"/>
        <item h="1" x="10160"/>
        <item h="1" x="10161"/>
        <item h="1" x="10162"/>
        <item h="1" x="10163"/>
        <item h="1" x="10164"/>
        <item h="1" x="10165"/>
        <item h="1" x="10166"/>
        <item h="1" x="10167"/>
        <item h="1" x="10168"/>
        <item h="1" x="10169"/>
        <item h="1" x="10170"/>
        <item h="1" x="10171"/>
        <item h="1" x="10172"/>
        <item h="1" x="10173"/>
        <item h="1" x="10174"/>
        <item h="1" x="10175"/>
        <item h="1" x="10176"/>
        <item h="1" x="10177"/>
        <item h="1" x="10178"/>
        <item h="1" x="10179"/>
        <item h="1" x="10180"/>
        <item h="1" x="10181"/>
        <item h="1" x="10182"/>
        <item h="1" x="10183"/>
        <item h="1" x="10184"/>
        <item h="1" x="10185"/>
        <item h="1" x="10186"/>
        <item h="1" x="10187"/>
        <item h="1" x="10188"/>
        <item h="1" x="10189"/>
        <item h="1" x="10190"/>
        <item h="1" x="10191"/>
        <item h="1" x="10192"/>
        <item h="1" x="10193"/>
        <item h="1" x="10194"/>
        <item h="1" x="10195"/>
        <item h="1" x="10196"/>
        <item h="1" x="10197"/>
        <item h="1" x="10198"/>
        <item h="1" x="10199"/>
        <item h="1" x="10200"/>
        <item h="1" x="10201"/>
        <item h="1" x="10202"/>
        <item h="1" x="10203"/>
        <item h="1" x="10204"/>
        <item h="1" x="10205"/>
        <item h="1" x="10206"/>
        <item h="1" x="10207"/>
        <item h="1" x="10208"/>
        <item h="1" x="10209"/>
        <item h="1" x="10210"/>
        <item h="1" x="10211"/>
        <item h="1" x="10212"/>
        <item h="1" x="10213"/>
        <item h="1" x="10214"/>
        <item h="1" x="10215"/>
        <item h="1" x="10216"/>
        <item h="1" x="10217"/>
        <item h="1" x="10218"/>
        <item h="1" x="10219"/>
        <item h="1" x="10220"/>
        <item h="1" x="10221"/>
        <item h="1" x="10222"/>
        <item h="1" x="10223"/>
        <item h="1" x="10224"/>
        <item h="1" x="10225"/>
        <item h="1" x="10226"/>
        <item h="1" x="10227"/>
        <item h="1" x="10228"/>
        <item h="1" x="10229"/>
        <item h="1" x="10230"/>
        <item h="1" x="10231"/>
        <item h="1" x="10232"/>
        <item h="1" x="10233"/>
        <item h="1" x="10234"/>
        <item h="1" x="10235"/>
        <item h="1" x="10236"/>
        <item h="1" x="10237"/>
        <item h="1" x="10238"/>
        <item h="1" x="10239"/>
        <item h="1" x="10240"/>
        <item h="1" x="10241"/>
        <item h="1" x="10242"/>
        <item h="1" x="10243"/>
        <item h="1" x="10244"/>
        <item h="1" x="10245"/>
        <item h="1" x="10246"/>
        <item h="1" x="10247"/>
        <item h="1" x="10248"/>
        <item h="1" x="10249"/>
        <item h="1" x="10250"/>
        <item h="1" x="10251"/>
        <item h="1" x="10252"/>
        <item h="1" x="10253"/>
        <item h="1" x="10254"/>
        <item h="1" x="10255"/>
        <item h="1" x="10256"/>
        <item h="1" x="10257"/>
        <item h="1" x="10258"/>
        <item h="1" x="10259"/>
        <item h="1" x="10260"/>
        <item h="1" x="10261"/>
        <item h="1" x="10262"/>
        <item h="1" x="10263"/>
        <item h="1" x="10264"/>
        <item h="1" x="10265"/>
        <item h="1" x="10266"/>
        <item h="1" x="10267"/>
        <item h="1" x="10268"/>
        <item h="1" x="10269"/>
        <item h="1" x="10270"/>
        <item h="1" x="10271"/>
        <item h="1" x="10272"/>
        <item h="1" x="10273"/>
        <item h="1" x="10274"/>
        <item h="1" x="10275"/>
        <item h="1" x="10276"/>
        <item h="1" x="10277"/>
        <item h="1" x="10278"/>
        <item h="1" x="10279"/>
        <item h="1" x="10280"/>
        <item h="1" x="10281"/>
        <item h="1" x="10282"/>
        <item h="1" x="10283"/>
        <item h="1" x="10284"/>
        <item h="1" x="10285"/>
        <item h="1" x="10286"/>
        <item h="1" x="10287"/>
        <item h="1" x="10288"/>
        <item h="1" x="10289"/>
        <item h="1" x="10290"/>
        <item h="1" x="10291"/>
        <item h="1" x="10292"/>
        <item h="1" x="10293"/>
        <item h="1" x="10294"/>
        <item h="1" x="10295"/>
        <item h="1" x="10296"/>
        <item h="1" x="10297"/>
        <item h="1" x="10298"/>
        <item h="1" x="10299"/>
        <item h="1" x="10300"/>
        <item h="1" x="10301"/>
        <item h="1" x="10302"/>
        <item h="1" x="10303"/>
        <item h="1" x="10304"/>
        <item h="1" x="10305"/>
        <item h="1" x="10306"/>
        <item h="1" x="10307"/>
        <item h="1" x="10308"/>
        <item h="1" x="10309"/>
        <item h="1" x="10310"/>
        <item h="1" x="10311"/>
        <item h="1" x="10312"/>
        <item h="1" x="10313"/>
        <item h="1" x="10314"/>
        <item h="1" x="10315"/>
        <item h="1" x="10316"/>
        <item h="1" x="10317"/>
        <item h="1" x="10318"/>
        <item h="1" x="10319"/>
        <item h="1" x="10320"/>
        <item h="1" x="10321"/>
        <item h="1" x="10322"/>
        <item h="1" x="10323"/>
        <item h="1" x="10324"/>
        <item h="1" x="10325"/>
        <item h="1" x="10326"/>
        <item h="1" x="10327"/>
        <item h="1" x="10328"/>
        <item h="1" x="10329"/>
        <item h="1" x="10330"/>
        <item h="1" x="10331"/>
        <item h="1" x="10332"/>
        <item h="1" x="10333"/>
        <item h="1" x="10334"/>
        <item h="1" x="10335"/>
        <item h="1" x="10336"/>
        <item h="1" x="10337"/>
        <item h="1" x="10338"/>
        <item h="1" x="10339"/>
        <item h="1" x="10340"/>
        <item h="1" x="10341"/>
        <item h="1" x="10342"/>
        <item h="1" x="10343"/>
        <item h="1" x="10344"/>
        <item h="1" x="10345"/>
        <item h="1" x="10346"/>
        <item h="1" x="10347"/>
        <item h="1" x="10348"/>
        <item h="1" x="10349"/>
        <item h="1" x="10350"/>
        <item h="1" x="10351"/>
        <item h="1" x="10352"/>
        <item h="1" x="10353"/>
        <item h="1" x="10354"/>
        <item h="1" x="10355"/>
        <item h="1" x="10356"/>
        <item h="1" x="10357"/>
        <item h="1" x="10358"/>
        <item h="1" x="10359"/>
        <item h="1" x="10360"/>
        <item h="1" x="10361"/>
        <item h="1" x="10362"/>
        <item h="1" x="10363"/>
        <item h="1" x="10364"/>
        <item h="1" x="10365"/>
        <item h="1" x="10366"/>
        <item h="1" x="10367"/>
        <item h="1" x="10368"/>
        <item h="1" x="10369"/>
        <item h="1" x="10370"/>
        <item h="1" x="10371"/>
        <item h="1" x="10372"/>
        <item h="1" x="10373"/>
        <item h="1" x="10374"/>
        <item h="1" x="10375"/>
        <item h="1" x="10376"/>
        <item h="1" x="10377"/>
        <item h="1" x="10378"/>
        <item h="1" x="10379"/>
        <item h="1" x="10380"/>
        <item h="1" x="10381"/>
        <item h="1" x="10382"/>
        <item h="1" x="10383"/>
        <item h="1" x="10384"/>
        <item h="1" x="10385"/>
        <item h="1" x="10386"/>
        <item h="1" x="10387"/>
        <item h="1" x="10388"/>
        <item h="1" x="10389"/>
        <item h="1" x="10390"/>
        <item h="1" x="10391"/>
        <item h="1" x="10392"/>
        <item h="1" x="10393"/>
        <item h="1" x="10394"/>
        <item h="1" x="10395"/>
        <item h="1" x="10396"/>
        <item h="1" x="10397"/>
        <item h="1" x="10398"/>
        <item h="1" x="10399"/>
        <item h="1" x="10400"/>
        <item h="1" x="10401"/>
        <item h="1" x="10402"/>
        <item h="1" x="10403"/>
        <item h="1" x="10404"/>
        <item h="1" x="10405"/>
        <item h="1" x="10406"/>
        <item h="1" x="10407"/>
        <item h="1" x="10408"/>
        <item h="1" x="10409"/>
        <item h="1" x="10410"/>
        <item h="1" x="10411"/>
        <item h="1" x="10412"/>
        <item h="1" x="10413"/>
        <item h="1" x="10414"/>
        <item h="1" x="10415"/>
        <item h="1" x="10416"/>
        <item h="1" x="10417"/>
        <item h="1" x="10418"/>
        <item h="1" x="10419"/>
        <item h="1" x="10420"/>
        <item h="1" x="10421"/>
        <item h="1" x="10422"/>
        <item h="1" x="10423"/>
        <item h="1" x="10424"/>
        <item h="1" x="10425"/>
        <item h="1" x="10426"/>
        <item h="1" x="10427"/>
        <item h="1" x="10428"/>
        <item h="1" x="10429"/>
        <item h="1" x="10430"/>
        <item h="1" x="10431"/>
        <item h="1" x="10432"/>
        <item h="1" x="10433"/>
        <item h="1" x="10434"/>
        <item h="1" x="10435"/>
        <item h="1" x="10436"/>
        <item h="1" x="10437"/>
        <item h="1" x="10438"/>
        <item h="1" x="10439"/>
        <item h="1" x="10440"/>
        <item h="1" x="10441"/>
        <item h="1" x="10442"/>
        <item h="1" x="10443"/>
        <item h="1" x="10444"/>
        <item h="1" x="10445"/>
        <item h="1" x="10446"/>
        <item h="1" x="10447"/>
        <item h="1" x="10448"/>
        <item h="1" x="10449"/>
        <item h="1" x="10450"/>
        <item h="1" x="10451"/>
        <item h="1" x="10452"/>
        <item h="1" x="10453"/>
        <item h="1" x="10454"/>
        <item h="1" x="10455"/>
        <item h="1" x="10456"/>
        <item h="1" x="10457"/>
        <item h="1" x="10458"/>
        <item h="1" x="10459"/>
        <item h="1" x="10460"/>
        <item h="1" x="10461"/>
        <item h="1" x="10462"/>
        <item h="1" x="10463"/>
        <item h="1" x="10464"/>
        <item h="1" x="10465"/>
        <item h="1" x="10466"/>
        <item h="1" x="10467"/>
        <item h="1" x="10468"/>
        <item h="1" x="10469"/>
        <item h="1" x="10470"/>
        <item h="1" x="10471"/>
        <item h="1" x="10472"/>
        <item h="1" x="10473"/>
        <item h="1" x="10474"/>
        <item h="1" x="10475"/>
        <item h="1" x="10476"/>
        <item h="1" x="10477"/>
        <item h="1" x="10478"/>
        <item h="1" x="10479"/>
        <item h="1" x="10480"/>
        <item h="1" x="10481"/>
        <item h="1" x="10482"/>
        <item h="1" x="10483"/>
        <item h="1" x="10484"/>
        <item h="1" x="10485"/>
        <item h="1" x="10486"/>
        <item h="1" x="10487"/>
        <item h="1" x="10488"/>
        <item h="1" x="10489"/>
        <item h="1" x="10490"/>
        <item h="1" x="10491"/>
        <item h="1" x="10492"/>
        <item h="1" x="10493"/>
        <item h="1" x="10494"/>
        <item h="1" x="10495"/>
        <item h="1" x="10496"/>
        <item h="1" x="10497"/>
        <item h="1" x="10498"/>
        <item h="1" x="10499"/>
        <item h="1" x="10500"/>
        <item h="1" x="10501"/>
        <item h="1" x="10502"/>
        <item h="1" x="10503"/>
        <item h="1" x="10504"/>
        <item h="1" x="10505"/>
        <item h="1" x="10506"/>
        <item h="1" x="10507"/>
        <item h="1" x="10508"/>
        <item h="1" x="10509"/>
        <item h="1" x="10510"/>
        <item h="1" x="10511"/>
        <item h="1" x="10512"/>
        <item h="1" x="10513"/>
        <item h="1" x="10514"/>
        <item h="1" x="10515"/>
        <item h="1" x="10516"/>
        <item h="1" x="10517"/>
        <item h="1" x="10518"/>
        <item h="1" x="10519"/>
        <item h="1" x="10520"/>
        <item h="1" x="10521"/>
        <item h="1" x="10522"/>
        <item h="1" x="10523"/>
        <item h="1" x="10524"/>
        <item h="1" x="10525"/>
        <item h="1" x="10526"/>
        <item h="1" x="10527"/>
        <item h="1" x="10528"/>
        <item h="1" x="10529"/>
        <item h="1" x="10530"/>
        <item h="1" x="10531"/>
        <item h="1" x="10532"/>
        <item h="1" x="10533"/>
        <item h="1" x="10534"/>
        <item h="1" x="10535"/>
        <item h="1" x="10536"/>
        <item h="1" x="10537"/>
        <item h="1" x="10538"/>
        <item h="1" x="10539"/>
        <item h="1" x="10540"/>
        <item h="1" x="10541"/>
        <item h="1" x="10542"/>
        <item h="1" x="10543"/>
        <item h="1" x="10544"/>
        <item h="1" x="10545"/>
        <item h="1" x="10546"/>
        <item h="1" x="10547"/>
        <item h="1" x="10548"/>
        <item h="1" x="10549"/>
        <item h="1" x="10550"/>
        <item h="1" x="10551"/>
        <item h="1" x="10552"/>
        <item h="1" x="10553"/>
        <item h="1" x="10554"/>
        <item h="1" x="10555"/>
        <item h="1" x="10556"/>
        <item h="1" x="10557"/>
        <item h="1" x="10558"/>
        <item h="1" x="10559"/>
        <item h="1" x="10560"/>
        <item h="1" x="10561"/>
        <item h="1" x="10562"/>
        <item h="1" x="10563"/>
        <item h="1" x="10564"/>
        <item h="1" x="10565"/>
        <item h="1" x="10566"/>
        <item h="1" x="10567"/>
        <item h="1" x="10568"/>
        <item h="1" x="10569"/>
        <item h="1" x="10570"/>
        <item h="1" x="10571"/>
        <item h="1" x="10572"/>
        <item h="1" x="10573"/>
        <item h="1" x="10574"/>
        <item h="1" x="10575"/>
        <item h="1" x="10576"/>
        <item h="1" x="10577"/>
        <item h="1" x="10578"/>
        <item h="1" x="10579"/>
        <item h="1" x="10580"/>
        <item h="1" x="10581"/>
        <item h="1" x="10582"/>
        <item h="1" x="10583"/>
        <item h="1" x="10584"/>
        <item h="1" x="10585"/>
        <item h="1" x="10586"/>
        <item h="1" x="10587"/>
        <item h="1" x="10588"/>
        <item h="1" x="10589"/>
        <item h="1" x="10590"/>
        <item h="1" x="10591"/>
        <item h="1" x="10592"/>
        <item h="1" x="10593"/>
        <item h="1" x="10594"/>
        <item h="1" x="10595"/>
        <item h="1" x="10596"/>
        <item h="1" x="10597"/>
        <item h="1" x="10598"/>
        <item h="1" x="10599"/>
        <item h="1" x="10600"/>
        <item h="1" x="10601"/>
        <item h="1" x="10602"/>
        <item h="1" x="10603"/>
        <item h="1" x="10604"/>
        <item h="1" x="10605"/>
        <item h="1" x="10606"/>
        <item h="1" x="10607"/>
        <item h="1" x="10608"/>
        <item h="1" x="10609"/>
        <item h="1" x="10610"/>
        <item h="1" x="10611"/>
        <item h="1" x="10612"/>
        <item h="1" x="10613"/>
        <item h="1" x="10614"/>
        <item h="1" x="10615"/>
        <item h="1" x="10616"/>
        <item h="1" x="10617"/>
        <item h="1" x="10618"/>
        <item h="1" x="10619"/>
        <item h="1" x="10620"/>
        <item h="1" x="10621"/>
        <item h="1" x="10622"/>
        <item h="1" x="10623"/>
        <item h="1" x="10624"/>
        <item h="1" x="10625"/>
        <item h="1" x="10626"/>
        <item h="1" x="10627"/>
        <item h="1" x="10628"/>
        <item h="1" x="10629"/>
        <item h="1" x="10630"/>
        <item h="1" x="10631"/>
        <item h="1" x="10632"/>
        <item h="1" x="10633"/>
        <item h="1" x="10634"/>
        <item h="1" x="10635"/>
        <item h="1" x="10636"/>
        <item h="1" x="10637"/>
        <item h="1" x="10638"/>
        <item h="1" x="10639"/>
        <item h="1" x="10640"/>
        <item h="1" x="10641"/>
        <item h="1" x="10642"/>
        <item h="1" x="10643"/>
        <item h="1" x="10644"/>
        <item h="1" x="10645"/>
        <item h="1" x="10646"/>
        <item h="1" x="10647"/>
        <item h="1" x="10648"/>
        <item h="1" x="10649"/>
        <item h="1" x="10650"/>
        <item h="1" x="10651"/>
        <item h="1" x="10652"/>
        <item h="1" x="10653"/>
        <item h="1" x="10654"/>
        <item h="1" x="10655"/>
        <item h="1" x="10656"/>
        <item h="1" x="10657"/>
        <item h="1" x="10658"/>
        <item h="1" x="10659"/>
        <item h="1" x="10660"/>
        <item h="1" x="10661"/>
        <item h="1" x="10662"/>
        <item h="1" x="10663"/>
        <item h="1" x="10664"/>
        <item h="1" x="10665"/>
        <item h="1" x="10666"/>
        <item h="1" x="10667"/>
        <item h="1" x="10668"/>
        <item h="1" x="10669"/>
        <item h="1" x="10670"/>
        <item h="1" x="10671"/>
        <item h="1" x="10672"/>
        <item h="1" x="10673"/>
        <item h="1" x="10674"/>
        <item h="1" x="10675"/>
        <item h="1" x="10676"/>
        <item h="1" x="10677"/>
        <item h="1" x="10678"/>
        <item h="1" x="10679"/>
        <item h="1" x="10680"/>
        <item h="1" x="10681"/>
        <item h="1" x="10682"/>
        <item h="1" x="10683"/>
        <item h="1" x="10684"/>
        <item h="1" x="10685"/>
        <item h="1" x="10686"/>
        <item h="1" x="10687"/>
        <item h="1" x="10688"/>
        <item h="1" x="10689"/>
        <item h="1" x="10690"/>
        <item h="1" x="10691"/>
        <item h="1" x="10692"/>
        <item h="1" x="10693"/>
        <item h="1" x="10694"/>
        <item h="1" x="10695"/>
        <item h="1" x="10696"/>
        <item h="1" x="10697"/>
        <item h="1" x="10698"/>
        <item h="1" x="10699"/>
        <item h="1" x="10700"/>
        <item h="1" x="10701"/>
        <item h="1" x="10702"/>
        <item h="1" x="10703"/>
        <item h="1" x="10704"/>
        <item h="1" x="10705"/>
        <item h="1" x="10706"/>
        <item h="1" x="10707"/>
        <item h="1" x="10708"/>
        <item h="1" x="10709"/>
        <item h="1" x="10710"/>
        <item h="1" x="10711"/>
        <item h="1" x="10712"/>
        <item h="1" x="10713"/>
        <item h="1" x="10714"/>
        <item h="1" x="10715"/>
        <item h="1" x="10716"/>
        <item h="1" x="10717"/>
        <item h="1" x="10718"/>
        <item h="1" x="10719"/>
        <item h="1" x="10720"/>
        <item h="1" x="10721"/>
        <item h="1" x="10722"/>
        <item h="1" x="10723"/>
        <item h="1" x="10724"/>
        <item h="1" x="10725"/>
        <item h="1" x="10726"/>
        <item h="1" x="10727"/>
        <item h="1" x="10728"/>
        <item h="1" x="10729"/>
        <item h="1" x="10730"/>
        <item h="1" x="10731"/>
        <item h="1" x="10732"/>
        <item h="1" x="10733"/>
        <item h="1" x="10734"/>
        <item h="1" x="10735"/>
        <item h="1" x="10736"/>
        <item h="1" x="10737"/>
        <item h="1" x="10738"/>
        <item h="1" x="10739"/>
        <item h="1" x="10740"/>
        <item h="1" x="10741"/>
        <item h="1" x="10742"/>
        <item h="1" x="10743"/>
        <item h="1" x="10744"/>
        <item h="1" x="10745"/>
        <item h="1" x="10746"/>
        <item h="1" x="10747"/>
        <item h="1" x="10748"/>
        <item h="1" x="10749"/>
        <item h="1" x="10750"/>
        <item h="1" x="10751"/>
        <item h="1" x="10752"/>
        <item h="1" x="10753"/>
        <item h="1" x="10754"/>
        <item h="1" x="10755"/>
        <item h="1" x="10756"/>
        <item h="1" x="10757"/>
        <item h="1" x="10758"/>
        <item h="1" x="10759"/>
        <item h="1" x="10760"/>
        <item h="1" x="10761"/>
        <item h="1" x="10762"/>
        <item h="1" x="10763"/>
        <item h="1" x="10764"/>
        <item h="1" x="10765"/>
        <item h="1" x="10766"/>
        <item h="1" x="10767"/>
        <item h="1" x="10768"/>
        <item h="1" x="10769"/>
        <item h="1" x="10770"/>
        <item h="1" x="10771"/>
        <item h="1" x="10772"/>
        <item h="1" x="10773"/>
        <item h="1" x="10774"/>
        <item h="1" x="10775"/>
        <item h="1" x="10776"/>
        <item h="1" x="10777"/>
        <item h="1" x="10778"/>
        <item h="1" x="10779"/>
        <item h="1" x="10780"/>
        <item h="1" x="10781"/>
        <item h="1" x="10782"/>
        <item h="1" x="10783"/>
        <item h="1" x="10784"/>
        <item h="1" x="10785"/>
        <item h="1" x="10786"/>
        <item h="1" x="10787"/>
        <item h="1" x="10788"/>
        <item h="1" x="10789"/>
        <item h="1" x="10790"/>
        <item h="1" x="10791"/>
        <item h="1" x="10792"/>
        <item h="1" x="10793"/>
        <item h="1" x="10794"/>
        <item h="1" x="10795"/>
        <item h="1" x="10796"/>
        <item h="1" x="10797"/>
        <item h="1" x="10798"/>
        <item h="1" x="10799"/>
        <item h="1" x="10800"/>
        <item h="1" x="10801"/>
        <item h="1" x="10802"/>
        <item h="1" x="10803"/>
        <item h="1" x="10804"/>
        <item h="1" x="10805"/>
        <item h="1" x="10806"/>
        <item h="1" x="10807"/>
        <item h="1" x="10808"/>
        <item h="1" x="10809"/>
        <item h="1" x="10810"/>
        <item h="1" x="10811"/>
        <item h="1" x="10812"/>
        <item h="1" x="10813"/>
        <item h="1" x="10814"/>
        <item h="1" x="10815"/>
        <item h="1" x="10816"/>
        <item h="1" x="10817"/>
        <item h="1" x="10818"/>
        <item h="1" x="10819"/>
        <item h="1" x="10820"/>
        <item h="1" x="10821"/>
        <item h="1" x="10822"/>
        <item h="1" x="10823"/>
        <item h="1" x="10824"/>
        <item h="1" x="10825"/>
        <item h="1" x="10826"/>
        <item h="1" x="10827"/>
        <item h="1" x="10828"/>
        <item h="1" x="10829"/>
        <item h="1" x="10830"/>
        <item h="1" x="10831"/>
        <item h="1" x="10832"/>
        <item h="1" x="10833"/>
        <item h="1" x="10834"/>
        <item h="1" x="10835"/>
        <item h="1" x="10836"/>
        <item h="1" x="10837"/>
        <item h="1" x="10838"/>
        <item h="1" x="10839"/>
        <item h="1" x="10840"/>
        <item h="1" x="10841"/>
        <item h="1" x="10842"/>
        <item h="1" x="10843"/>
        <item h="1" x="10844"/>
        <item h="1" x="10845"/>
        <item h="1" x="10846"/>
        <item h="1" x="10847"/>
        <item h="1" x="10848"/>
        <item h="1" x="10849"/>
        <item h="1" x="10850"/>
        <item h="1" x="10851"/>
        <item h="1" x="10852"/>
        <item h="1" x="10853"/>
        <item h="1" x="10854"/>
        <item h="1" x="10855"/>
        <item h="1" x="10856"/>
        <item h="1" x="10857"/>
        <item h="1" x="10858"/>
        <item h="1" x="10859"/>
        <item h="1" x="10860"/>
        <item h="1" x="10861"/>
        <item h="1" x="10862"/>
        <item h="1" x="10863"/>
        <item h="1" x="10864"/>
        <item h="1" x="10865"/>
        <item h="1" x="10866"/>
        <item h="1" x="10867"/>
        <item h="1" x="10868"/>
        <item h="1" x="10869"/>
        <item h="1" x="10870"/>
        <item h="1" x="10871"/>
        <item h="1" x="10872"/>
        <item h="1" x="10873"/>
        <item h="1" x="10874"/>
        <item h="1" x="10875"/>
        <item h="1" x="10876"/>
        <item h="1" x="10877"/>
        <item h="1" x="10878"/>
        <item h="1" x="10879"/>
        <item h="1" x="10880"/>
        <item h="1" x="10881"/>
        <item h="1" x="10882"/>
        <item h="1" x="10883"/>
        <item h="1" x="10884"/>
        <item h="1" x="10885"/>
        <item h="1" x="10886"/>
        <item h="1" x="10887"/>
        <item h="1" x="10888"/>
        <item h="1" x="10889"/>
        <item h="1" x="10890"/>
        <item h="1" x="10891"/>
        <item h="1" x="10892"/>
        <item h="1" x="10893"/>
        <item h="1" x="10894"/>
        <item h="1" x="10895"/>
        <item h="1" x="10896"/>
        <item h="1" x="10897"/>
        <item h="1" x="10898"/>
        <item h="1" x="10899"/>
        <item h="1" x="10900"/>
        <item h="1" x="10901"/>
        <item h="1" x="10902"/>
        <item h="1" x="10903"/>
        <item h="1" x="10904"/>
        <item h="1" x="10905"/>
        <item h="1" x="10906"/>
        <item h="1" x="10907"/>
        <item h="1" x="10908"/>
        <item h="1" x="10909"/>
        <item h="1" x="10910"/>
        <item h="1" x="10911"/>
        <item h="1" x="10912"/>
        <item h="1" x="10913"/>
        <item h="1" x="10914"/>
        <item h="1" x="10915"/>
        <item h="1" x="10916"/>
        <item h="1" x="10917"/>
        <item h="1" x="10918"/>
        <item h="1" x="10919"/>
        <item h="1" x="10920"/>
        <item h="1" x="10921"/>
        <item h="1" x="10922"/>
        <item h="1" x="10923"/>
        <item h="1" x="10924"/>
        <item h="1" x="10925"/>
        <item h="1" x="10926"/>
        <item h="1" x="10927"/>
        <item h="1" x="10928"/>
        <item h="1" x="10929"/>
        <item h="1" x="10930"/>
        <item h="1" x="10931"/>
        <item h="1" x="10932"/>
        <item h="1" x="10933"/>
        <item h="1" x="10934"/>
        <item h="1" x="10935"/>
        <item h="1" x="10936"/>
        <item h="1" x="10937"/>
        <item h="1" x="10938"/>
        <item h="1" x="10939"/>
        <item h="1" x="10940"/>
        <item h="1" x="10941"/>
        <item h="1" x="10942"/>
        <item h="1" x="10943"/>
        <item h="1" x="10944"/>
        <item h="1" x="10945"/>
        <item h="1" x="10946"/>
        <item h="1" x="10947"/>
        <item h="1" x="10948"/>
        <item h="1" x="10949"/>
        <item h="1" x="10950"/>
        <item h="1" x="10951"/>
        <item h="1" x="10952"/>
        <item h="1" x="10953"/>
        <item h="1" x="10954"/>
        <item h="1" x="10955"/>
        <item h="1" x="10956"/>
        <item h="1" x="10957"/>
        <item h="1" x="10958"/>
        <item h="1" x="10959"/>
        <item h="1" x="10960"/>
        <item h="1" x="10961"/>
        <item h="1" x="10962"/>
        <item h="1" x="10963"/>
        <item h="1" x="10964"/>
        <item h="1" x="10965"/>
        <item h="1" x="10966"/>
        <item h="1" x="10967"/>
        <item h="1" x="10968"/>
        <item h="1" x="10969"/>
        <item h="1" x="10970"/>
        <item h="1" x="10971"/>
        <item h="1" x="10972"/>
        <item h="1" x="10973"/>
        <item h="1" x="10974"/>
        <item h="1" x="10975"/>
        <item h="1" x="10976"/>
        <item h="1" x="10977"/>
        <item h="1" x="10978"/>
        <item h="1" x="10979"/>
        <item h="1" x="10980"/>
        <item h="1" x="10981"/>
        <item h="1" x="10982"/>
        <item h="1" x="10983"/>
        <item h="1" x="10984"/>
        <item h="1" x="10985"/>
        <item h="1" x="10986"/>
        <item h="1" x="10987"/>
        <item h="1" x="10988"/>
        <item h="1" x="10989"/>
        <item h="1" x="10990"/>
        <item h="1" x="10991"/>
        <item h="1" x="10992"/>
        <item h="1" x="10993"/>
        <item h="1" x="10994"/>
        <item h="1" x="10995"/>
        <item h="1" x="10996"/>
        <item h="1" x="10997"/>
        <item h="1" x="10998"/>
        <item h="1" x="10999"/>
        <item h="1" x="11000"/>
        <item h="1" x="11001"/>
        <item h="1" x="11002"/>
        <item h="1" x="11003"/>
        <item h="1" x="11004"/>
        <item h="1" x="11005"/>
        <item h="1" x="11006"/>
        <item h="1" x="11007"/>
        <item h="1" x="11008"/>
        <item h="1" x="11009"/>
        <item h="1" x="11010"/>
        <item h="1" x="11011"/>
        <item h="1" x="11012"/>
        <item h="1" x="11013"/>
        <item h="1" x="11014"/>
        <item h="1" x="11015"/>
        <item h="1" x="11016"/>
        <item h="1" x="11017"/>
        <item h="1" x="11018"/>
        <item h="1" x="11019"/>
        <item h="1" x="11020"/>
        <item h="1" x="11021"/>
        <item h="1" x="11022"/>
        <item h="1" x="11023"/>
        <item h="1" x="11024"/>
        <item h="1" x="11025"/>
        <item h="1" x="11026"/>
        <item h="1" x="11027"/>
        <item h="1" x="11028"/>
        <item h="1" x="11029"/>
        <item h="1" x="11030"/>
        <item h="1" x="11031"/>
        <item h="1" x="11032"/>
        <item h="1" x="11033"/>
        <item h="1" x="11034"/>
        <item h="1" x="11035"/>
        <item h="1" x="11036"/>
        <item h="1" x="11037"/>
        <item h="1" x="11038"/>
        <item h="1" x="11039"/>
        <item h="1" x="11040"/>
        <item h="1" x="11041"/>
        <item h="1" x="11042"/>
        <item h="1" x="11043"/>
        <item h="1" x="11044"/>
        <item h="1" x="11045"/>
        <item h="1" x="11046"/>
        <item h="1" x="11047"/>
        <item h="1" x="11048"/>
        <item h="1" x="11049"/>
        <item h="1" x="11050"/>
        <item h="1" x="11051"/>
        <item h="1" x="11052"/>
        <item h="1" x="11053"/>
        <item h="1" x="11054"/>
        <item h="1" x="11055"/>
        <item h="1" x="11056"/>
        <item h="1" x="11057"/>
        <item h="1" x="11058"/>
        <item h="1" x="11059"/>
        <item h="1" x="11060"/>
        <item h="1" x="11061"/>
        <item h="1" x="11062"/>
        <item h="1" x="11063"/>
        <item h="1" x="11064"/>
        <item h="1" x="11065"/>
        <item h="1" x="11066"/>
        <item h="1" x="11067"/>
        <item h="1" x="11068"/>
        <item h="1" x="11069"/>
        <item h="1" x="11070"/>
        <item h="1" x="11071"/>
        <item h="1" x="11072"/>
        <item h="1" x="11073"/>
        <item h="1" x="11074"/>
        <item h="1" x="11075"/>
        <item h="1" x="11076"/>
        <item h="1" x="11077"/>
        <item h="1" x="11078"/>
        <item h="1" x="11079"/>
        <item h="1" x="11080"/>
        <item h="1" x="11081"/>
        <item h="1" x="11082"/>
        <item h="1" x="11083"/>
        <item h="1" x="11084"/>
        <item h="1" x="11085"/>
        <item h="1" x="11086"/>
        <item h="1" x="11087"/>
        <item h="1" x="11088"/>
        <item h="1" x="11089"/>
        <item h="1" x="11090"/>
        <item h="1" x="11091"/>
        <item h="1" x="11092"/>
        <item h="1" x="11093"/>
        <item h="1" x="11094"/>
        <item h="1" x="11095"/>
        <item h="1" x="11096"/>
        <item h="1" x="11097"/>
        <item h="1" x="11098"/>
        <item h="1" x="11099"/>
        <item h="1" x="11100"/>
        <item h="1" x="11101"/>
        <item h="1" x="11102"/>
        <item h="1" x="11103"/>
        <item h="1" x="11104"/>
        <item h="1" x="11105"/>
        <item h="1" x="11106"/>
        <item h="1" x="11107"/>
        <item h="1" x="11108"/>
        <item h="1" x="11109"/>
        <item h="1" x="11110"/>
        <item h="1" x="11111"/>
        <item h="1" x="11112"/>
        <item h="1" x="11113"/>
        <item h="1" x="11114"/>
        <item h="1" x="11115"/>
        <item h="1" x="11116"/>
        <item h="1" x="11117"/>
        <item h="1" x="11118"/>
        <item h="1" x="11119"/>
        <item h="1" x="11120"/>
        <item h="1" x="11121"/>
        <item h="1" x="11122"/>
        <item h="1" x="11123"/>
        <item h="1" x="11124"/>
        <item h="1" x="11125"/>
        <item h="1" x="11126"/>
        <item h="1" x="11127"/>
        <item h="1" x="11128"/>
        <item h="1" x="11129"/>
        <item h="1" x="11130"/>
        <item h="1" x="11131"/>
        <item h="1" x="11132"/>
        <item h="1" x="11133"/>
        <item h="1" x="11134"/>
        <item h="1" x="11135"/>
        <item h="1" x="11136"/>
        <item h="1" x="11137"/>
        <item h="1" x="11138"/>
        <item h="1" x="11139"/>
        <item h="1" x="11140"/>
        <item h="1" x="11141"/>
        <item h="1" x="11142"/>
        <item h="1" x="11143"/>
        <item h="1" x="11144"/>
        <item h="1" x="11145"/>
        <item h="1" x="11146"/>
        <item h="1" x="11147"/>
        <item h="1" x="11148"/>
        <item h="1" x="11149"/>
        <item h="1" x="11150"/>
        <item h="1" x="11151"/>
        <item h="1" x="11152"/>
        <item h="1" x="11153"/>
        <item h="1" x="11154"/>
        <item h="1" x="11155"/>
        <item h="1" x="11156"/>
        <item h="1" x="11157"/>
        <item h="1" x="11158"/>
        <item h="1" x="11159"/>
        <item h="1" x="11160"/>
        <item h="1" x="11161"/>
        <item h="1" x="11162"/>
        <item h="1" x="11163"/>
        <item h="1" x="11164"/>
        <item h="1" x="11165"/>
        <item h="1" x="11166"/>
        <item h="1" x="11167"/>
        <item h="1" x="11168"/>
        <item h="1" x="11169"/>
        <item h="1" x="11170"/>
        <item h="1" x="11171"/>
        <item h="1" x="11172"/>
        <item h="1" x="11173"/>
        <item h="1" x="11174"/>
        <item h="1" x="11175"/>
        <item h="1" x="11176"/>
        <item h="1" x="11177"/>
        <item h="1" x="11178"/>
        <item h="1" x="11179"/>
        <item h="1" x="11180"/>
        <item h="1" x="11181"/>
        <item h="1" x="11182"/>
        <item h="1" x="11183"/>
        <item h="1" x="11184"/>
        <item h="1" x="11185"/>
        <item h="1" x="11186"/>
        <item h="1" x="11187"/>
        <item h="1" x="11188"/>
        <item h="1" x="11189"/>
        <item h="1" x="11190"/>
        <item h="1" x="11191"/>
        <item h="1" x="11192"/>
        <item h="1" x="11193"/>
        <item h="1" x="11194"/>
        <item h="1" x="11195"/>
        <item h="1" x="11196"/>
        <item h="1" x="11197"/>
        <item h="1" x="11198"/>
        <item h="1" x="11199"/>
        <item h="1" x="11200"/>
        <item h="1" x="11201"/>
        <item h="1" x="11202"/>
        <item h="1" x="11203"/>
        <item h="1" x="11204"/>
        <item h="1" x="11205"/>
        <item h="1" x="11206"/>
        <item h="1" x="11207"/>
        <item h="1" x="11208"/>
        <item h="1" x="11209"/>
        <item h="1" x="11210"/>
        <item h="1" x="11211"/>
        <item h="1" x="11212"/>
        <item h="1" x="11213"/>
        <item h="1" x="11214"/>
        <item h="1" x="11215"/>
        <item h="1" x="11216"/>
        <item h="1" x="11217"/>
        <item h="1" x="11218"/>
        <item h="1" x="11219"/>
        <item h="1" x="11220"/>
        <item h="1" x="11221"/>
        <item h="1" x="11222"/>
        <item h="1" x="11223"/>
        <item h="1" x="11224"/>
        <item h="1" x="11225"/>
        <item h="1" x="11226"/>
        <item h="1" x="11227"/>
        <item h="1" x="11228"/>
        <item h="1" x="11229"/>
        <item h="1" x="11230"/>
        <item h="1" x="11231"/>
        <item h="1" x="11232"/>
        <item h="1" x="11233"/>
        <item h="1" x="11234"/>
        <item h="1" x="11235"/>
        <item h="1" x="11236"/>
        <item h="1" x="11237"/>
        <item h="1" x="11238"/>
        <item h="1" x="11239"/>
        <item h="1" x="11240"/>
        <item h="1" x="11241"/>
        <item h="1" x="11242"/>
        <item h="1" x="11243"/>
        <item h="1" x="11244"/>
        <item h="1" x="11245"/>
        <item h="1" x="11246"/>
        <item h="1" x="11247"/>
        <item h="1" x="11248"/>
        <item h="1" x="11249"/>
        <item h="1" x="11250"/>
        <item h="1" x="11251"/>
        <item h="1" x="11252"/>
        <item h="1" x="11253"/>
        <item h="1" x="11254"/>
        <item h="1" x="11255"/>
        <item h="1" x="11256"/>
        <item h="1" x="11257"/>
        <item h="1" x="11258"/>
        <item h="1" x="11259"/>
        <item h="1" x="11260"/>
        <item h="1" x="11261"/>
        <item h="1" x="11262"/>
        <item h="1" x="11263"/>
        <item h="1" x="11264"/>
        <item h="1" x="11265"/>
        <item h="1" x="11266"/>
        <item h="1" x="11267"/>
        <item h="1" x="11268"/>
        <item h="1" x="11269"/>
        <item h="1" x="11270"/>
        <item h="1" x="11271"/>
        <item h="1" x="11272"/>
        <item h="1" x="11273"/>
        <item h="1" x="11274"/>
        <item h="1" x="11275"/>
        <item h="1" x="11276"/>
        <item h="1" x="11277"/>
        <item h="1" x="11278"/>
        <item h="1" x="11279"/>
        <item h="1" x="11280"/>
        <item h="1" x="11281"/>
        <item h="1" x="11282"/>
        <item h="1" x="11283"/>
        <item h="1" x="11284"/>
        <item h="1" x="11285"/>
        <item h="1" x="11286"/>
        <item h="1" x="11287"/>
        <item h="1" x="11288"/>
        <item h="1" x="11289"/>
        <item h="1" x="11290"/>
        <item h="1" x="11291"/>
        <item h="1" x="11292"/>
        <item h="1" x="11293"/>
        <item h="1" x="11294"/>
        <item h="1" x="11295"/>
        <item h="1" x="11296"/>
        <item h="1" x="11297"/>
        <item h="1" x="11298"/>
        <item h="1" x="11299"/>
        <item h="1" x="11300"/>
        <item h="1" x="11301"/>
        <item h="1" x="11302"/>
        <item h="1" x="11303"/>
        <item h="1" x="11304"/>
        <item h="1" x="11305"/>
        <item h="1" x="11306"/>
        <item h="1" x="11307"/>
        <item h="1" x="11308"/>
        <item h="1" x="11309"/>
        <item h="1" x="11310"/>
        <item h="1" x="11311"/>
        <item h="1" x="11312"/>
        <item h="1" x="11313"/>
        <item h="1" x="11314"/>
        <item h="1" x="11315"/>
        <item h="1" x="11316"/>
        <item h="1" x="11317"/>
        <item h="1" x="11318"/>
        <item h="1" x="11319"/>
        <item h="1" x="11320"/>
        <item h="1" x="11321"/>
        <item h="1" x="11322"/>
        <item h="1" x="11323"/>
        <item h="1" x="11324"/>
        <item h="1" x="11325"/>
        <item h="1" x="11326"/>
        <item h="1" x="11327"/>
        <item h="1" x="11328"/>
        <item h="1" x="11329"/>
        <item h="1" x="11330"/>
        <item h="1" x="11331"/>
        <item h="1" x="11332"/>
        <item h="1" x="11333"/>
        <item h="1" x="11334"/>
        <item h="1" x="11335"/>
        <item h="1" x="11336"/>
        <item h="1" x="11337"/>
        <item h="1" x="11338"/>
        <item h="1" x="11339"/>
        <item h="1" x="11340"/>
        <item h="1" x="11341"/>
        <item h="1" x="11342"/>
        <item h="1" x="11343"/>
        <item h="1" x="11344"/>
        <item h="1" x="11345"/>
        <item h="1" x="11346"/>
        <item h="1" x="11347"/>
        <item h="1" x="11348"/>
        <item h="1" x="11349"/>
        <item h="1" x="11350"/>
        <item h="1" x="11351"/>
        <item h="1" x="11352"/>
        <item h="1" x="11353"/>
        <item h="1" x="11354"/>
        <item h="1" x="11355"/>
        <item h="1" x="11356"/>
        <item h="1" x="11357"/>
        <item h="1" x="11358"/>
        <item h="1" x="11359"/>
        <item h="1" x="11360"/>
        <item h="1" x="11361"/>
        <item h="1" x="11362"/>
        <item h="1" x="11363"/>
        <item h="1" x="11364"/>
        <item h="1" x="11365"/>
        <item h="1" x="11366"/>
        <item h="1" x="11367"/>
        <item h="1" x="11368"/>
        <item h="1" x="11369"/>
        <item h="1" x="11370"/>
        <item h="1" x="11371"/>
        <item h="1" x="11372"/>
        <item h="1" x="11373"/>
        <item h="1" x="11374"/>
        <item h="1" x="11375"/>
        <item h="1" x="11376"/>
        <item h="1" x="11377"/>
        <item h="1" x="11378"/>
        <item h="1" x="11379"/>
        <item h="1" x="11380"/>
        <item h="1" x="11381"/>
        <item h="1" x="11382"/>
        <item h="1" x="11383"/>
        <item h="1" x="11384"/>
        <item h="1" x="11385"/>
        <item h="1" x="11386"/>
        <item h="1" x="11387"/>
        <item h="1" x="11388"/>
        <item h="1" x="11389"/>
        <item h="1" x="11390"/>
        <item h="1" x="11391"/>
        <item h="1" x="11392"/>
        <item h="1" x="11393"/>
        <item h="1" x="11394"/>
        <item h="1" x="11395"/>
        <item h="1" x="11396"/>
        <item h="1" x="11397"/>
        <item h="1" x="11398"/>
        <item h="1" x="11399"/>
        <item h="1" x="11400"/>
        <item h="1" x="11401"/>
        <item h="1" x="11402"/>
        <item h="1" x="11403"/>
        <item h="1" x="11404"/>
        <item h="1" x="11405"/>
        <item h="1" x="11406"/>
        <item h="1" x="11407"/>
        <item h="1" x="11408"/>
        <item h="1" x="11409"/>
        <item h="1" x="11410"/>
        <item h="1" x="11411"/>
        <item h="1" x="11412"/>
        <item h="1" x="11413"/>
        <item h="1" x="11414"/>
        <item h="1" x="11415"/>
        <item h="1" x="11416"/>
        <item h="1" x="11417"/>
        <item h="1" x="11418"/>
        <item h="1" x="11419"/>
        <item h="1" x="11420"/>
        <item h="1" x="11421"/>
        <item h="1" x="11422"/>
        <item h="1" x="11423"/>
        <item h="1" x="11424"/>
        <item h="1" x="11425"/>
        <item h="1" x="11426"/>
        <item h="1" x="11427"/>
        <item h="1" x="11428"/>
        <item h="1" x="11429"/>
        <item h="1" x="11430"/>
        <item h="1" x="11431"/>
        <item h="1" x="11432"/>
        <item h="1" x="11433"/>
        <item h="1" x="11434"/>
        <item h="1" x="11435"/>
        <item h="1" x="11436"/>
        <item h="1" x="11437"/>
        <item h="1" x="11438"/>
        <item h="1" x="11439"/>
        <item h="1" x="11440"/>
        <item h="1" x="11441"/>
        <item h="1" x="11442"/>
        <item h="1" x="11443"/>
        <item h="1" x="11444"/>
        <item h="1" x="11445"/>
        <item h="1" x="11446"/>
        <item h="1" x="11447"/>
        <item h="1" x="11448"/>
        <item h="1" x="11449"/>
        <item h="1" x="11450"/>
        <item h="1" x="11451"/>
        <item h="1" x="11452"/>
        <item h="1" x="11453"/>
        <item h="1" x="11454"/>
        <item h="1" x="11455"/>
        <item h="1" x="11456"/>
        <item h="1" x="11457"/>
        <item h="1" x="11458"/>
        <item h="1" x="11459"/>
        <item h="1" x="11460"/>
        <item h="1" x="11461"/>
        <item h="1" x="11462"/>
        <item h="1" x="11463"/>
        <item h="1" x="11464"/>
        <item h="1" x="11465"/>
        <item h="1" x="11466"/>
        <item h="1" x="11467"/>
        <item h="1" x="11468"/>
        <item h="1" x="11469"/>
        <item h="1" x="11470"/>
        <item h="1" x="11471"/>
        <item h="1" x="11472"/>
        <item h="1" x="11473"/>
        <item h="1" x="11474"/>
        <item h="1" x="11475"/>
        <item h="1" x="11476"/>
        <item h="1" x="11477"/>
        <item h="1" x="11478"/>
        <item h="1" x="11479"/>
        <item h="1" x="11480"/>
        <item h="1" x="11481"/>
        <item h="1" x="11482"/>
        <item h="1" x="11483"/>
        <item h="1" x="11484"/>
        <item h="1" x="11485"/>
        <item h="1" x="11486"/>
        <item h="1" x="11487"/>
        <item h="1" x="11488"/>
        <item h="1" x="11489"/>
        <item h="1" x="11490"/>
        <item h="1" x="11491"/>
        <item h="1" x="11492"/>
        <item h="1" x="11493"/>
        <item h="1" x="11494"/>
        <item h="1" x="11495"/>
        <item h="1" x="11496"/>
        <item h="1" x="11497"/>
        <item h="1" x="11498"/>
        <item h="1" x="11499"/>
        <item h="1" x="11500"/>
        <item h="1" x="11501"/>
        <item h="1" x="11502"/>
        <item h="1" x="11503"/>
        <item h="1" x="11504"/>
        <item h="1" x="11505"/>
        <item h="1" x="11506"/>
        <item h="1" x="11507"/>
        <item h="1" x="11508"/>
        <item h="1" x="11509"/>
        <item h="1" x="11510"/>
        <item h="1" x="11511"/>
        <item h="1" x="11512"/>
        <item h="1" x="11513"/>
        <item h="1" x="11514"/>
        <item h="1" x="11515"/>
        <item h="1" x="11516"/>
        <item h="1" x="11517"/>
        <item h="1" x="11518"/>
        <item h="1" x="11519"/>
        <item h="1" x="11520"/>
        <item h="1" x="11521"/>
        <item h="1" x="11522"/>
        <item h="1" x="11523"/>
        <item h="1" x="11524"/>
        <item h="1" x="11525"/>
        <item h="1" x="11526"/>
        <item h="1" x="11527"/>
        <item h="1" x="11528"/>
        <item h="1" x="11529"/>
        <item h="1" x="11530"/>
        <item h="1" x="11531"/>
        <item h="1" x="11532"/>
        <item h="1" x="11533"/>
        <item h="1" x="11534"/>
        <item h="1" x="11535"/>
        <item h="1" x="11536"/>
        <item h="1" x="11537"/>
        <item h="1" x="11538"/>
        <item h="1" x="11539"/>
        <item h="1" x="11540"/>
        <item h="1" x="11541"/>
        <item h="1" x="11542"/>
        <item h="1" x="11543"/>
        <item h="1" x="11544"/>
        <item h="1" x="11545"/>
        <item h="1" x="11546"/>
        <item h="1" x="11547"/>
        <item h="1" x="11548"/>
        <item h="1" x="11549"/>
        <item h="1" x="11550"/>
        <item h="1" x="11551"/>
        <item h="1" x="11552"/>
        <item h="1" x="11553"/>
        <item h="1" x="11554"/>
        <item h="1" x="11555"/>
        <item h="1" x="11556"/>
        <item h="1" x="11557"/>
        <item h="1" x="11558"/>
        <item h="1" x="11559"/>
        <item h="1" x="11560"/>
        <item h="1" x="11561"/>
        <item h="1" x="11562"/>
        <item h="1" x="11563"/>
        <item h="1" x="11564"/>
        <item h="1" x="11565"/>
        <item h="1" x="11566"/>
        <item h="1" x="11567"/>
        <item h="1" x="11568"/>
        <item h="1" x="11569"/>
        <item h="1" x="11570"/>
        <item h="1" x="11571"/>
        <item h="1" x="11572"/>
        <item h="1" x="11573"/>
        <item h="1" x="11574"/>
        <item h="1" x="11575"/>
        <item h="1" x="11576"/>
        <item h="1" x="11577"/>
        <item h="1" x="11578"/>
        <item h="1" x="11579"/>
        <item h="1" x="11580"/>
        <item h="1" x="11581"/>
        <item h="1" x="11582"/>
        <item h="1" x="11583"/>
        <item h="1" x="11584"/>
        <item h="1" x="11585"/>
        <item h="1" x="11586"/>
        <item h="1" x="11587"/>
        <item h="1" x="11588"/>
        <item h="1" x="11589"/>
        <item h="1" x="11590"/>
        <item h="1" x="11591"/>
        <item h="1" x="11592"/>
        <item h="1" x="11593"/>
        <item h="1" x="11594"/>
        <item h="1" x="11595"/>
        <item h="1" x="11596"/>
        <item h="1" x="11597"/>
        <item h="1" x="11598"/>
        <item h="1" x="11599"/>
        <item h="1" x="11600"/>
        <item h="1" x="11601"/>
        <item h="1" x="11602"/>
        <item h="1" x="11603"/>
        <item h="1" x="11604"/>
        <item h="1" x="11605"/>
        <item h="1" x="11606"/>
        <item h="1" x="11607"/>
        <item h="1" x="11608"/>
        <item h="1" x="11609"/>
        <item h="1" x="11610"/>
        <item h="1" x="11611"/>
        <item h="1" x="11612"/>
        <item h="1" x="11613"/>
        <item h="1" x="11614"/>
        <item h="1" x="11615"/>
        <item h="1" x="11616"/>
        <item h="1" x="11617"/>
        <item h="1" x="11618"/>
        <item h="1" x="11619"/>
        <item h="1" x="11620"/>
        <item h="1" x="11621"/>
        <item h="1" x="11622"/>
        <item h="1" x="11623"/>
        <item h="1" x="11624"/>
        <item h="1" x="11625"/>
        <item h="1" x="11626"/>
        <item h="1" x="11627"/>
        <item h="1" x="11628"/>
        <item h="1" x="11629"/>
        <item h="1" x="11630"/>
        <item h="1" x="11631"/>
        <item h="1" x="11632"/>
        <item h="1" x="11633"/>
        <item h="1" x="11634"/>
        <item h="1" x="11635"/>
        <item h="1" x="11636"/>
        <item h="1" x="11637"/>
        <item h="1" x="11638"/>
        <item h="1" x="11639"/>
        <item h="1" x="11640"/>
        <item h="1" x="11641"/>
        <item h="1" x="11642"/>
        <item h="1" x="11643"/>
        <item h="1" x="11644"/>
        <item h="1" x="11645"/>
        <item h="1" x="11646"/>
        <item h="1" x="11647"/>
        <item h="1" x="11648"/>
        <item h="1" x="11649"/>
        <item h="1" x="11650"/>
        <item h="1" x="11651"/>
        <item h="1" x="11652"/>
        <item h="1" x="11653"/>
        <item h="1" x="11654"/>
        <item h="1" x="11655"/>
        <item h="1" x="11656"/>
        <item h="1" x="11657"/>
        <item h="1" x="11658"/>
        <item h="1" x="11659"/>
        <item h="1" x="11660"/>
        <item h="1" x="11661"/>
        <item h="1" x="11662"/>
        <item h="1" x="11663"/>
        <item h="1" x="11664"/>
        <item h="1" x="11665"/>
        <item h="1" x="11666"/>
        <item h="1" x="11667"/>
        <item h="1" x="11668"/>
        <item h="1" x="11669"/>
        <item h="1" x="11670"/>
        <item h="1" x="11671"/>
        <item h="1" x="11672"/>
        <item h="1" x="11673"/>
        <item h="1" x="11674"/>
        <item h="1" x="11675"/>
        <item h="1" x="11676"/>
        <item h="1" x="11677"/>
        <item h="1" x="11678"/>
        <item h="1" x="11679"/>
        <item h="1" x="11680"/>
        <item h="1" x="11681"/>
        <item h="1" x="11682"/>
        <item h="1" x="11683"/>
        <item h="1" x="11684"/>
        <item h="1" x="11685"/>
        <item h="1" x="11686"/>
        <item h="1" x="11687"/>
        <item h="1" x="11688"/>
        <item h="1" x="11689"/>
        <item h="1" x="11690"/>
        <item h="1" x="11691"/>
        <item h="1" x="11692"/>
        <item h="1" x="11693"/>
        <item h="1" x="11694"/>
        <item h="1" x="11695"/>
        <item h="1" x="11696"/>
        <item h="1" x="11697"/>
        <item h="1" x="11698"/>
        <item h="1" x="11699"/>
        <item h="1" x="11700"/>
        <item h="1" x="11701"/>
        <item h="1" x="11702"/>
        <item h="1" x="11703"/>
        <item h="1" x="11704"/>
        <item h="1" x="11705"/>
        <item h="1" x="11706"/>
        <item h="1" x="11707"/>
        <item h="1" x="11708"/>
        <item h="1" x="11709"/>
        <item h="1" x="11710"/>
        <item h="1" x="11711"/>
        <item h="1" x="11712"/>
        <item h="1" x="11713"/>
        <item h="1" x="11714"/>
        <item h="1" x="11715"/>
        <item h="1" x="11716"/>
        <item h="1" x="11717"/>
        <item h="1" x="11718"/>
        <item h="1" x="11719"/>
        <item h="1" x="11720"/>
        <item h="1" x="11721"/>
        <item h="1" x="11722"/>
        <item h="1" x="11723"/>
        <item h="1" x="11724"/>
        <item h="1" x="11725"/>
        <item h="1" x="11726"/>
        <item h="1" x="11727"/>
        <item h="1" x="11728"/>
        <item h="1" x="11729"/>
        <item h="1" x="11730"/>
        <item h="1" x="11731"/>
        <item h="1" x="11732"/>
        <item h="1" x="11733"/>
        <item h="1" x="11734"/>
        <item h="1" x="11735"/>
        <item h="1" x="11736"/>
        <item h="1" x="11737"/>
        <item h="1" x="11738"/>
        <item h="1" x="11739"/>
        <item h="1" x="11740"/>
        <item h="1" x="11741"/>
        <item h="1" x="11742"/>
        <item h="1" x="11743"/>
        <item h="1" x="11744"/>
        <item h="1" x="11745"/>
        <item h="1" x="11746"/>
        <item h="1" x="11747"/>
        <item h="1" x="11748"/>
        <item h="1" x="11749"/>
        <item h="1" x="11750"/>
        <item h="1" x="11751"/>
        <item h="1" x="11752"/>
        <item h="1" x="11753"/>
        <item h="1" x="11754"/>
        <item h="1" x="11755"/>
        <item h="1" x="11756"/>
        <item h="1" x="11757"/>
        <item h="1" x="11758"/>
        <item h="1" x="11759"/>
        <item h="1" x="11760"/>
        <item h="1" x="11761"/>
        <item h="1" x="11762"/>
        <item h="1" x="11763"/>
        <item h="1" x="11764"/>
        <item h="1" x="11765"/>
        <item h="1" x="11766"/>
        <item h="1" x="11767"/>
        <item h="1" x="11768"/>
        <item h="1" x="11769"/>
        <item h="1" x="11770"/>
        <item h="1" x="11771"/>
        <item h="1" x="11772"/>
        <item h="1" x="11773"/>
        <item h="1" x="11774"/>
        <item h="1" x="11775"/>
        <item h="1" x="11776"/>
        <item h="1" x="11777"/>
        <item h="1" x="11778"/>
        <item h="1" x="11779"/>
        <item h="1" x="11780"/>
        <item h="1" x="11781"/>
        <item h="1" x="11782"/>
        <item h="1" x="11783"/>
        <item h="1" x="11784"/>
        <item h="1" x="11785"/>
        <item h="1" x="11786"/>
        <item h="1" x="11787"/>
        <item h="1" x="11788"/>
        <item h="1" x="11789"/>
        <item h="1" x="11790"/>
        <item h="1" x="11791"/>
        <item h="1" x="11792"/>
        <item h="1" x="11793"/>
        <item h="1" x="11794"/>
        <item h="1" x="11795"/>
        <item h="1" x="11796"/>
        <item h="1" x="11797"/>
        <item h="1" x="11798"/>
        <item h="1" x="11799"/>
        <item h="1" x="11800"/>
        <item h="1" x="11801"/>
        <item h="1" x="11802"/>
        <item h="1" x="11803"/>
        <item h="1" x="11804"/>
        <item h="1" x="11805"/>
        <item h="1" x="11806"/>
        <item h="1" x="11807"/>
        <item h="1" x="11808"/>
        <item h="1" x="11809"/>
        <item h="1" x="11810"/>
        <item h="1" x="11811"/>
        <item h="1" x="11812"/>
        <item h="1" x="11813"/>
        <item h="1" x="11814"/>
        <item h="1" x="11815"/>
        <item h="1" x="11816"/>
        <item h="1" x="11817"/>
        <item h="1" x="11818"/>
        <item h="1" x="11819"/>
        <item h="1" x="11820"/>
        <item h="1" x="11821"/>
        <item h="1" x="11822"/>
        <item h="1" x="11823"/>
        <item h="1" x="11824"/>
        <item h="1" x="11825"/>
        <item h="1" x="11826"/>
        <item h="1" x="11827"/>
        <item h="1" x="11828"/>
        <item h="1" x="11829"/>
        <item h="1" x="11830"/>
        <item h="1" x="11831"/>
        <item h="1" x="11832"/>
        <item h="1" x="11833"/>
        <item h="1" x="11834"/>
        <item h="1" x="11835"/>
        <item h="1" x="11836"/>
        <item h="1" x="11837"/>
        <item h="1" x="11838"/>
        <item h="1" x="11839"/>
        <item h="1" x="11840"/>
        <item h="1" x="11841"/>
        <item h="1" x="11842"/>
        <item h="1" x="11843"/>
        <item h="1" x="11844"/>
        <item h="1" x="11845"/>
        <item h="1" x="11846"/>
        <item h="1" x="11847"/>
        <item h="1" x="11848"/>
        <item h="1" x="11849"/>
        <item h="1" x="11850"/>
        <item h="1" x="11851"/>
        <item h="1" x="11852"/>
        <item h="1" x="11853"/>
        <item h="1" x="11854"/>
        <item h="1" x="11855"/>
        <item h="1" x="11856"/>
        <item h="1" x="11857"/>
        <item h="1" x="11858"/>
        <item h="1" x="11859"/>
        <item h="1" x="11860"/>
        <item h="1" x="11861"/>
        <item h="1" x="11862"/>
        <item h="1" x="11863"/>
        <item h="1" x="11864"/>
        <item h="1" x="11865"/>
        <item h="1" x="11866"/>
        <item h="1" x="11867"/>
        <item h="1" x="11868"/>
        <item h="1" x="11869"/>
        <item h="1" x="11870"/>
        <item h="1" x="11871"/>
        <item h="1" x="11872"/>
        <item h="1" x="11873"/>
        <item h="1" x="11874"/>
        <item h="1" x="11875"/>
        <item h="1" x="11876"/>
        <item h="1" x="11877"/>
        <item h="1" x="11878"/>
        <item h="1" x="11879"/>
        <item h="1" x="11880"/>
        <item h="1" x="11881"/>
        <item h="1" x="11882"/>
        <item h="1" x="11883"/>
        <item h="1" x="11884"/>
        <item h="1" x="11885"/>
        <item h="1" x="11886"/>
        <item h="1" x="11887"/>
        <item h="1" x="11888"/>
        <item h="1" x="11889"/>
        <item h="1" x="11890"/>
        <item h="1" x="11891"/>
        <item h="1" x="11892"/>
        <item h="1" x="11893"/>
        <item h="1" x="11894"/>
        <item h="1" x="11895"/>
        <item h="1" x="11896"/>
        <item h="1" x="11897"/>
        <item h="1" x="11898"/>
        <item h="1" x="11899"/>
        <item h="1" x="11900"/>
        <item h="1" x="11901"/>
        <item h="1" x="11902"/>
        <item h="1" x="11903"/>
        <item h="1" x="11904"/>
        <item h="1" x="11905"/>
        <item h="1" x="11906"/>
        <item h="1" x="11907"/>
        <item h="1" x="11908"/>
        <item h="1" x="11909"/>
        <item h="1" x="11910"/>
        <item h="1" x="11911"/>
        <item h="1" x="11912"/>
        <item h="1" x="11913"/>
        <item h="1" x="11914"/>
        <item h="1" x="11915"/>
        <item h="1" x="11916"/>
        <item h="1" x="11917"/>
        <item h="1" x="11918"/>
        <item h="1" x="11919"/>
        <item h="1" x="11920"/>
        <item h="1" x="11921"/>
        <item h="1" x="11922"/>
        <item h="1" x="11923"/>
        <item h="1" x="11924"/>
        <item h="1" x="11925"/>
        <item h="1" x="11926"/>
        <item h="1" x="11927"/>
        <item h="1" x="11928"/>
        <item h="1" x="11929"/>
        <item h="1" x="11930"/>
        <item h="1" x="11931"/>
        <item h="1" x="11932"/>
        <item h="1" x="11933"/>
        <item h="1" x="11934"/>
        <item h="1" x="11935"/>
        <item h="1" x="11936"/>
        <item h="1" x="11937"/>
        <item h="1" x="11938"/>
        <item h="1" x="11939"/>
        <item h="1" x="11940"/>
        <item h="1" x="11941"/>
        <item h="1" x="11942"/>
        <item h="1" x="11943"/>
        <item h="1" x="11944"/>
        <item h="1" x="11945"/>
        <item h="1" x="11946"/>
        <item h="1" x="11947"/>
        <item h="1" x="11948"/>
        <item h="1" x="11949"/>
        <item h="1" x="11950"/>
        <item h="1" x="11951"/>
        <item h="1" x="11952"/>
        <item h="1" x="11953"/>
        <item h="1" x="11954"/>
        <item h="1" x="11955"/>
        <item h="1" x="11956"/>
        <item h="1" x="11957"/>
        <item h="1" x="11958"/>
        <item h="1" x="11959"/>
        <item h="1" x="11960"/>
        <item h="1" x="11961"/>
        <item h="1" x="11962"/>
        <item h="1" x="11963"/>
        <item h="1" x="11964"/>
        <item h="1" x="11965"/>
        <item h="1" x="11966"/>
        <item h="1" x="11967"/>
        <item h="1" x="11968"/>
        <item h="1" x="11969"/>
        <item h="1" x="11970"/>
        <item h="1" x="11971"/>
        <item h="1" x="11972"/>
        <item h="1" x="11973"/>
        <item h="1" x="11974"/>
        <item h="1" x="11975"/>
        <item h="1" x="11976"/>
        <item h="1" x="11977"/>
        <item h="1" x="11978"/>
        <item h="1" x="11979"/>
        <item h="1" x="11980"/>
        <item h="1" x="11981"/>
        <item h="1" x="11982"/>
        <item h="1" x="11983"/>
        <item h="1" x="11984"/>
        <item h="1" x="11985"/>
        <item h="1" x="11986"/>
        <item h="1" x="11987"/>
        <item h="1" x="11988"/>
        <item h="1" x="11989"/>
        <item h="1" x="11990"/>
        <item h="1" x="11991"/>
        <item h="1" x="11992"/>
        <item h="1" x="11993"/>
        <item h="1" x="11994"/>
        <item h="1" x="11995"/>
        <item h="1" x="11996"/>
        <item h="1" x="11997"/>
        <item h="1" x="11998"/>
        <item h="1" x="11999"/>
        <item h="1" x="12000"/>
        <item h="1" x="12001"/>
        <item h="1" x="12002"/>
        <item h="1" x="12003"/>
        <item h="1" x="12004"/>
        <item h="1" x="12005"/>
        <item h="1" x="12006"/>
        <item h="1" x="12007"/>
        <item h="1" x="12008"/>
        <item h="1" x="12009"/>
        <item h="1" x="12010"/>
        <item h="1" x="12011"/>
        <item h="1" x="12012"/>
        <item h="1" x="12013"/>
        <item h="1" x="12014"/>
        <item h="1" x="12015"/>
        <item h="1" x="12016"/>
        <item h="1" x="12017"/>
        <item h="1" x="12018"/>
        <item h="1" x="12019"/>
        <item h="1" x="12020"/>
        <item h="1" x="12021"/>
        <item h="1" x="12022"/>
        <item h="1" x="12023"/>
        <item h="1" x="12024"/>
        <item h="1" x="12025"/>
        <item h="1" x="12026"/>
        <item h="1" x="12027"/>
        <item h="1" x="12028"/>
        <item h="1" x="12029"/>
        <item h="1" x="12030"/>
        <item h="1" x="12031"/>
        <item h="1" x="12032"/>
        <item h="1" x="12033"/>
        <item h="1" x="12034"/>
        <item h="1" x="12035"/>
        <item h="1" x="12036"/>
        <item h="1" x="12037"/>
        <item h="1" x="12038"/>
        <item h="1" x="12039"/>
        <item h="1" x="12040"/>
        <item h="1" x="12041"/>
        <item h="1" x="12042"/>
        <item h="1" x="12043"/>
        <item h="1" x="12044"/>
        <item h="1" x="12045"/>
        <item h="1" x="12046"/>
        <item h="1" x="12047"/>
        <item h="1" x="12048"/>
        <item h="1" x="12049"/>
        <item h="1" x="12050"/>
        <item h="1" x="12051"/>
        <item h="1" x="12052"/>
        <item h="1" x="12053"/>
        <item h="1" x="12054"/>
        <item h="1" x="12055"/>
        <item h="1" x="12056"/>
        <item h="1" x="12057"/>
        <item h="1" x="12058"/>
        <item h="1" x="12059"/>
        <item h="1" x="12060"/>
        <item h="1" x="12061"/>
        <item h="1" x="12062"/>
        <item h="1" x="12063"/>
        <item h="1" x="12064"/>
        <item h="1" x="12065"/>
        <item h="1" x="12066"/>
        <item h="1" x="12067"/>
        <item h="1" x="12068"/>
        <item h="1" x="12069"/>
        <item h="1" x="12070"/>
        <item h="1" x="12071"/>
        <item h="1" x="12072"/>
        <item h="1" x="12073"/>
        <item h="1" x="12074"/>
        <item h="1" x="12075"/>
        <item h="1" x="12076"/>
        <item h="1" x="12077"/>
        <item h="1" x="12078"/>
        <item h="1" x="12079"/>
        <item h="1" x="12080"/>
        <item h="1" x="12081"/>
        <item h="1" x="12082"/>
        <item h="1" x="12083"/>
        <item h="1" x="12084"/>
        <item h="1" x="12085"/>
        <item h="1" x="12086"/>
        <item h="1" x="12087"/>
        <item h="1" x="12088"/>
        <item h="1" x="12089"/>
        <item h="1" x="12090"/>
        <item h="1" x="12091"/>
        <item h="1" x="12092"/>
        <item h="1" x="12093"/>
        <item h="1" x="12094"/>
        <item h="1" x="12095"/>
        <item h="1" x="12096"/>
        <item h="1" x="12097"/>
        <item h="1" x="12098"/>
        <item h="1" x="12099"/>
        <item h="1" x="12100"/>
        <item h="1" x="12101"/>
        <item h="1" x="12102"/>
        <item h="1" x="12103"/>
        <item h="1" x="12104"/>
        <item h="1" x="12105"/>
        <item h="1" x="12106"/>
        <item h="1" x="12107"/>
        <item h="1" x="12108"/>
        <item h="1" x="12109"/>
        <item h="1" x="12110"/>
        <item h="1" x="12111"/>
        <item h="1" x="12112"/>
        <item h="1" x="12113"/>
        <item h="1" x="12114"/>
        <item h="1" x="12115"/>
        <item h="1" x="12116"/>
        <item h="1" x="12117"/>
        <item h="1" x="12118"/>
        <item h="1" x="12119"/>
        <item h="1" x="12120"/>
        <item h="1" x="12121"/>
        <item h="1" x="12122"/>
        <item h="1" x="12123"/>
        <item h="1" x="12124"/>
        <item h="1" x="12125"/>
        <item h="1" x="12126"/>
        <item h="1" x="12127"/>
        <item h="1" x="12128"/>
        <item h="1" x="12129"/>
        <item h="1" x="12130"/>
        <item h="1" x="12131"/>
        <item h="1" x="12132"/>
        <item h="1" x="12133"/>
        <item h="1" x="12134"/>
        <item h="1" x="12135"/>
        <item h="1" x="12136"/>
        <item h="1" x="12137"/>
        <item h="1" x="12138"/>
        <item h="1" x="12139"/>
        <item h="1" x="12140"/>
        <item h="1" x="12141"/>
        <item h="1" x="12142"/>
        <item h="1" x="12143"/>
        <item h="1" x="12144"/>
        <item h="1" x="12145"/>
        <item h="1" x="12146"/>
        <item h="1" x="12147"/>
        <item h="1" x="12148"/>
        <item h="1" x="12149"/>
        <item h="1" x="12150"/>
        <item h="1" x="12151"/>
        <item h="1" x="12152"/>
        <item h="1" x="12153"/>
        <item h="1" x="12154"/>
        <item h="1" x="12155"/>
        <item h="1" x="12156"/>
        <item h="1" x="12157"/>
        <item h="1" x="12158"/>
        <item h="1" x="12159"/>
        <item h="1" x="12160"/>
        <item h="1" x="12161"/>
        <item h="1" x="12162"/>
        <item h="1" x="12163"/>
        <item h="1" x="12164"/>
        <item h="1" x="12165"/>
        <item h="1" x="12166"/>
        <item h="1" x="12167"/>
        <item h="1" x="12168"/>
        <item h="1" x="12169"/>
        <item h="1" x="12170"/>
        <item h="1" x="12171"/>
        <item h="1" x="12172"/>
        <item h="1" x="12173"/>
        <item h="1" x="12174"/>
        <item h="1" x="12175"/>
        <item h="1" x="12176"/>
        <item h="1" x="12177"/>
        <item h="1" x="12178"/>
        <item h="1" x="12179"/>
        <item h="1" x="12180"/>
        <item h="1" x="12181"/>
        <item h="1" x="12182"/>
        <item h="1" x="12183"/>
        <item h="1" x="12184"/>
        <item h="1" x="12185"/>
        <item h="1" x="12186"/>
        <item h="1" x="12187"/>
        <item h="1" x="12188"/>
        <item h="1" x="12189"/>
        <item h="1" x="12190"/>
        <item h="1" x="12191"/>
        <item h="1" x="12192"/>
        <item h="1" x="12193"/>
        <item h="1" x="12194"/>
        <item h="1" x="12195"/>
        <item h="1" x="12196"/>
        <item h="1" x="12197"/>
        <item h="1" x="12198"/>
        <item h="1" x="12199"/>
        <item h="1" x="12200"/>
        <item h="1" x="12201"/>
        <item h="1" x="12202"/>
        <item h="1" x="12203"/>
        <item h="1" x="12204"/>
        <item h="1" x="12205"/>
        <item h="1" x="12206"/>
        <item h="1" x="12207"/>
        <item h="1" x="12208"/>
        <item h="1" x="12209"/>
        <item h="1" x="12210"/>
        <item h="1" x="12211"/>
        <item h="1" x="12212"/>
        <item h="1" x="12213"/>
        <item h="1" x="12214"/>
        <item h="1" x="12215"/>
        <item h="1" x="12216"/>
        <item h="1" x="12217"/>
        <item h="1" x="12218"/>
        <item h="1" x="12219"/>
        <item h="1" x="12220"/>
        <item h="1" x="12221"/>
        <item h="1" x="12222"/>
        <item h="1" x="12223"/>
        <item h="1" x="12224"/>
        <item h="1" x="12225"/>
        <item h="1" x="12226"/>
        <item h="1" x="12227"/>
        <item h="1" x="12228"/>
        <item h="1" x="12229"/>
        <item h="1" x="12230"/>
        <item h="1" x="12231"/>
        <item h="1" x="12232"/>
        <item h="1" x="12233"/>
        <item h="1" x="12234"/>
        <item h="1" x="12235"/>
        <item h="1" x="12236"/>
        <item h="1" x="12237"/>
        <item h="1" x="12238"/>
        <item h="1" x="12239"/>
        <item h="1" x="12240"/>
        <item h="1" x="12241"/>
        <item h="1" x="12242"/>
        <item h="1" x="12243"/>
        <item h="1" x="12244"/>
        <item h="1" x="12245"/>
        <item h="1" x="12246"/>
        <item h="1" x="12247"/>
        <item h="1" x="12248"/>
        <item h="1" x="12249"/>
        <item h="1" x="12250"/>
        <item h="1" x="12251"/>
        <item h="1" x="12252"/>
        <item h="1" x="12253"/>
        <item h="1" x="12254"/>
        <item h="1" x="12255"/>
        <item h="1" x="12256"/>
        <item h="1" x="12257"/>
        <item h="1" x="12258"/>
        <item h="1" x="12259"/>
        <item h="1" x="12260"/>
        <item h="1" x="12261"/>
        <item h="1" x="12262"/>
        <item h="1" x="12263"/>
        <item h="1" x="12264"/>
        <item h="1" x="12265"/>
        <item h="1" x="12266"/>
        <item h="1" x="12267"/>
        <item h="1" x="12268"/>
        <item h="1" x="12269"/>
        <item h="1" x="12270"/>
        <item h="1" x="12271"/>
        <item h="1" x="12272"/>
        <item h="1" x="12273"/>
        <item h="1" x="12274"/>
        <item h="1" x="12275"/>
        <item h="1" x="12276"/>
        <item h="1" x="12277"/>
        <item h="1" x="12278"/>
        <item h="1" x="12279"/>
        <item h="1" x="12280"/>
        <item h="1" x="12281"/>
        <item h="1" x="12282"/>
        <item h="1" x="12283"/>
        <item h="1" x="12284"/>
        <item h="1" x="12285"/>
        <item h="1" x="12286"/>
        <item h="1" x="12287"/>
        <item h="1" x="12288"/>
        <item h="1" x="12289"/>
        <item h="1" x="12290"/>
        <item h="1" x="12291"/>
        <item h="1" x="12292"/>
        <item h="1" x="12293"/>
        <item h="1" x="12294"/>
        <item h="1" x="12295"/>
        <item h="1" x="12296"/>
        <item h="1" x="12297"/>
        <item h="1" x="12298"/>
        <item h="1" x="12299"/>
        <item h="1" x="12300"/>
        <item h="1" x="12301"/>
        <item h="1" x="12302"/>
        <item h="1" x="12303"/>
        <item h="1" x="12304"/>
        <item h="1" x="12305"/>
        <item h="1" x="12306"/>
        <item h="1" x="12307"/>
        <item h="1" x="12308"/>
        <item h="1" x="12309"/>
        <item h="1" x="12310"/>
        <item h="1" x="12311"/>
        <item h="1" x="12312"/>
        <item h="1" x="12313"/>
        <item h="1" x="12314"/>
        <item h="1" x="12315"/>
        <item h="1" x="12316"/>
        <item h="1" x="12317"/>
        <item h="1" x="12318"/>
        <item h="1" x="12319"/>
        <item h="1" x="12320"/>
        <item h="1" x="12321"/>
        <item h="1" x="12322"/>
        <item h="1" x="12323"/>
        <item h="1" x="12324"/>
        <item h="1" x="12325"/>
        <item h="1" x="12326"/>
        <item h="1" x="12327"/>
        <item h="1" x="12328"/>
        <item h="1" x="12329"/>
        <item h="1" x="12330"/>
        <item h="1" x="12331"/>
        <item h="1" x="12332"/>
        <item h="1" x="12333"/>
        <item h="1" x="12334"/>
        <item h="1" x="12335"/>
        <item h="1" x="12336"/>
        <item h="1" x="12337"/>
        <item h="1" x="12338"/>
        <item h="1" x="12339"/>
        <item h="1" x="12340"/>
        <item h="1" x="12341"/>
        <item h="1" x="12342"/>
        <item h="1" x="12343"/>
        <item h="1" x="12344"/>
        <item h="1" x="12345"/>
        <item h="1" x="12346"/>
        <item h="1" x="12347"/>
        <item h="1" x="12348"/>
        <item h="1" x="12349"/>
        <item h="1" x="12350"/>
        <item h="1" x="12351"/>
        <item h="1" x="12352"/>
        <item h="1" x="12353"/>
        <item h="1" x="12354"/>
        <item h="1" x="12355"/>
        <item h="1" x="12356"/>
        <item h="1" x="12357"/>
        <item h="1" x="12358"/>
        <item h="1" x="12359"/>
        <item h="1" x="12360"/>
        <item h="1" x="12361"/>
        <item h="1" x="12362"/>
        <item h="1" x="12363"/>
        <item h="1" x="12364"/>
        <item h="1" x="12365"/>
        <item h="1" x="12366"/>
        <item h="1" x="12367"/>
        <item h="1" x="12368"/>
        <item h="1" x="12369"/>
        <item h="1" x="12370"/>
        <item h="1" x="12371"/>
        <item h="1" x="12372"/>
        <item h="1" x="12373"/>
        <item h="1" x="12374"/>
        <item h="1" x="12375"/>
        <item h="1" x="12376"/>
        <item h="1" x="12377"/>
        <item h="1" x="12378"/>
        <item h="1" x="12379"/>
        <item h="1" x="12380"/>
        <item h="1" x="12381"/>
        <item h="1" x="12382"/>
        <item h="1" x="12383"/>
        <item h="1" x="12384"/>
        <item h="1" x="12385"/>
        <item h="1" x="12386"/>
        <item h="1" x="12387"/>
        <item h="1" x="12388"/>
        <item h="1" x="12389"/>
        <item h="1" x="12390"/>
        <item h="1" x="12391"/>
        <item h="1" x="12392"/>
        <item h="1" x="12393"/>
        <item h="1" x="12394"/>
        <item h="1" x="12395"/>
        <item h="1" x="12396"/>
        <item h="1" x="12397"/>
        <item h="1" x="12398"/>
        <item h="1" x="12399"/>
        <item h="1" x="12400"/>
        <item h="1" x="12401"/>
        <item h="1" x="12402"/>
        <item h="1" x="12403"/>
        <item h="1" x="12404"/>
        <item h="1" x="12405"/>
        <item h="1" x="12406"/>
        <item h="1" x="12407"/>
        <item h="1" x="12408"/>
        <item h="1" x="12409"/>
        <item h="1" x="12410"/>
        <item h="1" x="12411"/>
        <item h="1" x="12412"/>
        <item h="1" x="12413"/>
        <item h="1" x="12414"/>
        <item h="1" x="12415"/>
        <item h="1" x="12416"/>
        <item h="1" x="12417"/>
        <item h="1" x="12418"/>
        <item h="1" x="12419"/>
        <item h="1" x="12420"/>
        <item h="1" x="12421"/>
        <item h="1" x="12422"/>
        <item h="1" x="12423"/>
        <item h="1" x="12424"/>
        <item h="1" x="12425"/>
        <item h="1" x="12426"/>
        <item h="1" x="12427"/>
        <item h="1" x="12428"/>
        <item h="1" x="12429"/>
        <item h="1" x="12430"/>
        <item h="1" x="12431"/>
        <item h="1" x="12432"/>
        <item h="1" x="12433"/>
        <item h="1" x="12434"/>
        <item h="1" x="12435"/>
        <item h="1" x="12436"/>
        <item h="1" x="12437"/>
        <item h="1" x="12438"/>
        <item h="1" x="12439"/>
        <item h="1" x="12440"/>
        <item h="1" x="12441"/>
        <item h="1" x="12442"/>
        <item h="1" x="12443"/>
        <item h="1" x="12444"/>
        <item h="1" x="12445"/>
        <item h="1" x="12446"/>
        <item h="1" x="12447"/>
        <item h="1" x="12448"/>
        <item h="1" x="12449"/>
        <item h="1" x="12450"/>
        <item h="1" x="12451"/>
        <item h="1" x="12452"/>
        <item h="1" x="12453"/>
        <item h="1" x="12454"/>
        <item h="1" x="12455"/>
        <item h="1" x="12456"/>
        <item h="1" x="12457"/>
        <item h="1" x="12458"/>
        <item h="1" x="12459"/>
        <item h="1" x="12460"/>
        <item h="1" x="12461"/>
        <item h="1" x="12462"/>
        <item h="1" x="12463"/>
        <item h="1" x="12464"/>
        <item h="1" x="12465"/>
        <item h="1" x="12466"/>
        <item h="1" x="12467"/>
        <item h="1" x="12468"/>
        <item h="1" x="12469"/>
        <item h="1" x="12470"/>
        <item h="1" x="12471"/>
        <item h="1" x="12472"/>
        <item h="1" x="12473"/>
        <item h="1" x="12474"/>
        <item h="1" x="12475"/>
        <item h="1" x="12476"/>
        <item h="1" x="12477"/>
        <item h="1" x="12478"/>
        <item h="1" x="12479"/>
        <item h="1" x="12480"/>
        <item h="1" x="12481"/>
        <item h="1" x="12482"/>
        <item h="1" x="12483"/>
        <item h="1" x="12484"/>
        <item h="1" x="12485"/>
        <item h="1" x="12486"/>
        <item h="1" x="12487"/>
        <item h="1" x="12488"/>
        <item h="1" x="12489"/>
        <item h="1" x="12490"/>
        <item h="1" x="12491"/>
        <item h="1" x="12492"/>
        <item h="1" x="12493"/>
        <item h="1" x="12494"/>
        <item h="1" x="12495"/>
        <item h="1" x="12496"/>
        <item h="1" x="12497"/>
        <item h="1" x="12498"/>
        <item h="1" x="12499"/>
        <item h="1" x="12500"/>
        <item h="1" x="12501"/>
        <item h="1" x="12502"/>
        <item h="1" x="12503"/>
        <item h="1" x="12504"/>
        <item h="1" x="12505"/>
        <item h="1" x="12506"/>
        <item h="1" x="12507"/>
        <item h="1" x="12508"/>
        <item h="1" x="12509"/>
        <item h="1" x="12510"/>
        <item h="1" x="12511"/>
        <item h="1" x="12512"/>
        <item h="1" x="12513"/>
        <item h="1" x="12514"/>
        <item h="1" x="12515"/>
        <item h="1" x="12516"/>
        <item h="1" x="12517"/>
        <item h="1" x="12518"/>
        <item h="1" x="12519"/>
        <item h="1" x="12520"/>
        <item h="1" x="12521"/>
        <item h="1" x="12522"/>
        <item h="1" x="12523"/>
        <item h="1" x="12524"/>
        <item h="1" x="12525"/>
        <item h="1" x="12526"/>
        <item h="1" x="12527"/>
        <item h="1" x="12528"/>
        <item h="1" x="12529"/>
        <item h="1" x="12530"/>
        <item h="1" x="12531"/>
        <item h="1" x="12532"/>
        <item h="1" x="12533"/>
        <item h="1" x="12534"/>
        <item h="1" x="12535"/>
        <item h="1" x="12536"/>
        <item h="1" x="12537"/>
        <item h="1" x="12538"/>
        <item h="1" x="12539"/>
        <item h="1" x="12540"/>
        <item h="1" x="12541"/>
        <item h="1" x="12542"/>
        <item h="1" x="12543"/>
        <item h="1" x="12544"/>
        <item h="1" x="12545"/>
        <item h="1" x="12546"/>
        <item h="1" x="12547"/>
        <item h="1" x="12548"/>
        <item h="1" x="12549"/>
        <item h="1" x="12550"/>
        <item h="1" x="12551"/>
        <item h="1" x="12552"/>
        <item h="1" x="12553"/>
        <item h="1" x="12554"/>
        <item h="1" x="12555"/>
        <item h="1" x="12556"/>
        <item h="1" x="12557"/>
        <item h="1" x="12558"/>
        <item h="1" x="12559"/>
        <item h="1" x="12560"/>
        <item h="1" x="12561"/>
        <item h="1" x="12562"/>
        <item h="1" x="12563"/>
        <item h="1" x="12564"/>
        <item h="1" x="12565"/>
        <item h="1" x="12566"/>
        <item h="1" x="12567"/>
        <item h="1" x="12568"/>
        <item h="1" x="12569"/>
        <item h="1" x="12570"/>
        <item h="1" x="12571"/>
        <item h="1" x="12572"/>
        <item h="1" x="12573"/>
        <item h="1" x="12574"/>
        <item h="1" x="12575"/>
        <item h="1" x="12576"/>
        <item h="1" x="12577"/>
        <item h="1" x="12578"/>
        <item h="1" x="12579"/>
        <item h="1" x="12580"/>
        <item h="1" x="12581"/>
        <item h="1" x="12582"/>
        <item h="1" x="12583"/>
        <item h="1" x="12584"/>
        <item h="1" x="12585"/>
        <item h="1" x="12586"/>
        <item h="1" x="12587"/>
        <item h="1" x="12588"/>
        <item h="1" x="12589"/>
        <item h="1" x="12590"/>
        <item h="1" x="12591"/>
        <item h="1" x="12592"/>
        <item h="1" x="12593"/>
        <item h="1" x="12594"/>
        <item h="1" x="12595"/>
        <item h="1" x="12596"/>
        <item h="1" x="12597"/>
        <item h="1" x="12598"/>
        <item h="1" x="12599"/>
        <item h="1" x="12600"/>
        <item h="1" x="12601"/>
        <item h="1" x="12602"/>
        <item h="1" x="12603"/>
        <item h="1" x="12604"/>
        <item h="1" x="12605"/>
        <item h="1" x="12606"/>
        <item h="1" x="12607"/>
        <item h="1" x="12608"/>
        <item h="1" x="12609"/>
        <item h="1" x="12610"/>
        <item h="1" x="12611"/>
        <item h="1" x="12612"/>
        <item h="1" x="12613"/>
        <item h="1" x="12614"/>
        <item h="1" x="12615"/>
        <item h="1" x="12616"/>
        <item h="1" x="12617"/>
        <item h="1" x="12618"/>
        <item h="1" x="12619"/>
        <item h="1" x="12620"/>
        <item h="1" x="12621"/>
        <item h="1" x="12622"/>
        <item h="1" x="12623"/>
        <item h="1" x="12624"/>
        <item h="1" x="12625"/>
        <item h="1" x="12626"/>
        <item h="1" x="12627"/>
        <item h="1" x="12628"/>
        <item h="1" x="12629"/>
        <item h="1" x="12630"/>
        <item h="1" x="12631"/>
        <item h="1" x="12632"/>
        <item h="1" x="12633"/>
        <item h="1" x="12634"/>
        <item h="1" x="12635"/>
        <item h="1" x="12636"/>
        <item h="1" x="12637"/>
        <item h="1" x="12638"/>
        <item h="1" x="12639"/>
        <item h="1" x="12640"/>
        <item h="1" x="12641"/>
        <item h="1" x="12642"/>
        <item h="1" x="12643"/>
        <item h="1" x="12644"/>
        <item h="1" x="12645"/>
        <item h="1" x="12646"/>
        <item h="1" x="12647"/>
        <item h="1" x="12648"/>
        <item h="1" x="12649"/>
        <item h="1" x="12650"/>
        <item h="1" x="12651"/>
        <item h="1" x="12652"/>
        <item h="1" x="12653"/>
        <item h="1" x="12654"/>
        <item h="1" x="12655"/>
        <item h="1" x="12656"/>
        <item h="1" x="12657"/>
        <item h="1" x="12658"/>
        <item h="1" x="12659"/>
        <item h="1" x="12660"/>
        <item h="1" x="12661"/>
        <item h="1" x="12662"/>
        <item h="1" x="12663"/>
        <item h="1" x="12664"/>
        <item h="1" x="12665"/>
        <item h="1" x="12666"/>
        <item h="1" x="12667"/>
        <item h="1" x="12668"/>
        <item h="1" x="12669"/>
        <item h="1" x="12670"/>
        <item h="1" x="12671"/>
        <item h="1" x="12672"/>
        <item h="1" x="12673"/>
        <item h="1" x="12674"/>
        <item h="1" x="12675"/>
        <item h="1" x="12676"/>
        <item h="1" x="12677"/>
        <item h="1" x="12678"/>
        <item h="1" x="12679"/>
        <item h="1" x="12680"/>
        <item h="1" x="12681"/>
        <item h="1" x="12682"/>
        <item h="1" x="12683"/>
        <item h="1" x="12684"/>
        <item h="1" x="12685"/>
        <item h="1" x="12686"/>
        <item h="1" x="12687"/>
        <item h="1" x="12688"/>
        <item h="1" x="12689"/>
        <item h="1" x="12690"/>
        <item h="1" x="12691"/>
        <item h="1" x="12692"/>
        <item h="1" x="12693"/>
        <item h="1" x="12694"/>
        <item h="1" x="12695"/>
        <item h="1" x="12696"/>
        <item h="1" x="12697"/>
        <item h="1" x="12698"/>
        <item h="1" x="12699"/>
        <item h="1" x="12700"/>
        <item h="1" x="12701"/>
        <item h="1" x="12702"/>
        <item h="1" x="12703"/>
        <item h="1" x="12704"/>
        <item h="1" x="12705"/>
        <item h="1" x="12706"/>
        <item h="1" x="12707"/>
        <item h="1" x="12708"/>
        <item h="1" x="12709"/>
        <item h="1" x="12710"/>
        <item h="1" x="12711"/>
        <item h="1" x="12712"/>
        <item h="1" x="12713"/>
        <item h="1" x="12714"/>
        <item h="1" x="12715"/>
        <item h="1" x="12716"/>
        <item h="1" x="12717"/>
        <item h="1" x="12718"/>
        <item h="1" x="12719"/>
        <item h="1" x="12720"/>
        <item h="1" x="12721"/>
        <item h="1" x="12722"/>
        <item h="1" x="12723"/>
        <item h="1" x="12724"/>
        <item h="1" x="12725"/>
        <item h="1" x="12726"/>
        <item h="1" x="12727"/>
        <item h="1" x="12728"/>
        <item h="1" x="12729"/>
        <item h="1" x="12730"/>
        <item h="1" x="12731"/>
        <item h="1" x="12732"/>
        <item h="1" x="12733"/>
        <item h="1" x="12734"/>
        <item h="1" x="12735"/>
        <item h="1" x="12736"/>
        <item h="1" x="12737"/>
        <item h="1" x="12738"/>
        <item h="1" x="12739"/>
        <item h="1" x="12740"/>
        <item h="1" x="12741"/>
        <item h="1" x="12742"/>
        <item h="1" x="12743"/>
        <item h="1" x="12744"/>
        <item h="1" x="12745"/>
        <item h="1" x="12746"/>
        <item h="1" x="12747"/>
        <item h="1" x="12748"/>
        <item h="1" x="12749"/>
        <item h="1" x="12750"/>
        <item h="1" x="12751"/>
        <item h="1" x="12752"/>
        <item h="1" x="12753"/>
        <item h="1" x="12754"/>
        <item h="1" x="12755"/>
        <item h="1" x="12756"/>
        <item h="1" x="12757"/>
        <item h="1" x="12758"/>
        <item h="1" x="12759"/>
        <item h="1" x="12760"/>
        <item h="1" x="12761"/>
        <item h="1" x="12762"/>
        <item h="1" x="12763"/>
        <item h="1" x="12764"/>
        <item h="1" x="12765"/>
        <item h="1" x="12766"/>
        <item h="1" x="12767"/>
        <item h="1" x="12768"/>
        <item h="1" x="12769"/>
        <item h="1" x="12770"/>
        <item h="1" x="12771"/>
        <item h="1" x="12772"/>
        <item h="1" x="12773"/>
        <item h="1" x="12774"/>
        <item h="1" x="12775"/>
        <item h="1" x="12776"/>
        <item h="1" x="12777"/>
        <item h="1" x="12778"/>
        <item h="1" x="12779"/>
        <item h="1" x="12780"/>
        <item h="1" x="12781"/>
        <item h="1" x="12782"/>
        <item h="1" x="12783"/>
        <item h="1" x="12784"/>
        <item h="1" x="12785"/>
        <item h="1" x="12786"/>
        <item h="1" x="12787"/>
        <item h="1" x="12788"/>
        <item h="1" x="12789"/>
        <item h="1" x="12790"/>
        <item h="1" x="12791"/>
        <item h="1" x="12792"/>
        <item h="1" x="12793"/>
        <item h="1" x="12794"/>
        <item h="1" x="12795"/>
        <item h="1" x="12796"/>
        <item h="1" x="12797"/>
        <item h="1" x="12798"/>
        <item h="1" x="12799"/>
        <item h="1" x="12800"/>
        <item h="1" x="12801"/>
        <item h="1" x="12802"/>
        <item h="1" x="12803"/>
        <item h="1" x="12804"/>
        <item h="1" x="12805"/>
        <item h="1" x="12806"/>
        <item h="1" x="12807"/>
        <item h="1" x="12808"/>
        <item h="1" x="12809"/>
        <item h="1" x="12810"/>
        <item h="1" x="12811"/>
        <item h="1" x="12812"/>
        <item h="1" x="12813"/>
        <item h="1" x="12814"/>
        <item h="1" x="12815"/>
        <item h="1" x="12816"/>
        <item h="1" x="12817"/>
        <item h="1" x="12818"/>
        <item h="1" x="12819"/>
        <item h="1" x="12820"/>
        <item h="1" x="12821"/>
        <item h="1" x="12822"/>
        <item h="1" x="12823"/>
        <item h="1" x="12824"/>
        <item h="1" x="12825"/>
        <item h="1" x="12826"/>
        <item h="1" x="12827"/>
        <item h="1" x="12828"/>
        <item h="1" x="12829"/>
        <item h="1" x="12830"/>
        <item h="1" x="12831"/>
        <item h="1" x="12832"/>
        <item h="1" x="12833"/>
        <item h="1" x="12834"/>
        <item h="1" x="12835"/>
        <item h="1" x="12836"/>
        <item h="1" x="12837"/>
        <item h="1" x="12838"/>
        <item h="1" x="12839"/>
        <item h="1" x="12840"/>
        <item h="1" x="12841"/>
        <item h="1" x="12842"/>
        <item h="1" x="12843"/>
        <item h="1" x="12844"/>
        <item h="1" x="12845"/>
        <item h="1" x="12846"/>
        <item h="1" x="12847"/>
        <item h="1" x="12848"/>
        <item h="1" x="12849"/>
        <item h="1" x="12850"/>
        <item h="1" x="12851"/>
        <item h="1" x="12852"/>
        <item h="1" x="12853"/>
        <item h="1" x="12854"/>
        <item h="1" x="12855"/>
        <item h="1" x="12856"/>
        <item h="1" x="12857"/>
        <item h="1" x="12858"/>
        <item h="1" x="12859"/>
        <item h="1" x="12860"/>
        <item h="1" x="12861"/>
        <item h="1" x="12862"/>
        <item h="1" x="12863"/>
        <item h="1" x="12864"/>
        <item h="1" x="12865"/>
        <item h="1" x="12866"/>
        <item h="1" x="12867"/>
        <item h="1" x="12868"/>
        <item h="1" x="12869"/>
        <item h="1" x="12870"/>
        <item h="1" x="12871"/>
        <item h="1" x="12872"/>
        <item h="1" x="12873"/>
        <item h="1" x="12874"/>
        <item h="1" x="12875"/>
        <item h="1" x="12876"/>
        <item h="1" x="12877"/>
        <item h="1" x="12878"/>
        <item h="1" x="12879"/>
        <item h="1" x="12880"/>
        <item h="1" x="12881"/>
        <item h="1" x="12882"/>
        <item h="1" x="12883"/>
        <item h="1" x="12884"/>
        <item h="1" x="12885"/>
        <item h="1" x="12886"/>
        <item h="1" x="12887"/>
        <item h="1" x="12888"/>
        <item h="1" x="12889"/>
        <item h="1" x="12890"/>
        <item h="1" x="12891"/>
        <item h="1" x="12892"/>
        <item h="1" x="12893"/>
        <item h="1" x="12894"/>
        <item h="1" x="12895"/>
        <item h="1" x="12896"/>
        <item h="1" x="12897"/>
        <item h="1" x="12898"/>
        <item h="1" x="12899"/>
        <item h="1" x="12900"/>
        <item h="1" x="12901"/>
        <item h="1" x="12902"/>
        <item h="1" x="12903"/>
        <item h="1" x="12904"/>
        <item h="1" x="12905"/>
        <item h="1" x="12906"/>
        <item h="1" x="12907"/>
        <item h="1" x="12908"/>
        <item h="1" x="12909"/>
        <item h="1" x="12910"/>
        <item h="1" x="12911"/>
        <item h="1" x="12912"/>
        <item h="1" x="12913"/>
        <item h="1" x="12914"/>
        <item h="1" x="12915"/>
        <item h="1" x="12916"/>
        <item h="1" x="12917"/>
        <item h="1" x="12918"/>
        <item h="1" x="12919"/>
        <item h="1" x="12920"/>
        <item h="1" x="12921"/>
        <item h="1" x="12922"/>
        <item h="1" x="12923"/>
        <item h="1" x="12924"/>
        <item h="1" x="12925"/>
        <item h="1" x="12926"/>
        <item h="1" x="12927"/>
        <item h="1" x="12928"/>
        <item h="1" x="12929"/>
        <item h="1" x="12930"/>
        <item h="1" x="12931"/>
        <item h="1" x="12932"/>
        <item h="1" x="12933"/>
        <item h="1" x="12934"/>
        <item h="1" x="12935"/>
        <item h="1" x="12936"/>
        <item h="1" x="12937"/>
        <item h="1" x="12938"/>
        <item h="1" x="12939"/>
        <item h="1" x="12940"/>
        <item h="1" x="12941"/>
        <item h="1" x="12942"/>
        <item h="1" x="12943"/>
        <item h="1" x="12944"/>
        <item h="1" x="12945"/>
        <item h="1" x="12946"/>
        <item h="1" x="12947"/>
        <item h="1" x="12948"/>
        <item h="1" x="12949"/>
        <item h="1" x="12950"/>
        <item h="1" x="12951"/>
        <item h="1" x="12952"/>
        <item h="1" x="12953"/>
        <item h="1" x="12954"/>
        <item h="1" x="12955"/>
        <item h="1" x="12956"/>
        <item h="1" x="12957"/>
        <item h="1" x="12958"/>
        <item h="1" x="12959"/>
        <item h="1" x="12960"/>
        <item h="1" x="12961"/>
        <item h="1" x="12962"/>
        <item h="1" x="12963"/>
        <item h="1" x="12964"/>
        <item h="1" x="12965"/>
        <item h="1" x="12966"/>
        <item h="1" x="12967"/>
        <item h="1" x="12968"/>
        <item h="1" x="12969"/>
        <item h="1" x="12970"/>
        <item h="1" x="12971"/>
        <item h="1" x="12972"/>
        <item h="1" x="12973"/>
        <item h="1" x="12974"/>
        <item h="1" x="12975"/>
        <item h="1" x="12976"/>
        <item h="1" x="12977"/>
        <item h="1" x="12978"/>
        <item h="1" x="12979"/>
        <item h="1" x="12980"/>
        <item h="1" x="12981"/>
        <item h="1" x="12982"/>
        <item h="1" x="12983"/>
        <item h="1" x="12984"/>
        <item h="1" x="12985"/>
        <item h="1" x="12986"/>
        <item h="1" x="12987"/>
        <item h="1" x="12988"/>
        <item h="1" x="12989"/>
        <item h="1" x="12990"/>
        <item h="1" x="12991"/>
        <item h="1" x="12992"/>
        <item h="1" x="12993"/>
        <item h="1" x="12994"/>
        <item h="1" x="12995"/>
        <item h="1" x="12996"/>
        <item h="1" x="12997"/>
        <item h="1" x="12998"/>
        <item h="1" x="12999"/>
        <item h="1" x="13000"/>
        <item h="1" x="13001"/>
        <item h="1" x="13002"/>
        <item h="1" x="13003"/>
        <item h="1" x="13004"/>
        <item h="1" x="13005"/>
        <item h="1" x="13006"/>
        <item h="1" x="13007"/>
        <item h="1" x="13008"/>
        <item h="1" x="13009"/>
        <item h="1" x="13010"/>
        <item h="1" x="13011"/>
        <item h="1" x="13012"/>
        <item h="1" x="13013"/>
        <item h="1" x="13014"/>
        <item h="1" x="13015"/>
        <item h="1" x="13016"/>
        <item h="1" x="13017"/>
        <item h="1" x="13018"/>
        <item h="1" x="13019"/>
        <item h="1" x="13020"/>
        <item h="1" x="13021"/>
        <item h="1" x="13022"/>
        <item h="1" x="13023"/>
        <item h="1" x="13024"/>
        <item h="1" x="13025"/>
        <item h="1" x="13026"/>
        <item h="1" x="13027"/>
        <item h="1" x="13028"/>
        <item h="1" x="13029"/>
        <item h="1" x="13030"/>
        <item h="1" x="13031"/>
        <item h="1" x="13032"/>
        <item h="1" x="13033"/>
        <item h="1" x="13034"/>
        <item h="1" x="13035"/>
        <item h="1" x="13036"/>
        <item h="1" x="13037"/>
        <item h="1" x="13038"/>
        <item h="1" x="13039"/>
        <item h="1" x="13040"/>
        <item h="1" x="13041"/>
        <item h="1" x="13042"/>
        <item h="1" x="13043"/>
        <item h="1" x="13044"/>
        <item h="1" x="13045"/>
        <item h="1" x="13046"/>
        <item h="1" x="13047"/>
        <item h="1" x="13048"/>
        <item h="1" x="13049"/>
        <item h="1" x="13050"/>
        <item h="1" x="13051"/>
        <item h="1" x="13052"/>
        <item h="1" x="13053"/>
        <item h="1" x="13054"/>
        <item h="1" x="13055"/>
        <item h="1" x="13056"/>
        <item h="1" x="13057"/>
        <item h="1" x="13058"/>
        <item h="1" x="13059"/>
        <item h="1" x="13060"/>
        <item h="1" x="13061"/>
        <item h="1" x="13062"/>
        <item h="1" x="13063"/>
        <item h="1" x="13064"/>
        <item h="1" x="13065"/>
        <item h="1" x="13066"/>
        <item h="1" x="13067"/>
        <item h="1" x="13068"/>
        <item h="1" x="13069"/>
        <item h="1" x="13070"/>
        <item h="1" x="13071"/>
        <item h="1" x="13072"/>
        <item h="1" x="13073"/>
        <item h="1" x="13074"/>
        <item h="1" x="13075"/>
        <item h="1" x="13076"/>
        <item h="1" x="13077"/>
        <item h="1" x="13078"/>
        <item h="1" x="13079"/>
        <item h="1" x="13080"/>
        <item h="1" x="13081"/>
        <item h="1" x="13082"/>
        <item h="1" x="13083"/>
        <item h="1" x="13084"/>
        <item h="1" x="13085"/>
        <item h="1" x="13086"/>
        <item h="1" x="13087"/>
        <item h="1" x="13088"/>
        <item h="1" x="13089"/>
        <item h="1" x="13090"/>
        <item h="1" x="13091"/>
        <item h="1" x="13092"/>
        <item h="1" x="13093"/>
        <item h="1" x="13094"/>
        <item h="1" x="13095"/>
        <item h="1" x="13096"/>
        <item h="1" x="13097"/>
        <item h="1" x="13098"/>
        <item h="1" x="13099"/>
        <item h="1" x="13100"/>
        <item h="1" x="13101"/>
        <item h="1" x="13102"/>
        <item h="1" x="13103"/>
        <item h="1" x="13104"/>
        <item h="1" x="13105"/>
        <item h="1" x="13106"/>
        <item h="1" x="13107"/>
        <item h="1" x="13108"/>
        <item h="1" x="13109"/>
        <item h="1" x="13110"/>
        <item h="1" x="13111"/>
        <item h="1" x="13112"/>
        <item h="1" x="13113"/>
        <item h="1" x="13114"/>
        <item h="1" x="13115"/>
        <item h="1" x="13116"/>
        <item h="1" x="13117"/>
        <item h="1" x="13118"/>
        <item h="1" x="13119"/>
        <item h="1" x="13120"/>
        <item h="1" x="13121"/>
        <item h="1" x="13122"/>
        <item h="1" x="13123"/>
        <item h="1" x="13124"/>
        <item h="1" x="13125"/>
        <item h="1" x="13126"/>
        <item h="1" x="13127"/>
        <item h="1" x="13128"/>
        <item h="1" x="13129"/>
        <item h="1" x="13130"/>
        <item h="1" x="13131"/>
        <item h="1" x="13132"/>
        <item h="1" x="13133"/>
        <item h="1" x="13134"/>
        <item h="1" x="13135"/>
        <item h="1" x="13136"/>
        <item h="1" x="13137"/>
        <item h="1" x="13138"/>
        <item h="1" x="13139"/>
        <item h="1" x="13140"/>
        <item h="1" x="13141"/>
        <item h="1" x="13142"/>
        <item h="1" x="13143"/>
        <item h="1" x="13144"/>
        <item h="1" x="13145"/>
        <item h="1" x="13146"/>
        <item h="1" x="13147"/>
        <item h="1" x="13148"/>
        <item h="1" x="13149"/>
        <item h="1" x="13150"/>
        <item h="1" x="13151"/>
        <item h="1" x="13152"/>
        <item h="1" x="13153"/>
        <item h="1" x="13154"/>
        <item h="1" x="13155"/>
        <item h="1" x="13156"/>
        <item h="1" x="13157"/>
        <item h="1" x="13158"/>
        <item h="1" x="13159"/>
        <item h="1" x="13160"/>
        <item h="1" x="13161"/>
        <item h="1" x="13162"/>
        <item h="1" x="13163"/>
        <item h="1" x="13164"/>
        <item h="1" x="13165"/>
        <item h="1" x="13166"/>
        <item h="1" x="13167"/>
        <item h="1" x="13168"/>
        <item h="1" x="13169"/>
        <item h="1" x="13170"/>
        <item h="1" x="13171"/>
        <item h="1" x="13172"/>
        <item h="1" x="13173"/>
        <item h="1" x="13174"/>
        <item h="1" x="13175"/>
        <item h="1" x="13176"/>
        <item h="1" x="13177"/>
        <item h="1" x="13178"/>
        <item h="1" x="13179"/>
        <item h="1" x="13180"/>
        <item h="1" x="13181"/>
        <item h="1" x="13182"/>
        <item h="1" x="13183"/>
        <item h="1" x="13184"/>
        <item h="1" x="13185"/>
        <item h="1" x="13186"/>
        <item h="1" x="13187"/>
        <item h="1" x="13188"/>
        <item h="1" x="13189"/>
        <item h="1" x="13190"/>
        <item h="1" x="13191"/>
        <item h="1" x="13192"/>
        <item h="1" x="13193"/>
        <item h="1" x="13194"/>
        <item h="1" x="13195"/>
        <item h="1" x="13196"/>
        <item h="1" x="13197"/>
        <item h="1" x="13198"/>
        <item h="1" x="13199"/>
        <item h="1" x="13200"/>
        <item h="1" x="13201"/>
        <item h="1" x="13202"/>
        <item h="1" x="13203"/>
        <item h="1" x="13204"/>
        <item h="1" x="13205"/>
        <item h="1" x="13206"/>
        <item h="1" x="13207"/>
        <item h="1" x="13208"/>
        <item h="1" x="13209"/>
        <item h="1" x="13210"/>
        <item h="1" x="13211"/>
        <item h="1" x="13212"/>
        <item h="1" x="13213"/>
        <item h="1" x="13214"/>
        <item h="1" x="13215"/>
        <item h="1" x="13216"/>
        <item h="1" x="13217"/>
        <item h="1" x="13218"/>
        <item h="1" x="13219"/>
        <item h="1" x="13220"/>
        <item h="1" x="13221"/>
        <item h="1" x="13222"/>
        <item h="1" x="13223"/>
        <item h="1" x="13224"/>
        <item h="1" x="13225"/>
        <item h="1" x="13226"/>
        <item h="1" x="13227"/>
        <item h="1" x="13228"/>
        <item h="1" x="13229"/>
        <item h="1" x="13230"/>
        <item h="1" x="13231"/>
        <item h="1" x="13232"/>
        <item h="1" x="13233"/>
        <item h="1" x="13234"/>
        <item h="1" x="13235"/>
        <item h="1" x="13236"/>
        <item h="1" x="13237"/>
        <item h="1" x="13238"/>
        <item h="1" x="13239"/>
        <item h="1" x="13240"/>
        <item h="1" x="13241"/>
        <item h="1" x="13242"/>
        <item h="1" x="13243"/>
        <item h="1" x="13244"/>
        <item h="1" x="13245"/>
        <item h="1" x="13246"/>
        <item h="1" x="13247"/>
        <item h="1" x="13248"/>
        <item h="1" x="13249"/>
        <item h="1" x="13250"/>
        <item h="1" x="13251"/>
        <item h="1" x="13252"/>
        <item h="1" x="13253"/>
        <item h="1" x="13254"/>
        <item h="1" x="13255"/>
        <item h="1" x="13256"/>
        <item h="1" x="13257"/>
        <item h="1" x="13258"/>
        <item h="1" x="13259"/>
        <item h="1" x="13260"/>
        <item h="1" x="13261"/>
        <item h="1" x="13262"/>
        <item h="1" x="13263"/>
        <item h="1" x="13264"/>
        <item h="1" x="13265"/>
        <item h="1" x="13266"/>
        <item h="1" x="13267"/>
        <item h="1" x="13268"/>
        <item h="1" x="13269"/>
        <item h="1" x="13270"/>
        <item h="1" x="13271"/>
        <item h="1" x="13272"/>
        <item h="1" x="13273"/>
        <item h="1" x="13274"/>
        <item h="1" x="13275"/>
        <item h="1" x="13276"/>
        <item h="1" x="13277"/>
        <item h="1" x="13278"/>
        <item h="1" x="13279"/>
        <item h="1" x="13280"/>
        <item h="1" x="13281"/>
        <item h="1" x="13282"/>
        <item h="1" x="13283"/>
        <item h="1" x="13284"/>
        <item h="1" x="13285"/>
        <item h="1" x="13286"/>
        <item h="1" x="13287"/>
        <item h="1" x="13288"/>
        <item h="1" x="13289"/>
        <item h="1" x="13290"/>
        <item h="1" x="13291"/>
        <item h="1" x="13292"/>
        <item h="1" x="13293"/>
        <item h="1" x="13294"/>
        <item h="1" x="13295"/>
        <item h="1" x="13296"/>
        <item h="1" x="13297"/>
        <item h="1" x="13298"/>
        <item h="1" x="13299"/>
        <item h="1" x="13300"/>
        <item h="1" x="13301"/>
        <item h="1" x="13302"/>
        <item h="1" x="13303"/>
        <item h="1" x="13304"/>
        <item h="1" x="13305"/>
        <item h="1" x="13306"/>
        <item h="1" x="13307"/>
        <item h="1" x="13308"/>
        <item h="1" x="13309"/>
        <item h="1" x="13310"/>
        <item h="1" x="13311"/>
        <item h="1" x="13312"/>
        <item h="1" x="13313"/>
        <item h="1" x="13314"/>
        <item h="1" x="13315"/>
        <item h="1" x="13316"/>
        <item h="1" x="13317"/>
        <item h="1" x="13318"/>
        <item h="1" x="13319"/>
        <item h="1" x="13320"/>
        <item h="1" x="13321"/>
        <item h="1" x="13322"/>
        <item h="1" x="13323"/>
        <item h="1" x="13324"/>
        <item h="1" x="13325"/>
        <item h="1" x="13326"/>
        <item h="1" x="13327"/>
        <item h="1" x="13328"/>
        <item h="1" x="13329"/>
        <item h="1" x="13330"/>
        <item h="1" x="13331"/>
        <item h="1" x="13332"/>
        <item h="1" x="13333"/>
        <item h="1" x="13334"/>
        <item h="1" x="13335"/>
        <item h="1" x="13336"/>
        <item h="1" x="13337"/>
        <item h="1" x="13338"/>
        <item h="1" x="13339"/>
        <item h="1" x="13340"/>
        <item h="1" x="13341"/>
        <item h="1" x="13342"/>
        <item h="1" x="13343"/>
        <item h="1" x="13344"/>
        <item h="1" x="13345"/>
        <item h="1" x="13346"/>
        <item h="1" x="13347"/>
        <item h="1" x="13348"/>
        <item h="1" x="13349"/>
        <item h="1" x="13350"/>
        <item h="1" x="13351"/>
        <item h="1" x="13352"/>
        <item h="1" x="13353"/>
        <item h="1" x="13354"/>
        <item h="1" x="13355"/>
        <item h="1" x="13356"/>
        <item h="1" x="13357"/>
        <item h="1" x="13358"/>
        <item h="1" x="13359"/>
        <item h="1" x="13360"/>
        <item h="1" x="13361"/>
        <item h="1" x="13362"/>
        <item h="1" x="13363"/>
        <item h="1" x="13364"/>
        <item h="1" x="13365"/>
        <item h="1" x="13366"/>
        <item h="1" x="13367"/>
        <item h="1" x="13368"/>
        <item h="1" x="13369"/>
        <item h="1" x="13370"/>
        <item h="1" x="13371"/>
        <item h="1" x="13372"/>
        <item h="1" x="13373"/>
        <item h="1" x="13374"/>
        <item h="1" x="13375"/>
        <item h="1" x="13376"/>
        <item h="1" x="13377"/>
        <item h="1" x="13378"/>
        <item h="1" x="13379"/>
        <item h="1" x="13380"/>
        <item h="1" x="13381"/>
        <item h="1" x="13382"/>
        <item h="1" x="13383"/>
        <item h="1" x="13384"/>
        <item h="1" x="13385"/>
        <item h="1" x="13386"/>
        <item h="1" x="13387"/>
        <item h="1" x="13388"/>
        <item h="1" x="13389"/>
        <item h="1" x="13390"/>
        <item h="1" x="13391"/>
        <item h="1" x="13392"/>
        <item h="1" x="13393"/>
        <item h="1" x="13394"/>
        <item h="1" x="13395"/>
        <item h="1" x="13396"/>
        <item h="1" x="13397"/>
        <item h="1" x="13398"/>
        <item h="1" x="13399"/>
        <item h="1" x="13400"/>
        <item h="1" x="13401"/>
        <item h="1" x="13402"/>
        <item h="1" x="13403"/>
        <item h="1" x="13404"/>
        <item h="1" x="13405"/>
        <item h="1" x="13406"/>
        <item h="1" x="13407"/>
        <item h="1" x="13408"/>
        <item h="1" x="13409"/>
        <item h="1" x="13410"/>
        <item h="1" x="13411"/>
        <item h="1" x="13412"/>
        <item h="1" x="13413"/>
        <item h="1" x="13414"/>
        <item h="1" x="13415"/>
        <item h="1" x="13416"/>
        <item h="1" x="13417"/>
        <item h="1" x="13418"/>
        <item h="1" x="13419"/>
        <item h="1" x="13420"/>
        <item h="1" x="13421"/>
        <item h="1" x="13422"/>
        <item h="1" x="13423"/>
        <item h="1" x="13424"/>
        <item h="1" x="13425"/>
        <item h="1" x="13426"/>
        <item h="1" x="13427"/>
        <item h="1" x="13428"/>
        <item h="1" x="13429"/>
        <item h="1" x="13430"/>
        <item h="1" x="13431"/>
        <item h="1" x="13432"/>
        <item h="1" x="13433"/>
        <item h="1" x="13434"/>
        <item h="1" x="13435"/>
        <item h="1" x="13436"/>
        <item h="1" x="13437"/>
        <item h="1" x="13438"/>
        <item h="1" x="13439"/>
        <item h="1" x="13440"/>
        <item h="1" x="13441"/>
        <item h="1" x="13442"/>
        <item h="1" x="13443"/>
        <item h="1" x="13444"/>
        <item h="1" x="13445"/>
        <item h="1" x="13446"/>
        <item h="1" x="13447"/>
        <item h="1" x="13448"/>
        <item h="1" x="13449"/>
        <item h="1" x="13450"/>
        <item h="1" x="13451"/>
        <item h="1" x="13452"/>
        <item h="1" x="13453"/>
        <item h="1" x="13454"/>
        <item h="1" x="13455"/>
        <item h="1" x="13456"/>
        <item h="1" x="13457"/>
        <item h="1" x="13458"/>
        <item h="1" x="13459"/>
        <item h="1" x="13460"/>
        <item h="1" x="13461"/>
        <item h="1" x="13462"/>
        <item h="1" x="13463"/>
        <item h="1" x="13464"/>
        <item h="1" x="13465"/>
        <item h="1" x="13466"/>
        <item h="1" x="13467"/>
        <item h="1" x="13468"/>
        <item h="1" x="13469"/>
        <item h="1" x="13470"/>
        <item h="1" x="13471"/>
        <item h="1" x="13472"/>
        <item h="1" x="13473"/>
        <item h="1" x="13474"/>
        <item h="1" x="13475"/>
        <item h="1" x="13476"/>
        <item h="1" x="13477"/>
        <item h="1" x="13478"/>
        <item h="1" x="13479"/>
        <item h="1" x="13480"/>
        <item h="1" x="13481"/>
        <item h="1" x="13482"/>
        <item h="1" x="13483"/>
        <item h="1" x="13484"/>
        <item h="1" x="13485"/>
        <item h="1" x="13486"/>
        <item h="1" x="13487"/>
        <item h="1" x="13488"/>
        <item h="1" x="13489"/>
        <item h="1" x="13490"/>
        <item h="1" x="13491"/>
        <item h="1" x="13492"/>
        <item h="1" x="13493"/>
        <item h="1" x="13494"/>
        <item h="1" x="13495"/>
        <item h="1" x="13496"/>
        <item h="1" x="13497"/>
        <item h="1" x="13498"/>
        <item h="1" x="13499"/>
        <item h="1" x="13500"/>
        <item h="1" x="13501"/>
        <item h="1" x="13502"/>
        <item h="1" x="13503"/>
        <item h="1" x="13504"/>
        <item h="1" x="13505"/>
        <item h="1" x="13506"/>
        <item h="1" x="13507"/>
        <item h="1" x="13508"/>
        <item h="1" x="13509"/>
        <item h="1" x="13510"/>
        <item h="1" x="13511"/>
        <item h="1" x="13512"/>
        <item h="1" x="13513"/>
        <item h="1" x="13514"/>
        <item h="1" x="13515"/>
        <item h="1" x="13516"/>
        <item h="1" x="13517"/>
        <item h="1" x="13518"/>
        <item h="1" x="13519"/>
        <item h="1" x="13520"/>
        <item h="1" x="13521"/>
        <item h="1" x="13522"/>
        <item h="1" x="13523"/>
        <item h="1" x="13524"/>
        <item h="1" x="13525"/>
        <item h="1" x="13526"/>
        <item h="1" x="13527"/>
        <item h="1" x="13528"/>
        <item h="1" x="13529"/>
        <item h="1" x="13530"/>
        <item h="1" x="13531"/>
        <item h="1" x="13532"/>
        <item h="1" x="13533"/>
        <item h="1" x="13534"/>
        <item h="1" x="13535"/>
        <item h="1" x="13536"/>
        <item h="1" x="13537"/>
        <item h="1" x="13538"/>
        <item h="1" x="13539"/>
        <item h="1" x="13540"/>
        <item h="1" x="13541"/>
        <item h="1" x="13542"/>
        <item h="1" x="13543"/>
        <item h="1" x="13544"/>
        <item h="1" x="13545"/>
        <item h="1" x="13546"/>
        <item h="1" x="13547"/>
        <item h="1" x="13548"/>
        <item h="1" x="13549"/>
        <item h="1" x="13550"/>
        <item h="1" x="13551"/>
        <item h="1" x="13552"/>
        <item h="1" x="13553"/>
        <item h="1" x="13554"/>
        <item h="1" x="13555"/>
        <item h="1" x="13556"/>
        <item h="1" x="13557"/>
        <item h="1" x="13558"/>
        <item h="1" x="13559"/>
        <item h="1" x="13560"/>
        <item h="1" x="13561"/>
        <item h="1" x="13562"/>
        <item h="1" x="13563"/>
        <item h="1" x="13564"/>
        <item h="1" x="13565"/>
        <item h="1" x="13566"/>
        <item h="1" x="13567"/>
        <item h="1" x="13568"/>
        <item h="1" x="13569"/>
        <item h="1" x="13570"/>
        <item h="1" x="13571"/>
        <item h="1" x="13572"/>
        <item h="1" x="13573"/>
        <item h="1" x="13574"/>
        <item h="1" x="13575"/>
        <item h="1" x="13576"/>
        <item h="1" x="13577"/>
        <item h="1" x="13578"/>
        <item h="1" x="13579"/>
        <item h="1" x="13580"/>
        <item h="1" x="13581"/>
        <item h="1" x="13582"/>
        <item h="1" x="13583"/>
        <item h="1" x="13584"/>
        <item h="1" x="13585"/>
        <item h="1" x="13586"/>
        <item h="1" x="13587"/>
        <item h="1" x="13588"/>
        <item h="1" x="13589"/>
        <item h="1" x="13590"/>
        <item h="1" x="13591"/>
        <item h="1" x="13592"/>
        <item h="1" x="13593"/>
        <item h="1" x="13594"/>
        <item h="1" x="13595"/>
        <item h="1" x="13596"/>
        <item h="1" x="13597"/>
        <item h="1" x="13598"/>
        <item h="1" x="13599"/>
        <item h="1" x="13600"/>
        <item h="1" x="13601"/>
        <item h="1" x="13602"/>
        <item h="1" x="13603"/>
        <item h="1" x="13604"/>
        <item h="1" x="13605"/>
        <item h="1" x="13606"/>
        <item h="1" x="13607"/>
        <item h="1" x="13608"/>
        <item h="1" x="13609"/>
        <item h="1" x="13610"/>
        <item h="1" x="13611"/>
        <item h="1" x="13612"/>
        <item h="1" x="13613"/>
        <item h="1" x="13614"/>
        <item h="1" x="13615"/>
        <item h="1" x="13616"/>
        <item h="1" x="13617"/>
        <item h="1" x="13618"/>
        <item h="1" x="13619"/>
        <item h="1" x="13620"/>
        <item h="1" x="13621"/>
        <item h="1" x="13622"/>
        <item h="1" x="13623"/>
        <item h="1" x="13624"/>
        <item h="1" x="13625"/>
        <item h="1" x="13626"/>
        <item h="1" x="13627"/>
        <item h="1" x="13628"/>
        <item h="1" x="13629"/>
        <item h="1" x="13630"/>
        <item h="1" x="13631"/>
        <item h="1" x="13632"/>
        <item h="1" x="13633"/>
        <item h="1" x="13634"/>
        <item h="1" x="13635"/>
        <item h="1" x="13636"/>
        <item h="1" x="13637"/>
        <item h="1" x="13638"/>
        <item h="1" x="13639"/>
        <item h="1" x="13640"/>
        <item h="1" x="13641"/>
        <item h="1" x="13642"/>
        <item h="1" x="13643"/>
        <item h="1" x="13644"/>
        <item h="1" x="13645"/>
        <item h="1" x="13646"/>
        <item h="1" x="13647"/>
        <item h="1" x="13648"/>
        <item h="1" x="13649"/>
        <item h="1" x="13650"/>
        <item h="1" x="13651"/>
        <item h="1" x="13652"/>
        <item h="1" x="13653"/>
        <item h="1" x="13654"/>
        <item h="1" x="13655"/>
        <item h="1" x="13656"/>
        <item h="1" x="13657"/>
        <item h="1" x="13658"/>
        <item h="1" x="13659"/>
        <item h="1" x="13660"/>
        <item h="1" x="13661"/>
        <item h="1" x="13662"/>
        <item h="1" x="13663"/>
        <item h="1" x="13664"/>
        <item h="1" x="13665"/>
        <item h="1" x="13666"/>
        <item h="1" x="13667"/>
        <item h="1" x="13668"/>
        <item h="1" x="13669"/>
        <item h="1" x="13670"/>
        <item h="1" x="13671"/>
        <item h="1" x="13672"/>
        <item h="1" x="13673"/>
        <item h="1" x="13674"/>
        <item h="1" x="13675"/>
        <item h="1" x="13676"/>
        <item h="1" x="13677"/>
        <item h="1" x="13678"/>
        <item h="1" x="13679"/>
        <item h="1" x="13680"/>
        <item h="1" x="13681"/>
        <item h="1" x="13682"/>
        <item h="1" x="13683"/>
        <item h="1" x="13684"/>
        <item h="1" x="13685"/>
        <item h="1" x="13686"/>
        <item h="1" x="13687"/>
        <item h="1" x="13688"/>
        <item h="1" x="13689"/>
        <item h="1" x="13690"/>
        <item h="1" x="13691"/>
        <item h="1" x="13692"/>
        <item h="1" x="13693"/>
        <item h="1" x="13694"/>
        <item h="1" x="13695"/>
        <item h="1" x="13696"/>
        <item h="1" x="13697"/>
        <item h="1" x="13698"/>
        <item h="1" x="13699"/>
        <item h="1" x="13700"/>
        <item h="1" x="13701"/>
        <item h="1" x="13702"/>
        <item h="1" x="13703"/>
        <item h="1" x="13704"/>
        <item h="1" x="13705"/>
        <item h="1" x="13706"/>
        <item h="1" x="13707"/>
        <item h="1" x="13708"/>
        <item h="1" x="13709"/>
        <item h="1" x="13710"/>
        <item h="1" x="13711"/>
        <item h="1" x="13712"/>
        <item h="1" x="13713"/>
        <item h="1" x="13714"/>
        <item h="1" x="13715"/>
        <item h="1" x="13716"/>
        <item h="1" x="13717"/>
        <item h="1" x="13718"/>
        <item h="1" x="13719"/>
        <item h="1" x="13720"/>
        <item h="1" x="13721"/>
        <item h="1" x="13722"/>
        <item h="1" x="13723"/>
        <item h="1" x="13724"/>
        <item h="1" x="13725"/>
        <item h="1" x="13726"/>
        <item h="1" x="13727"/>
        <item h="1" x="13728"/>
        <item h="1" x="13729"/>
        <item h="1" x="13730"/>
        <item h="1" x="13731"/>
        <item h="1" x="13732"/>
        <item h="1" x="13733"/>
        <item h="1" x="13734"/>
        <item h="1" x="13735"/>
        <item h="1" x="13736"/>
        <item h="1" x="13737"/>
        <item h="1" x="13738"/>
        <item h="1" x="13739"/>
        <item h="1" x="13740"/>
        <item h="1" x="13741"/>
        <item h="1" x="13742"/>
        <item h="1" x="13743"/>
        <item h="1" x="13744"/>
        <item h="1" x="13745"/>
        <item h="1" x="13746"/>
        <item h="1" x="13747"/>
        <item h="1" x="13748"/>
        <item h="1" x="13749"/>
        <item h="1" x="13750"/>
        <item h="1" x="13751"/>
        <item h="1" x="13752"/>
        <item h="1" x="13753"/>
        <item h="1" x="13754"/>
        <item h="1" x="13755"/>
        <item h="1" x="13756"/>
        <item h="1" x="13757"/>
        <item h="1" x="13758"/>
        <item h="1" x="13759"/>
        <item h="1" x="13760"/>
        <item h="1" x="13761"/>
        <item h="1" x="13762"/>
        <item h="1" x="13763"/>
        <item h="1" x="13764"/>
        <item h="1" x="13765"/>
        <item h="1" x="13766"/>
        <item h="1" x="13767"/>
        <item h="1" x="13768"/>
        <item h="1" x="13769"/>
        <item h="1" x="13770"/>
        <item h="1" x="13771"/>
        <item h="1" x="13772"/>
        <item h="1" x="13773"/>
        <item h="1" x="13774"/>
        <item h="1" x="13775"/>
        <item h="1" x="13776"/>
        <item h="1" x="13777"/>
        <item h="1" x="13778"/>
        <item h="1" x="13779"/>
        <item h="1" x="13780"/>
        <item h="1" x="13781"/>
        <item h="1" x="13782"/>
        <item h="1" x="13783"/>
        <item h="1" x="13784"/>
        <item h="1" x="13785"/>
        <item h="1" x="13786"/>
        <item h="1" x="13787"/>
        <item h="1" x="13788"/>
        <item h="1" x="13789"/>
        <item h="1" x="13790"/>
        <item h="1" x="13791"/>
        <item h="1" x="13792"/>
        <item h="1" x="13793"/>
        <item h="1" x="13794"/>
        <item h="1" x="13795"/>
        <item h="1" x="13796"/>
        <item h="1" x="13797"/>
        <item h="1" x="13798"/>
        <item h="1" x="13799"/>
        <item h="1" x="13800"/>
        <item h="1" x="13801"/>
        <item h="1" x="13802"/>
        <item h="1" x="13803"/>
        <item h="1" x="13804"/>
        <item h="1" x="13805"/>
        <item h="1" x="13806"/>
        <item h="1" x="13807"/>
        <item h="1" x="13808"/>
        <item h="1" x="13809"/>
        <item h="1" x="13810"/>
        <item h="1" x="13811"/>
        <item h="1" x="13812"/>
        <item h="1" x="13813"/>
        <item h="1" x="13814"/>
        <item h="1" x="13815"/>
        <item h="1" x="13816"/>
        <item h="1" x="13817"/>
        <item h="1" x="13818"/>
        <item h="1" x="13819"/>
        <item h="1" x="13820"/>
        <item h="1" x="13821"/>
        <item h="1" x="13822"/>
        <item h="1" x="13823"/>
        <item h="1" x="13824"/>
        <item h="1" x="13825"/>
        <item h="1" x="13826"/>
        <item h="1" x="13827"/>
        <item h="1" x="13828"/>
        <item h="1" x="13829"/>
        <item h="1" x="13830"/>
        <item h="1" x="13831"/>
        <item h="1" x="13832"/>
        <item h="1" x="13833"/>
        <item h="1" x="13834"/>
        <item h="1" x="13835"/>
        <item h="1" x="13836"/>
        <item h="1" x="13837"/>
        <item h="1" x="13838"/>
        <item h="1" x="13839"/>
        <item h="1" x="13840"/>
        <item h="1" x="13841"/>
        <item h="1" x="13842"/>
        <item h="1" x="13843"/>
        <item h="1" x="13844"/>
        <item h="1" x="13845"/>
        <item h="1" x="13846"/>
        <item h="1" x="13847"/>
        <item h="1" x="13848"/>
        <item h="1" x="13849"/>
        <item h="1" x="13850"/>
        <item h="1" x="13851"/>
        <item h="1" x="13852"/>
        <item h="1" x="13853"/>
        <item h="1" x="13854"/>
        <item h="1" x="13855"/>
        <item h="1" x="13856"/>
        <item h="1" x="13857"/>
        <item h="1" x="13858"/>
        <item h="1" x="13859"/>
        <item h="1" x="13860"/>
        <item h="1" x="13861"/>
        <item h="1" x="13862"/>
        <item h="1" x="13863"/>
        <item h="1" x="13864"/>
        <item h="1" x="13865"/>
        <item h="1" x="13866"/>
        <item h="1" x="13867"/>
        <item h="1" x="13868"/>
        <item h="1" x="13869"/>
        <item h="1" x="13870"/>
        <item h="1" x="13871"/>
        <item h="1" x="13872"/>
        <item h="1" x="13873"/>
        <item h="1" x="13874"/>
        <item h="1" x="13875"/>
        <item h="1" x="13876"/>
        <item h="1" x="13877"/>
        <item h="1" x="13878"/>
        <item h="1" x="13879"/>
        <item h="1" x="13880"/>
        <item h="1" x="13881"/>
        <item h="1" x="13882"/>
        <item h="1" x="13883"/>
        <item h="1" x="13884"/>
        <item h="1" x="13885"/>
        <item h="1" x="13886"/>
        <item h="1" x="13887"/>
        <item h="1" x="13888"/>
        <item h="1" x="13889"/>
        <item h="1" x="13890"/>
        <item h="1" x="13891"/>
        <item h="1" x="13892"/>
        <item h="1" x="13893"/>
        <item h="1" x="13894"/>
        <item h="1" x="13895"/>
        <item h="1" x="13896"/>
        <item h="1" x="13897"/>
        <item h="1" x="13898"/>
        <item h="1" x="13899"/>
        <item h="1" x="13900"/>
        <item h="1" x="13901"/>
        <item h="1" x="13902"/>
        <item h="1" x="13903"/>
        <item h="1" x="13904"/>
        <item h="1" x="13905"/>
        <item h="1" x="13906"/>
        <item h="1" x="13907"/>
        <item h="1" x="13908"/>
        <item h="1" x="13909"/>
        <item h="1" x="13910"/>
        <item h="1" x="13911"/>
        <item h="1" x="13912"/>
        <item h="1" x="13913"/>
        <item h="1" x="13914"/>
        <item h="1" x="13915"/>
        <item h="1" x="13916"/>
        <item h="1" x="13917"/>
        <item h="1" x="13918"/>
        <item h="1" x="13919"/>
        <item h="1" x="13920"/>
        <item h="1" x="13921"/>
        <item h="1" x="13922"/>
        <item h="1" x="13923"/>
        <item h="1" x="13924"/>
        <item h="1" x="13925"/>
        <item h="1" x="13926"/>
        <item h="1" x="13927"/>
        <item h="1" x="13928"/>
        <item h="1" x="13929"/>
        <item h="1" x="13930"/>
        <item h="1" x="13931"/>
        <item h="1" x="13932"/>
        <item h="1" x="13933"/>
        <item h="1" x="13934"/>
        <item h="1" x="13935"/>
        <item h="1" x="13936"/>
        <item h="1" x="13937"/>
        <item h="1" x="13938"/>
        <item h="1" x="13939"/>
        <item h="1" x="13940"/>
        <item h="1" x="13941"/>
        <item h="1" x="13942"/>
        <item h="1" x="13943"/>
        <item h="1" x="13944"/>
        <item h="1" x="13945"/>
        <item h="1" x="13946"/>
        <item h="1" x="13947"/>
        <item h="1" x="13948"/>
        <item h="1" x="13949"/>
        <item h="1" x="13950"/>
        <item h="1" x="13951"/>
        <item h="1" x="13952"/>
        <item h="1" x="13953"/>
        <item h="1" x="13954"/>
        <item h="1" x="13955"/>
        <item h="1" x="13956"/>
        <item h="1" x="13957"/>
        <item h="1" x="13958"/>
        <item h="1" x="13959"/>
        <item h="1" x="13960"/>
        <item h="1" x="13961"/>
        <item h="1" x="13962"/>
        <item h="1" x="13963"/>
        <item h="1" x="13964"/>
        <item h="1" x="13965"/>
        <item h="1" x="13966"/>
        <item h="1" x="13967"/>
        <item h="1" x="13968"/>
        <item h="1" x="13969"/>
        <item h="1" x="13970"/>
        <item h="1" x="13971"/>
        <item h="1" x="13972"/>
        <item h="1" x="13973"/>
        <item h="1" x="13974"/>
        <item h="1" x="13975"/>
        <item h="1" x="13976"/>
        <item h="1" x="13977"/>
        <item h="1" x="13978"/>
        <item h="1" x="13979"/>
        <item h="1" x="13980"/>
        <item h="1" x="13981"/>
        <item h="1" x="13982"/>
        <item h="1" x="13983"/>
        <item h="1" x="13984"/>
        <item h="1" x="13985"/>
        <item h="1" x="13986"/>
        <item h="1" x="13987"/>
        <item h="1" x="13988"/>
        <item h="1" x="13989"/>
        <item h="1" x="13990"/>
        <item h="1" x="13991"/>
        <item h="1" x="13992"/>
        <item h="1" x="13993"/>
        <item h="1" x="13994"/>
        <item h="1" x="13995"/>
        <item h="1" x="13996"/>
        <item h="1" x="13997"/>
        <item h="1" x="13998"/>
        <item h="1" x="13999"/>
        <item h="1" x="14000"/>
        <item h="1" x="14001"/>
        <item h="1" x="14002"/>
        <item h="1" x="14003"/>
        <item h="1" x="14004"/>
        <item h="1" x="14005"/>
        <item h="1" x="14006"/>
        <item h="1" x="14007"/>
        <item h="1" x="14008"/>
        <item h="1" x="14009"/>
        <item h="1" x="14010"/>
        <item h="1" x="14011"/>
        <item h="1" x="14012"/>
        <item h="1" x="14013"/>
        <item h="1" x="14014"/>
        <item h="1" x="14015"/>
        <item h="1" x="14016"/>
        <item h="1" x="14017"/>
        <item h="1" x="14018"/>
        <item h="1" x="14019"/>
        <item h="1" x="14020"/>
        <item h="1" x="14021"/>
        <item h="1" x="14022"/>
        <item h="1" x="14023"/>
        <item h="1" x="14024"/>
        <item h="1" x="14025"/>
        <item h="1" x="14026"/>
        <item h="1" x="14027"/>
        <item h="1" x="14028"/>
        <item h="1" x="14029"/>
        <item h="1" x="14030"/>
        <item h="1" x="14031"/>
        <item h="1" x="14032"/>
        <item h="1" x="14033"/>
        <item h="1" x="14034"/>
        <item h="1" x="14035"/>
        <item h="1" x="14036"/>
        <item h="1" x="14037"/>
        <item h="1" x="14038"/>
        <item h="1" x="14039"/>
        <item h="1" x="14040"/>
        <item h="1" x="14041"/>
        <item h="1" x="14042"/>
        <item h="1" x="14043"/>
        <item h="1" x="14044"/>
        <item h="1" x="14045"/>
        <item h="1" x="14046"/>
        <item h="1" x="14047"/>
        <item h="1" x="14048"/>
        <item h="1" x="14049"/>
        <item h="1" x="14050"/>
        <item h="1" x="14051"/>
        <item h="1" x="14052"/>
        <item h="1" x="14053"/>
        <item h="1" x="14054"/>
        <item h="1" x="14055"/>
        <item h="1" x="14056"/>
        <item h="1" x="14057"/>
        <item h="1" x="14058"/>
        <item h="1" x="14059"/>
        <item h="1" x="14060"/>
        <item h="1" x="14061"/>
        <item h="1" x="14062"/>
        <item h="1" x="14063"/>
        <item h="1" x="14064"/>
        <item h="1" x="14065"/>
        <item h="1" x="14066"/>
        <item h="1" x="14067"/>
        <item h="1" x="14068"/>
        <item h="1" x="14069"/>
        <item h="1" x="14070"/>
        <item h="1" x="14071"/>
        <item h="1" x="14072"/>
        <item h="1" x="14073"/>
        <item h="1" x="14074"/>
        <item h="1" x="14075"/>
        <item h="1" x="14076"/>
        <item h="1" x="14077"/>
        <item h="1" x="14078"/>
        <item h="1" x="14079"/>
        <item h="1" x="14080"/>
        <item h="1" x="14081"/>
        <item h="1" x="14082"/>
        <item h="1" x="14083"/>
        <item h="1" x="14084"/>
        <item h="1" x="14085"/>
        <item h="1" x="14086"/>
        <item h="1" x="14087"/>
        <item h="1" x="14088"/>
        <item h="1" x="14089"/>
        <item h="1" x="14090"/>
        <item h="1" x="14091"/>
        <item h="1" x="14092"/>
        <item h="1" x="14093"/>
        <item h="1" x="14094"/>
        <item h="1" x="14095"/>
        <item h="1" x="14096"/>
        <item h="1" x="14097"/>
        <item h="1" x="14098"/>
        <item h="1" x="14099"/>
        <item h="1" x="14100"/>
        <item h="1" x="14101"/>
        <item h="1" x="14102"/>
        <item h="1" x="14103"/>
        <item h="1" x="14104"/>
        <item h="1" x="14105"/>
        <item h="1" x="14106"/>
        <item h="1" x="14107"/>
        <item h="1" x="14108"/>
        <item h="1" x="14109"/>
        <item h="1" x="14110"/>
        <item h="1" x="14111"/>
        <item h="1" x="14112"/>
        <item h="1" x="14113"/>
        <item h="1" x="14114"/>
        <item h="1" x="14115"/>
        <item h="1" x="14116"/>
        <item h="1" x="14117"/>
        <item h="1" x="14118"/>
        <item h="1" x="14119"/>
        <item h="1" x="14120"/>
        <item h="1" x="14121"/>
        <item h="1" x="14122"/>
        <item h="1" x="14123"/>
        <item h="1" x="14124"/>
        <item h="1" x="14125"/>
        <item h="1" x="14126"/>
        <item h="1" x="14127"/>
        <item h="1" x="14128"/>
        <item h="1" x="14129"/>
        <item h="1" x="14130"/>
        <item h="1" x="14131"/>
        <item h="1" x="14132"/>
        <item h="1" x="14133"/>
        <item h="1" x="14134"/>
        <item h="1" x="14135"/>
        <item h="1" x="14136"/>
        <item h="1" x="14137"/>
        <item h="1" x="14138"/>
        <item h="1" x="14139"/>
        <item h="1" x="14140"/>
        <item h="1" x="14141"/>
        <item h="1" x="14142"/>
        <item h="1" x="14143"/>
        <item h="1" x="14144"/>
        <item h="1" x="14145"/>
        <item h="1" x="14146"/>
        <item h="1" x="14147"/>
        <item h="1" x="14148"/>
        <item h="1" x="14149"/>
        <item h="1" x="14150"/>
        <item h="1" x="14151"/>
        <item h="1" x="14152"/>
        <item h="1" x="14153"/>
        <item h="1" x="14154"/>
        <item h="1" x="14155"/>
        <item h="1" x="14156"/>
        <item h="1" x="14157"/>
        <item h="1" x="14158"/>
        <item h="1" x="14159"/>
        <item h="1" x="14160"/>
        <item h="1" x="14161"/>
        <item h="1" x="14162"/>
        <item h="1" x="14163"/>
        <item h="1" x="14164"/>
        <item h="1" x="14165"/>
        <item h="1" x="14166"/>
        <item h="1" x="14167"/>
        <item h="1" x="14168"/>
        <item h="1" x="14169"/>
        <item h="1" x="14170"/>
        <item h="1" x="14171"/>
        <item h="1" x="14172"/>
        <item h="1" x="14173"/>
        <item h="1" x="14174"/>
        <item h="1" x="14175"/>
        <item h="1" x="14176"/>
        <item h="1" x="14177"/>
        <item h="1" x="14178"/>
        <item h="1" x="14179"/>
        <item h="1" x="14180"/>
        <item h="1" x="14181"/>
        <item h="1" x="14182"/>
        <item h="1" x="14183"/>
        <item h="1" x="14184"/>
        <item h="1" x="14185"/>
        <item h="1" x="14186"/>
        <item h="1" x="14187"/>
        <item h="1" x="14188"/>
        <item h="1" x="14189"/>
        <item h="1" x="14190"/>
        <item h="1" x="14191"/>
        <item h="1" x="14192"/>
        <item h="1" x="14193"/>
        <item h="1" x="14194"/>
        <item h="1" x="14195"/>
        <item h="1" x="14196"/>
        <item h="1" x="14197"/>
        <item h="1" x="14198"/>
        <item h="1" x="14199"/>
        <item h="1" x="14200"/>
        <item h="1" x="14201"/>
        <item h="1" x="14202"/>
        <item h="1" x="14203"/>
        <item h="1" x="14204"/>
        <item h="1" x="14205"/>
        <item h="1" x="14206"/>
        <item h="1" x="14207"/>
        <item h="1" x="14208"/>
        <item h="1" x="14209"/>
        <item h="1" x="14210"/>
        <item h="1" x="14211"/>
        <item h="1" x="14212"/>
        <item h="1" x="14213"/>
        <item h="1" x="14214"/>
        <item h="1" x="14215"/>
        <item h="1" x="14216"/>
        <item h="1" x="14217"/>
        <item h="1" x="14218"/>
        <item h="1" x="14219"/>
        <item h="1" x="14220"/>
        <item h="1" x="14221"/>
        <item h="1" x="14222"/>
        <item h="1" x="14223"/>
        <item h="1" x="14224"/>
        <item h="1" x="14225"/>
        <item h="1" x="14226"/>
        <item h="1" x="14227"/>
        <item h="1" x="14228"/>
        <item h="1" x="14229"/>
        <item h="1" x="14230"/>
        <item h="1" x="14231"/>
        <item h="1" x="14232"/>
        <item h="1" x="14233"/>
        <item h="1" x="14234"/>
        <item h="1" x="14235"/>
        <item h="1" x="14236"/>
        <item h="1" x="14237"/>
        <item h="1" x="14238"/>
        <item h="1" x="14239"/>
        <item h="1" x="14240"/>
        <item h="1" x="14241"/>
        <item h="1" x="14242"/>
        <item h="1" x="14243"/>
        <item h="1" x="14244"/>
        <item h="1" x="14245"/>
        <item h="1" x="14246"/>
        <item h="1" x="14247"/>
        <item h="1" x="14248"/>
        <item h="1" x="14249"/>
        <item h="1" x="14250"/>
        <item h="1" x="14251"/>
        <item h="1" x="14252"/>
        <item h="1" x="14253"/>
        <item h="1" x="14254"/>
        <item h="1" x="14255"/>
        <item h="1" x="14256"/>
        <item h="1" x="14257"/>
        <item h="1" x="14258"/>
        <item h="1" x="14259"/>
        <item h="1" x="14260"/>
        <item h="1" x="14261"/>
        <item h="1" x="14262"/>
        <item h="1" x="14263"/>
        <item h="1" x="14264"/>
        <item h="1" x="14265"/>
        <item h="1" x="14266"/>
        <item h="1" x="14267"/>
        <item h="1" x="14268"/>
        <item h="1" x="14269"/>
        <item h="1" x="14270"/>
        <item h="1" x="14271"/>
        <item h="1" x="14272"/>
        <item h="1" x="14273"/>
        <item h="1" x="14274"/>
        <item h="1" x="14275"/>
        <item h="1" x="14276"/>
        <item h="1" x="14277"/>
        <item h="1" x="14278"/>
        <item h="1" x="14279"/>
        <item h="1" x="14280"/>
        <item h="1" x="14281"/>
        <item h="1" x="14282"/>
        <item h="1" x="14283"/>
        <item h="1" x="14284"/>
        <item h="1" x="14285"/>
        <item h="1" x="14286"/>
        <item h="1" x="14287"/>
        <item h="1" x="14288"/>
        <item h="1" x="14289"/>
        <item h="1" x="14290"/>
        <item h="1" x="14291"/>
        <item h="1" x="14292"/>
        <item h="1" x="14293"/>
        <item h="1" x="14294"/>
        <item h="1" x="14295"/>
        <item h="1" x="14296"/>
        <item h="1" x="14297"/>
        <item h="1" x="14298"/>
        <item h="1" x="14299"/>
        <item h="1" x="14300"/>
        <item h="1" x="14301"/>
        <item h="1" x="14302"/>
        <item h="1" x="14303"/>
        <item h="1" x="14304"/>
        <item h="1" x="14305"/>
        <item h="1" x="14306"/>
        <item h="1" x="14307"/>
        <item h="1" x="14308"/>
        <item h="1" x="14309"/>
        <item h="1" x="14310"/>
        <item h="1" x="14311"/>
        <item h="1" x="14312"/>
        <item h="1" x="14313"/>
        <item h="1" x="14314"/>
        <item h="1" x="14315"/>
        <item h="1" x="14316"/>
        <item h="1" x="14317"/>
        <item h="1" x="14318"/>
        <item h="1" x="14319"/>
        <item h="1" x="14320"/>
        <item h="1" x="14321"/>
        <item h="1" x="14322"/>
        <item h="1" x="14323"/>
        <item h="1" x="14324"/>
        <item h="1" x="14325"/>
        <item h="1" x="14326"/>
        <item h="1" x="14327"/>
        <item h="1" x="14328"/>
        <item h="1" x="14329"/>
        <item h="1" x="14330"/>
        <item h="1" x="14331"/>
        <item h="1" x="14332"/>
        <item h="1" x="14333"/>
        <item h="1" x="14334"/>
        <item h="1" x="14335"/>
        <item h="1" x="14336"/>
        <item h="1" x="14337"/>
        <item h="1" x="14338"/>
        <item h="1" x="14339"/>
        <item h="1" x="14340"/>
        <item h="1" x="14341"/>
        <item h="1" x="14342"/>
        <item h="1" x="14343"/>
        <item h="1" x="14344"/>
        <item h="1" x="14345"/>
        <item h="1" x="14346"/>
        <item h="1" x="14347"/>
        <item h="1" x="14348"/>
        <item h="1" x="14349"/>
        <item h="1" x="14350"/>
        <item h="1" x="14351"/>
        <item h="1" x="14352"/>
        <item h="1" x="14353"/>
        <item h="1" x="14354"/>
        <item h="1" x="14355"/>
        <item h="1" x="14356"/>
        <item h="1" x="14357"/>
        <item h="1" x="14358"/>
        <item h="1" x="14359"/>
        <item h="1" x="14360"/>
        <item h="1" x="14361"/>
        <item h="1" x="14362"/>
        <item h="1" x="14363"/>
        <item h="1" x="14364"/>
        <item h="1" x="14365"/>
        <item h="1" x="14366"/>
        <item h="1" x="14367"/>
        <item h="1" x="14368"/>
        <item h="1" x="14369"/>
        <item h="1" x="14370"/>
        <item h="1" x="14371"/>
        <item h="1" x="14372"/>
        <item h="1" x="14373"/>
        <item h="1" x="14374"/>
        <item h="1" x="14375"/>
        <item h="1" x="14376"/>
        <item h="1" x="14377"/>
        <item h="1" x="14378"/>
        <item h="1" x="14379"/>
        <item h="1" x="14380"/>
        <item h="1" x="14381"/>
        <item h="1" x="14382"/>
        <item h="1" x="14383"/>
        <item h="1" x="14384"/>
        <item h="1" x="14385"/>
        <item h="1" x="14386"/>
        <item h="1" x="14387"/>
        <item h="1" x="14388"/>
        <item h="1" x="14389"/>
        <item h="1" x="14390"/>
        <item h="1" x="14391"/>
        <item h="1" x="14392"/>
        <item h="1" x="14393"/>
        <item h="1" x="14394"/>
        <item h="1" x="14395"/>
        <item h="1" x="14396"/>
        <item h="1" x="14397"/>
        <item h="1" x="14398"/>
        <item h="1" x="14399"/>
        <item h="1" x="14400"/>
        <item h="1" x="14401"/>
        <item h="1" x="14402"/>
        <item h="1" x="14403"/>
        <item h="1" x="14404"/>
        <item h="1" x="14405"/>
        <item h="1" x="14406"/>
        <item h="1" x="14407"/>
        <item h="1" x="14408"/>
        <item h="1" x="14409"/>
        <item h="1" x="14410"/>
        <item h="1" x="14411"/>
        <item h="1" x="14412"/>
        <item h="1" x="14413"/>
        <item h="1" x="14414"/>
        <item h="1" x="14415"/>
        <item h="1" x="14416"/>
        <item h="1" x="14417"/>
        <item h="1" x="14418"/>
        <item h="1" x="14419"/>
        <item h="1" x="14420"/>
        <item h="1" x="14421"/>
        <item h="1" x="14422"/>
        <item h="1" x="14423"/>
        <item h="1" x="14424"/>
        <item h="1" x="14425"/>
        <item h="1" x="14426"/>
        <item h="1" x="14427"/>
        <item h="1" x="14428"/>
        <item h="1" x="14429"/>
        <item h="1" x="14430"/>
        <item h="1" x="14431"/>
        <item h="1" x="14432"/>
        <item h="1" x="14433"/>
        <item h="1" x="14434"/>
        <item h="1" x="14435"/>
        <item h="1" x="14436"/>
        <item h="1" x="14437"/>
        <item h="1" x="14438"/>
        <item h="1" x="14439"/>
        <item h="1" x="14440"/>
        <item h="1" x="14441"/>
        <item h="1" x="14442"/>
        <item h="1" x="14443"/>
        <item h="1" x="14444"/>
        <item h="1" x="14445"/>
        <item h="1" x="14446"/>
        <item h="1" x="14447"/>
        <item h="1" x="14448"/>
        <item h="1" x="14449"/>
        <item h="1" x="14450"/>
        <item h="1" x="14451"/>
        <item h="1" x="14452"/>
        <item h="1" x="14453"/>
        <item h="1" x="14454"/>
        <item h="1" x="14455"/>
        <item h="1" x="14456"/>
        <item h="1" x="14457"/>
        <item h="1" x="14458"/>
        <item h="1" x="14459"/>
        <item h="1" x="14460"/>
        <item h="1" x="14461"/>
        <item h="1" x="14462"/>
        <item h="1" x="14463"/>
        <item h="1" x="14464"/>
        <item h="1" x="14465"/>
        <item h="1" x="14466"/>
        <item h="1" x="14467"/>
        <item h="1" x="14468"/>
        <item h="1" x="14469"/>
        <item h="1" x="14470"/>
        <item h="1" x="14471"/>
        <item h="1" x="14472"/>
        <item h="1" x="14473"/>
        <item h="1" x="14474"/>
        <item h="1" x="14475"/>
        <item h="1" x="14476"/>
        <item h="1" x="14477"/>
        <item h="1" x="14478"/>
        <item h="1" x="14479"/>
        <item h="1" x="14480"/>
        <item h="1" x="14481"/>
        <item h="1" x="14482"/>
        <item h="1" x="14483"/>
        <item h="1" x="14484"/>
        <item h="1" x="14485"/>
        <item h="1" x="14486"/>
        <item h="1" x="14487"/>
        <item h="1" x="14488"/>
        <item h="1" x="14489"/>
        <item h="1" x="14490"/>
        <item h="1" x="14491"/>
        <item h="1" x="14492"/>
        <item h="1" x="14493"/>
        <item h="1" x="14494"/>
        <item h="1" x="14495"/>
        <item h="1" x="14496"/>
        <item h="1" x="14497"/>
        <item h="1" x="14498"/>
        <item h="1" x="14499"/>
        <item h="1" x="14500"/>
        <item h="1" x="14501"/>
        <item h="1" x="14502"/>
        <item h="1" x="14503"/>
        <item h="1" x="14504"/>
        <item h="1" x="14505"/>
        <item h="1" x="14506"/>
        <item h="1" x="14507"/>
        <item h="1" x="14508"/>
        <item h="1" x="14509"/>
        <item h="1" x="14510"/>
        <item h="1" x="14511"/>
        <item h="1" x="14512"/>
        <item h="1" x="14513"/>
        <item h="1" x="14514"/>
        <item h="1" x="14515"/>
        <item h="1" x="14516"/>
        <item h="1" x="14517"/>
        <item h="1" x="14518"/>
        <item h="1" x="14519"/>
        <item h="1" x="14520"/>
        <item h="1" x="14521"/>
        <item h="1" x="14522"/>
        <item h="1" x="14523"/>
        <item h="1" x="14524"/>
        <item h="1" x="14525"/>
        <item h="1" x="14526"/>
        <item h="1" x="14527"/>
        <item h="1" x="14528"/>
        <item h="1" x="14529"/>
        <item h="1" x="14530"/>
        <item h="1" x="14531"/>
        <item h="1" x="14532"/>
        <item h="1" x="14533"/>
        <item h="1" x="14534"/>
        <item h="1" x="14535"/>
        <item h="1" x="14536"/>
        <item h="1" x="14537"/>
        <item h="1" x="14538"/>
        <item h="1" x="14539"/>
        <item h="1" x="14540"/>
        <item h="1" x="14541"/>
        <item h="1" x="14542"/>
        <item h="1" x="14543"/>
        <item h="1" x="14544"/>
        <item h="1" x="14545"/>
        <item h="1" x="14546"/>
        <item h="1" x="14547"/>
        <item h="1" x="14548"/>
        <item h="1" x="14549"/>
        <item h="1" x="14550"/>
        <item h="1" x="14551"/>
        <item h="1" x="14552"/>
        <item h="1" x="14553"/>
        <item h="1" x="14554"/>
        <item h="1" x="14555"/>
        <item h="1" x="14556"/>
        <item h="1" x="14557"/>
        <item h="1" x="14558"/>
        <item h="1" x="14559"/>
        <item h="1" x="14560"/>
        <item h="1" x="14561"/>
        <item h="1" x="14562"/>
        <item h="1" x="14563"/>
        <item h="1" x="14564"/>
        <item h="1" x="14565"/>
        <item h="1" x="14566"/>
        <item h="1" x="14567"/>
        <item h="1" x="14568"/>
        <item h="1" x="14569"/>
        <item h="1" x="14570"/>
        <item h="1" x="14571"/>
        <item h="1" x="14572"/>
        <item h="1" x="14573"/>
        <item h="1" x="14574"/>
        <item h="1" x="14575"/>
        <item h="1" x="14576"/>
        <item h="1" x="14577"/>
        <item h="1" x="14578"/>
        <item h="1" x="14579"/>
        <item h="1" x="14580"/>
        <item h="1" x="14581"/>
        <item h="1" x="14582"/>
        <item h="1" x="14583"/>
        <item h="1" x="14584"/>
        <item h="1" x="14585"/>
        <item h="1" x="14586"/>
        <item h="1" x="14587"/>
        <item h="1" x="14588"/>
        <item h="1" x="14589"/>
        <item h="1" x="14590"/>
        <item h="1" x="14591"/>
        <item h="1" x="14592"/>
        <item h="1" x="14593"/>
        <item h="1" x="14594"/>
        <item h="1" x="14595"/>
        <item h="1" x="14596"/>
        <item h="1" x="14597"/>
        <item h="1" x="14598"/>
        <item h="1" x="14599"/>
        <item h="1" x="14600"/>
        <item h="1" x="14601"/>
        <item h="1" x="14602"/>
        <item h="1" x="14603"/>
        <item h="1" x="14604"/>
        <item h="1" x="14605"/>
        <item h="1" x="14606"/>
        <item h="1" x="14607"/>
        <item h="1" x="14608"/>
        <item h="1" x="14609"/>
        <item h="1" x="14610"/>
        <item h="1" x="14611"/>
        <item h="1" x="14612"/>
        <item h="1" x="14613"/>
        <item h="1" x="14614"/>
        <item h="1" x="14615"/>
        <item h="1" x="14616"/>
        <item h="1" x="14617"/>
        <item h="1" x="14618"/>
        <item h="1" x="14619"/>
        <item h="1" x="14620"/>
        <item h="1" x="14621"/>
        <item h="1" x="14622"/>
        <item h="1" x="14623"/>
        <item h="1" x="14624"/>
        <item h="1" x="14625"/>
        <item h="1" x="14626"/>
        <item h="1" x="14627"/>
        <item h="1" x="14628"/>
        <item h="1" x="14629"/>
        <item h="1" x="14630"/>
        <item h="1" x="14631"/>
        <item h="1" x="14632"/>
        <item h="1" x="14633"/>
        <item h="1" x="14634"/>
        <item h="1" x="14635"/>
        <item h="1" x="14636"/>
        <item h="1" x="14637"/>
        <item h="1" x="14638"/>
        <item h="1" x="14639"/>
        <item h="1" x="14640"/>
        <item h="1" x="14641"/>
        <item h="1" x="14642"/>
        <item h="1" x="14643"/>
        <item h="1" x="14644"/>
        <item h="1" x="14645"/>
        <item h="1" x="14646"/>
        <item h="1" x="14647"/>
        <item h="1" x="14648"/>
        <item h="1" x="14649"/>
        <item h="1" x="14650"/>
        <item h="1" x="14651"/>
        <item h="1" x="14652"/>
        <item h="1" x="14653"/>
        <item h="1" x="14654"/>
        <item h="1" x="14655"/>
        <item h="1" x="14656"/>
        <item h="1" x="14657"/>
        <item h="1" x="14658"/>
        <item h="1" x="14659"/>
        <item h="1" x="14660"/>
        <item h="1" x="14661"/>
        <item h="1" x="14662"/>
        <item h="1" x="14663"/>
        <item h="1" x="14664"/>
        <item h="1" x="14665"/>
        <item h="1" x="14666"/>
        <item h="1" x="14667"/>
        <item h="1" x="14668"/>
        <item h="1" x="14669"/>
        <item h="1" x="14670"/>
        <item h="1" x="14671"/>
        <item h="1" x="14672"/>
        <item h="1" x="14673"/>
        <item h="1" x="14674"/>
        <item h="1" x="14675"/>
        <item h="1" x="14676"/>
        <item h="1" x="14677"/>
        <item h="1" x="14678"/>
        <item h="1" x="14679"/>
        <item h="1" x="14680"/>
        <item h="1" x="14681"/>
        <item h="1" x="14682"/>
        <item h="1" x="14683"/>
        <item h="1" x="14684"/>
        <item h="1" x="14685"/>
        <item h="1" x="14686"/>
        <item h="1" x="14687"/>
        <item h="1" x="14688"/>
        <item h="1" x="14689"/>
        <item h="1" x="14690"/>
        <item h="1" x="14691"/>
        <item h="1" x="14692"/>
        <item h="1" x="14693"/>
        <item h="1" x="14694"/>
        <item h="1" x="14695"/>
        <item h="1" x="14696"/>
        <item h="1" x="14697"/>
        <item h="1" x="14698"/>
        <item h="1" x="14699"/>
        <item h="1" x="14700"/>
        <item h="1" x="14701"/>
        <item h="1" x="14702"/>
        <item h="1" x="14703"/>
        <item h="1" x="14704"/>
        <item h="1" x="14705"/>
        <item h="1" x="14706"/>
        <item h="1" x="14707"/>
        <item h="1" x="14708"/>
        <item h="1" x="14709"/>
        <item h="1" x="14710"/>
        <item h="1" x="14711"/>
        <item h="1" x="14712"/>
        <item h="1" x="14713"/>
        <item h="1" x="14714"/>
        <item h="1" x="14715"/>
        <item h="1" x="14716"/>
        <item h="1" x="14717"/>
        <item h="1" x="14718"/>
        <item h="1" x="14719"/>
        <item h="1" x="14720"/>
        <item h="1" x="14721"/>
        <item h="1" x="14722"/>
        <item h="1" x="14723"/>
        <item h="1" x="14724"/>
        <item h="1" x="14725"/>
        <item h="1" x="14726"/>
        <item h="1" x="14727"/>
        <item h="1" x="14728"/>
        <item h="1" x="14729"/>
        <item h="1" x="14730"/>
        <item h="1" x="14731"/>
        <item h="1" x="14732"/>
        <item h="1" x="14733"/>
        <item h="1" x="14734"/>
        <item h="1" x="14735"/>
        <item h="1" x="14736"/>
        <item h="1" x="14737"/>
        <item h="1" x="14738"/>
        <item h="1" x="14739"/>
        <item h="1" x="14740"/>
        <item h="1" x="14741"/>
        <item h="1" x="14742"/>
        <item h="1" x="14743"/>
        <item h="1" x="14744"/>
        <item h="1" x="14745"/>
        <item h="1" x="14746"/>
        <item h="1" x="14747"/>
        <item h="1" x="14748"/>
        <item h="1" x="14749"/>
        <item h="1" x="14750"/>
        <item h="1" x="14751"/>
        <item h="1" x="14752"/>
        <item h="1" x="14753"/>
        <item h="1" x="14754"/>
        <item h="1" x="14755"/>
        <item h="1" x="14756"/>
        <item h="1" x="14757"/>
        <item h="1" x="14758"/>
        <item h="1" x="14759"/>
        <item h="1" x="14760"/>
        <item h="1" x="14761"/>
        <item h="1" x="14762"/>
        <item h="1" x="14763"/>
        <item h="1" x="14764"/>
        <item h="1" x="14765"/>
        <item h="1" x="14766"/>
        <item h="1" x="14767"/>
        <item h="1" x="14768"/>
        <item h="1" x="14769"/>
        <item h="1" x="14770"/>
        <item h="1" x="14771"/>
        <item h="1" x="14772"/>
        <item h="1" x="14773"/>
        <item h="1" x="14774"/>
        <item h="1" x="14775"/>
        <item h="1" x="14776"/>
        <item h="1" x="14777"/>
        <item h="1" x="14778"/>
        <item h="1" x="14779"/>
        <item h="1" x="14780"/>
        <item h="1" x="14781"/>
        <item h="1" x="14782"/>
        <item h="1" x="14783"/>
        <item h="1" x="14784"/>
        <item h="1" x="14785"/>
        <item h="1" x="14786"/>
        <item h="1" x="14787"/>
        <item h="1" x="14788"/>
        <item h="1" x="14789"/>
        <item h="1" x="14790"/>
        <item h="1" x="14791"/>
        <item h="1" x="14792"/>
        <item h="1" x="14793"/>
        <item h="1" x="14794"/>
        <item h="1" x="14795"/>
        <item h="1" x="14796"/>
        <item h="1" x="14797"/>
        <item h="1" x="14798"/>
        <item h="1" x="14799"/>
        <item h="1" x="14800"/>
        <item h="1" x="14801"/>
        <item h="1" x="14802"/>
        <item h="1" x="14803"/>
        <item h="1" x="14804"/>
        <item h="1" x="14805"/>
        <item h="1" x="14806"/>
        <item h="1" x="14807"/>
        <item h="1" x="14808"/>
        <item h="1" x="14809"/>
        <item h="1" x="14810"/>
        <item h="1" x="14811"/>
        <item h="1" x="14812"/>
        <item h="1" x="14813"/>
        <item h="1" x="14814"/>
        <item h="1" x="14815"/>
        <item h="1" x="14816"/>
        <item h="1" x="14817"/>
        <item h="1" x="14818"/>
        <item h="1" x="14819"/>
        <item h="1" x="14820"/>
        <item h="1" x="14821"/>
        <item h="1" x="14822"/>
        <item h="1" x="14823"/>
        <item h="1" x="14824"/>
        <item h="1" x="14825"/>
        <item h="1" x="14826"/>
        <item h="1" x="14827"/>
        <item h="1" x="14828"/>
        <item h="1" x="14829"/>
        <item h="1" x="14830"/>
        <item h="1" x="14831"/>
        <item h="1" x="14832"/>
        <item h="1" x="14833"/>
        <item h="1" x="14834"/>
        <item h="1" x="14835"/>
        <item h="1" x="14836"/>
        <item h="1" x="14837"/>
        <item h="1" x="14838"/>
        <item h="1" x="14839"/>
        <item h="1" x="14840"/>
        <item h="1" x="14841"/>
        <item h="1" x="14842"/>
        <item h="1" x="14843"/>
        <item h="1" x="14844"/>
        <item h="1" x="14845"/>
        <item h="1" x="14846"/>
        <item h="1" x="14847"/>
        <item h="1" x="14848"/>
        <item h="1" x="14849"/>
        <item h="1" x="14850"/>
        <item h="1" x="14851"/>
        <item h="1" x="14852"/>
        <item h="1" x="14853"/>
        <item h="1" x="14854"/>
        <item h="1" x="14855"/>
        <item h="1" x="14856"/>
        <item h="1" x="14857"/>
        <item h="1" x="14858"/>
        <item h="1" x="14859"/>
        <item h="1" x="14860"/>
        <item h="1" x="14861"/>
        <item h="1" x="14862"/>
        <item h="1" x="14863"/>
        <item h="1" x="14864"/>
        <item h="1" x="14865"/>
        <item h="1" x="14866"/>
        <item h="1" x="14867"/>
        <item h="1" x="14868"/>
        <item h="1" x="14869"/>
        <item h="1" x="14870"/>
        <item h="1" x="14871"/>
        <item h="1" x="14872"/>
        <item h="1" x="14873"/>
        <item h="1" x="14874"/>
        <item h="1" x="14875"/>
        <item h="1" x="14876"/>
        <item h="1" x="14877"/>
        <item h="1" x="14878"/>
        <item h="1" x="14879"/>
        <item h="1" x="14880"/>
        <item h="1" x="14881"/>
        <item h="1" x="14882"/>
        <item h="1" x="14883"/>
        <item h="1" x="14884"/>
        <item h="1" x="14885"/>
        <item h="1" x="14886"/>
        <item h="1" x="14887"/>
        <item h="1" x="14888"/>
        <item h="1" x="14889"/>
        <item h="1" x="14890"/>
        <item h="1" x="14891"/>
        <item h="1" x="14892"/>
        <item h="1" x="14893"/>
        <item h="1" x="14894"/>
        <item h="1" x="14895"/>
        <item h="1" x="14896"/>
        <item h="1" x="14897"/>
        <item h="1" x="14898"/>
        <item h="1" x="14899"/>
        <item h="1" x="14900"/>
        <item h="1" x="14901"/>
        <item h="1" x="14902"/>
        <item h="1" x="14903"/>
        <item h="1" x="14904"/>
        <item h="1" x="14905"/>
        <item h="1" x="14906"/>
        <item h="1" x="14907"/>
        <item h="1" x="14908"/>
        <item h="1" x="14909"/>
        <item h="1" x="14910"/>
        <item h="1" x="14911"/>
        <item h="1" x="14912"/>
        <item h="1" x="14913"/>
        <item h="1" x="14914"/>
        <item h="1" x="14915"/>
        <item h="1" x="14916"/>
        <item h="1" x="14917"/>
        <item h="1" x="14918"/>
        <item h="1" x="14919"/>
        <item h="1" x="14920"/>
        <item h="1" x="14921"/>
        <item h="1" x="14922"/>
        <item h="1" x="14923"/>
        <item h="1" x="14924"/>
        <item h="1" x="14925"/>
        <item h="1" x="14926"/>
        <item h="1" x="14927"/>
        <item h="1" x="14928"/>
        <item h="1" x="14929"/>
        <item h="1" x="14930"/>
        <item h="1" x="14931"/>
        <item h="1" x="14932"/>
        <item h="1" x="14933"/>
        <item h="1" x="14934"/>
        <item h="1" x="14935"/>
        <item h="1" x="14936"/>
        <item h="1" x="14937"/>
        <item h="1" x="14938"/>
        <item h="1" x="14939"/>
        <item h="1" x="14940"/>
        <item h="1" x="14941"/>
        <item h="1" x="14942"/>
        <item h="1" x="14943"/>
        <item h="1" x="14944"/>
        <item h="1" x="14945"/>
        <item h="1" x="14946"/>
        <item h="1" x="14947"/>
        <item h="1" x="14948"/>
        <item h="1" x="14949"/>
        <item h="1" x="14950"/>
        <item h="1" x="14951"/>
        <item h="1" x="14952"/>
        <item h="1" x="14953"/>
        <item h="1" x="14954"/>
        <item h="1" x="14955"/>
        <item h="1" x="14956"/>
        <item h="1" x="14957"/>
        <item h="1" x="14958"/>
        <item h="1" x="14959"/>
        <item h="1" x="14960"/>
        <item h="1" x="14961"/>
        <item h="1" x="14962"/>
        <item h="1" x="14963"/>
        <item h="1" x="14964"/>
        <item h="1" x="14965"/>
        <item h="1" x="14966"/>
        <item h="1" x="14967"/>
        <item h="1" x="14968"/>
        <item h="1" x="14969"/>
        <item h="1" x="14970"/>
        <item h="1" x="14971"/>
        <item h="1" x="14972"/>
        <item h="1" x="14973"/>
        <item h="1" x="14974"/>
        <item h="1" x="14975"/>
        <item h="1" x="14976"/>
        <item h="1" x="14977"/>
        <item h="1" x="14978"/>
        <item h="1" x="14979"/>
        <item h="1" x="14980"/>
        <item h="1" x="14981"/>
        <item h="1" x="14982"/>
        <item h="1" x="14983"/>
        <item h="1" x="14984"/>
        <item h="1" x="14985"/>
        <item h="1" x="14986"/>
        <item h="1" x="14987"/>
        <item h="1" x="14988"/>
        <item h="1" x="14989"/>
        <item h="1" x="14990"/>
        <item h="1" x="14991"/>
        <item h="1" x="14992"/>
        <item h="1" x="14993"/>
        <item h="1" x="14994"/>
        <item h="1" x="14995"/>
        <item h="1" x="14996"/>
        <item h="1" x="14997"/>
        <item h="1" x="14998"/>
        <item h="1" x="14999"/>
        <item h="1" x="15000"/>
        <item h="1" x="15001"/>
        <item h="1" x="15002"/>
        <item h="1" x="15003"/>
        <item h="1" x="15004"/>
        <item h="1" x="15005"/>
        <item h="1" x="15006"/>
        <item h="1" x="15007"/>
        <item h="1" x="15008"/>
        <item h="1" x="15009"/>
        <item h="1" x="15010"/>
        <item h="1" x="15011"/>
        <item h="1" x="15012"/>
        <item h="1" x="15013"/>
        <item h="1" x="15014"/>
        <item h="1" x="15015"/>
        <item h="1" x="15016"/>
        <item h="1" x="15017"/>
        <item h="1" x="15018"/>
        <item h="1" x="15019"/>
        <item h="1" x="15020"/>
        <item h="1" x="15021"/>
        <item h="1" x="15022"/>
        <item h="1" x="15023"/>
        <item h="1" x="15024"/>
        <item h="1" x="15025"/>
        <item h="1" x="15026"/>
        <item h="1" x="15027"/>
        <item h="1" x="15028"/>
        <item h="1" x="15029"/>
        <item h="1" x="15030"/>
        <item h="1" x="15031"/>
        <item h="1" x="15032"/>
        <item h="1" x="15033"/>
        <item h="1" x="15034"/>
        <item h="1" x="15035"/>
        <item h="1" x="15036"/>
        <item h="1" x="15037"/>
        <item h="1" x="15038"/>
        <item h="1" x="15039"/>
        <item h="1" x="15040"/>
        <item h="1" x="15041"/>
        <item h="1" x="15042"/>
        <item h="1" x="15043"/>
        <item h="1" x="15044"/>
        <item h="1" x="15045"/>
        <item h="1" x="15046"/>
        <item h="1" x="15047"/>
        <item h="1" x="15048"/>
        <item h="1" x="15049"/>
        <item h="1" x="15050"/>
        <item h="1" x="15051"/>
        <item h="1" x="15052"/>
        <item h="1" x="15053"/>
        <item h="1" x="15054"/>
        <item h="1" x="15055"/>
        <item h="1" x="15056"/>
        <item h="1" x="15057"/>
        <item h="1" x="15058"/>
        <item h="1" x="15059"/>
        <item h="1" x="15060"/>
        <item h="1" x="15061"/>
        <item h="1" x="15062"/>
        <item h="1" x="15063"/>
        <item h="1" x="15064"/>
        <item h="1" x="15065"/>
        <item h="1" x="15066"/>
        <item h="1" x="15067"/>
        <item h="1" x="15068"/>
        <item h="1" x="15069"/>
        <item h="1" x="15070"/>
        <item h="1" x="15071"/>
        <item h="1" x="15072"/>
        <item h="1" x="15073"/>
        <item h="1" x="15074"/>
        <item h="1" x="15075"/>
        <item h="1" x="15076"/>
        <item h="1" x="15077"/>
        <item h="1" x="15078"/>
        <item h="1" x="15079"/>
        <item h="1" x="15080"/>
        <item h="1" x="15081"/>
        <item h="1" x="15082"/>
        <item h="1" x="15083"/>
        <item h="1" x="15084"/>
        <item h="1" x="15085"/>
        <item h="1" x="15086"/>
        <item h="1" x="15087"/>
        <item h="1" x="15088"/>
        <item h="1" x="15089"/>
        <item h="1" x="15090"/>
        <item h="1" x="15091"/>
        <item h="1" x="15092"/>
        <item h="1" x="15093"/>
        <item h="1" x="15094"/>
        <item h="1" x="15095"/>
        <item h="1" x="15096"/>
        <item h="1" x="15097"/>
        <item h="1" x="15098"/>
        <item h="1" x="15099"/>
        <item h="1" x="15100"/>
        <item h="1" x="15101"/>
        <item h="1" x="15102"/>
        <item h="1" x="15103"/>
        <item h="1" x="15104"/>
        <item h="1" x="15105"/>
        <item h="1" x="15106"/>
        <item h="1" x="15107"/>
        <item h="1" x="15108"/>
        <item h="1" x="15109"/>
        <item h="1" x="15110"/>
        <item h="1" x="15111"/>
        <item h="1" x="15112"/>
        <item h="1" x="15113"/>
        <item h="1" x="15114"/>
        <item h="1" x="15115"/>
        <item h="1" x="15116"/>
        <item h="1" x="15117"/>
        <item h="1" x="15118"/>
        <item h="1" x="15119"/>
        <item h="1" x="15120"/>
        <item h="1" x="15121"/>
        <item h="1" x="15122"/>
        <item h="1" x="15123"/>
        <item h="1" x="15124"/>
        <item h="1" x="15125"/>
        <item h="1" x="15126"/>
        <item h="1" x="15127"/>
        <item h="1" x="15128"/>
        <item h="1" x="15129"/>
        <item h="1" x="15130"/>
        <item h="1" x="15131"/>
        <item h="1" x="15132"/>
        <item h="1" x="15133"/>
        <item h="1" x="15134"/>
        <item h="1" x="15135"/>
        <item h="1" x="15136"/>
        <item h="1" x="15137"/>
        <item h="1" x="15138"/>
        <item h="1" x="15139"/>
        <item h="1" x="15140"/>
        <item h="1" x="15141"/>
        <item h="1" x="15142"/>
        <item h="1" x="15143"/>
        <item h="1" x="15144"/>
        <item h="1" x="15145"/>
        <item h="1" x="15146"/>
        <item h="1" x="15147"/>
        <item h="1" x="15148"/>
        <item h="1" x="15149"/>
        <item h="1" x="15150"/>
        <item h="1" x="15151"/>
        <item h="1" x="15152"/>
        <item h="1" x="15153"/>
        <item h="1" x="15154"/>
        <item h="1" x="15155"/>
        <item h="1" x="15156"/>
        <item h="1" x="15157"/>
        <item h="1" x="15158"/>
        <item h="1" x="15159"/>
        <item h="1" x="15160"/>
        <item h="1" x="15161"/>
        <item h="1" x="15162"/>
        <item h="1" x="15163"/>
        <item h="1" x="15164"/>
        <item h="1" x="15165"/>
        <item h="1" x="15166"/>
        <item h="1" x="15167"/>
        <item h="1" x="15168"/>
        <item h="1" x="15169"/>
        <item h="1" x="15170"/>
        <item h="1" x="15171"/>
        <item h="1" x="15172"/>
        <item h="1" x="15173"/>
        <item h="1" x="15174"/>
        <item h="1" x="15175"/>
        <item h="1" x="15176"/>
        <item h="1" x="15177"/>
        <item h="1" x="15178"/>
        <item h="1" x="15179"/>
        <item h="1" x="15180"/>
        <item h="1" x="15181"/>
        <item h="1" x="15182"/>
        <item h="1" x="15183"/>
        <item h="1" x="15184"/>
        <item h="1" x="15185"/>
        <item h="1" x="15186"/>
        <item h="1" x="15187"/>
        <item h="1" x="15188"/>
        <item h="1" x="15189"/>
        <item h="1" x="15190"/>
        <item h="1" x="15191"/>
        <item h="1" x="15192"/>
        <item h="1" x="15193"/>
        <item h="1" x="15194"/>
        <item h="1" x="15195"/>
        <item h="1" x="15196"/>
        <item h="1" x="15197"/>
        <item h="1" x="15198"/>
        <item h="1" x="15199"/>
        <item h="1" x="15200"/>
        <item h="1" x="15201"/>
        <item h="1" x="15202"/>
        <item h="1" x="15203"/>
        <item h="1" x="15204"/>
        <item h="1" x="15205"/>
        <item h="1" x="15206"/>
        <item h="1" x="15207"/>
        <item h="1" x="15208"/>
        <item h="1" x="15209"/>
        <item h="1" x="15210"/>
        <item h="1" x="15211"/>
        <item h="1" x="15212"/>
        <item h="1" x="15213"/>
        <item h="1" x="15214"/>
        <item h="1" x="15215"/>
        <item h="1" x="15216"/>
        <item h="1" x="15217"/>
        <item h="1" x="15218"/>
        <item h="1" x="15219"/>
        <item h="1" x="15220"/>
        <item h="1" x="15221"/>
        <item h="1" x="15222"/>
        <item h="1" x="15223"/>
        <item h="1" x="15224"/>
        <item h="1" x="15225"/>
        <item h="1" x="15226"/>
        <item h="1" x="15227"/>
        <item h="1" x="15228"/>
        <item h="1" x="15229"/>
        <item h="1" x="15230"/>
        <item h="1" x="15231"/>
        <item h="1" x="15232"/>
        <item h="1" x="15233"/>
        <item h="1" x="15234"/>
        <item h="1" x="15235"/>
        <item h="1" x="15236"/>
        <item h="1" x="15237"/>
        <item h="1" x="15238"/>
        <item h="1" x="15239"/>
        <item h="1" x="15240"/>
        <item h="1" x="15241"/>
        <item h="1" x="15242"/>
        <item h="1" x="15243"/>
        <item h="1" x="15244"/>
        <item h="1" x="15245"/>
        <item h="1" x="15246"/>
        <item h="1" x="15247"/>
        <item h="1" x="15248"/>
        <item h="1" x="15249"/>
        <item h="1" x="15250"/>
        <item h="1" x="15251"/>
        <item h="1" x="15252"/>
        <item h="1" x="15253"/>
        <item h="1" x="15254"/>
        <item h="1" x="15255"/>
        <item h="1" x="15256"/>
        <item h="1" x="15257"/>
        <item h="1" x="15258"/>
        <item h="1" x="15259"/>
        <item h="1" x="15260"/>
        <item h="1" x="15261"/>
        <item h="1" x="15262"/>
        <item h="1" x="15263"/>
        <item h="1" x="15264"/>
        <item h="1" x="15265"/>
        <item h="1" x="15266"/>
        <item h="1" x="15267"/>
        <item h="1" x="15268"/>
        <item h="1" x="15269"/>
        <item h="1" x="15270"/>
        <item h="1" x="15271"/>
        <item h="1" x="15272"/>
        <item h="1" x="15273"/>
        <item h="1" x="15274"/>
        <item h="1" x="15275"/>
        <item h="1" x="15276"/>
        <item h="1" x="15277"/>
        <item h="1" x="15278"/>
        <item h="1" x="15279"/>
        <item h="1" x="15280"/>
        <item h="1" x="15281"/>
        <item h="1" x="15282"/>
        <item h="1" x="15283"/>
        <item h="1" x="15284"/>
        <item h="1" x="15285"/>
        <item h="1" x="15286"/>
        <item h="1" x="15287"/>
        <item h="1" x="15288"/>
        <item h="1" x="15289"/>
        <item h="1" x="15290"/>
        <item h="1" x="15291"/>
        <item h="1" x="15292"/>
        <item h="1" x="15293"/>
        <item h="1" x="15294"/>
        <item h="1" x="15295"/>
        <item h="1" x="15296"/>
        <item h="1" x="15297"/>
        <item h="1" x="15298"/>
        <item h="1" x="15299"/>
        <item h="1" x="15300"/>
        <item h="1" x="15301"/>
        <item h="1" x="15302"/>
        <item h="1" x="15303"/>
        <item h="1" x="15304"/>
        <item h="1" x="15305"/>
        <item h="1" x="15306"/>
        <item h="1" x="15307"/>
        <item h="1" x="15308"/>
        <item h="1" x="15309"/>
        <item h="1" x="15310"/>
        <item h="1" x="15311"/>
        <item h="1" x="15312"/>
        <item h="1" x="15313"/>
        <item h="1" x="15314"/>
        <item h="1" x="15315"/>
        <item h="1" x="15316"/>
        <item h="1" x="15317"/>
        <item h="1" x="15318"/>
        <item h="1" x="15319"/>
        <item h="1" x="15320"/>
        <item h="1" x="15321"/>
        <item h="1" x="15322"/>
        <item h="1" x="15323"/>
        <item h="1" x="15324"/>
        <item h="1" x="15325"/>
        <item h="1" x="15326"/>
        <item h="1" x="15327"/>
        <item h="1" x="15328"/>
        <item h="1" x="15329"/>
        <item h="1" x="15330"/>
        <item h="1" x="15331"/>
        <item h="1" x="15332"/>
        <item h="1" x="15333"/>
        <item h="1" x="15334"/>
        <item h="1" x="15335"/>
        <item h="1" x="15336"/>
        <item h="1" x="15337"/>
        <item h="1" x="15338"/>
        <item h="1" x="15339"/>
        <item h="1" x="15340"/>
        <item h="1" x="15341"/>
        <item h="1" x="15342"/>
        <item h="1" x="15343"/>
        <item h="1" x="15344"/>
        <item h="1" x="15345"/>
        <item h="1" x="15346"/>
        <item h="1" x="15347"/>
        <item h="1" x="15348"/>
        <item h="1" x="15349"/>
        <item h="1" x="15350"/>
        <item h="1" x="15351"/>
        <item h="1" x="15352"/>
        <item h="1" x="15353"/>
        <item h="1" x="15354"/>
        <item h="1" x="15355"/>
        <item h="1" x="15356"/>
        <item h="1" x="15357"/>
        <item h="1" x="15358"/>
        <item h="1" x="15359"/>
        <item h="1" x="15360"/>
        <item h="1" x="15361"/>
        <item h="1" x="15362"/>
        <item h="1" x="15363"/>
        <item h="1" x="15364"/>
        <item h="1" x="15365"/>
        <item h="1" x="15366"/>
        <item h="1" x="15367"/>
        <item h="1" x="15368"/>
        <item h="1" x="15369"/>
        <item h="1" x="15370"/>
        <item h="1" x="15371"/>
        <item h="1" x="15372"/>
        <item h="1" x="15373"/>
        <item h="1" x="15374"/>
        <item h="1" x="15375"/>
        <item h="1" x="15376"/>
        <item h="1" x="15377"/>
        <item h="1" x="15378"/>
        <item h="1" x="15379"/>
        <item h="1" x="15380"/>
        <item h="1" x="15381"/>
        <item h="1" x="15382"/>
        <item h="1" x="15383"/>
        <item h="1" x="15384"/>
        <item h="1" x="15385"/>
        <item h="1" x="15386"/>
        <item h="1" x="15387"/>
        <item h="1" x="15388"/>
        <item h="1" x="15389"/>
        <item h="1" x="15390"/>
        <item h="1" x="15391"/>
        <item h="1" x="15392"/>
        <item h="1" x="15393"/>
        <item h="1" x="15394"/>
        <item h="1" x="15395"/>
        <item h="1" x="15396"/>
        <item h="1" x="15397"/>
        <item h="1" x="15398"/>
        <item h="1" x="15399"/>
        <item h="1" x="15400"/>
        <item h="1" x="15401"/>
        <item h="1" x="15402"/>
        <item h="1" x="15403"/>
        <item h="1" x="15404"/>
        <item h="1" x="15405"/>
        <item h="1" x="15406"/>
        <item h="1" x="15407"/>
        <item h="1" x="15408"/>
        <item h="1" x="15409"/>
        <item h="1" x="15410"/>
        <item h="1" x="15411"/>
        <item h="1" x="15412"/>
        <item h="1" x="15413"/>
        <item h="1" x="15414"/>
        <item h="1" x="15415"/>
        <item h="1" x="15416"/>
        <item h="1" x="15417"/>
        <item h="1" x="15418"/>
        <item h="1" x="15419"/>
        <item h="1" x="15420"/>
        <item h="1" x="15421"/>
        <item h="1" x="15422"/>
        <item h="1" x="15423"/>
        <item h="1" x="15424"/>
        <item h="1" x="15425"/>
        <item h="1" x="15426"/>
        <item h="1" x="15427"/>
        <item h="1" x="15428"/>
        <item h="1" x="15429"/>
        <item h="1" x="15430"/>
        <item h="1" x="15431"/>
        <item h="1" x="15432"/>
        <item h="1" x="15433"/>
        <item h="1" x="15434"/>
        <item h="1" x="15435"/>
        <item h="1" x="15436"/>
        <item h="1" x="15437"/>
        <item h="1" x="15438"/>
        <item h="1" x="15439"/>
        <item h="1" x="15440"/>
        <item h="1" x="15441"/>
        <item h="1" x="15442"/>
        <item h="1" x="15443"/>
        <item h="1" x="15444"/>
        <item h="1" x="15445"/>
        <item h="1" x="15446"/>
        <item h="1" x="15447"/>
        <item h="1" x="15448"/>
        <item h="1" x="15449"/>
        <item h="1" x="15450"/>
        <item h="1" x="15451"/>
        <item h="1" x="15452"/>
        <item h="1" x="15453"/>
        <item h="1" x="15454"/>
        <item h="1" x="15455"/>
        <item h="1" x="15456"/>
        <item h="1" x="15457"/>
        <item h="1" x="15458"/>
        <item h="1" x="15459"/>
        <item h="1" x="15460"/>
        <item h="1" x="15461"/>
        <item h="1" x="15462"/>
        <item h="1" x="15463"/>
        <item h="1" x="15464"/>
        <item h="1" x="15465"/>
        <item h="1" x="15466"/>
        <item h="1" x="15467"/>
        <item h="1" x="15468"/>
        <item h="1" x="15469"/>
        <item h="1" x="15470"/>
        <item h="1" x="15471"/>
        <item h="1" x="15472"/>
        <item h="1" x="15473"/>
        <item h="1" x="15474"/>
        <item h="1" x="15475"/>
        <item h="1" x="15476"/>
        <item h="1" x="15477"/>
        <item h="1" x="15478"/>
        <item h="1" x="15479"/>
        <item h="1" x="15480"/>
        <item h="1" x="15481"/>
        <item h="1" x="15482"/>
        <item h="1" x="15483"/>
        <item h="1" x="15484"/>
        <item h="1" x="15485"/>
        <item h="1" x="15486"/>
        <item h="1" x="15487"/>
        <item h="1" x="15488"/>
        <item h="1" x="15489"/>
        <item h="1" x="15490"/>
        <item h="1" x="15491"/>
        <item h="1" x="15492"/>
        <item h="1" x="15493"/>
        <item h="1" x="15494"/>
        <item h="1" x="15495"/>
        <item h="1" x="15496"/>
        <item h="1" x="15497"/>
        <item h="1" x="15498"/>
        <item h="1" x="15499"/>
        <item h="1" x="15500"/>
        <item h="1" x="15501"/>
        <item h="1" x="15502"/>
        <item h="1" x="15503"/>
        <item h="1" x="15504"/>
        <item h="1" x="15505"/>
        <item h="1" x="15506"/>
        <item h="1" x="15507"/>
        <item h="1" x="15508"/>
        <item h="1" x="15509"/>
        <item h="1" x="15510"/>
        <item h="1" x="15511"/>
        <item h="1" x="15512"/>
        <item h="1" x="15513"/>
        <item h="1" x="15514"/>
        <item h="1" x="15515"/>
        <item h="1" x="15516"/>
        <item h="1" x="15517"/>
        <item h="1" x="15518"/>
        <item h="1" x="15519"/>
        <item h="1" x="15520"/>
        <item h="1" x="15521"/>
        <item h="1" x="15522"/>
        <item h="1" x="15523"/>
        <item h="1" x="15524"/>
        <item h="1" x="15525"/>
        <item h="1" x="15526"/>
        <item h="1" x="15527"/>
        <item h="1" x="15528"/>
        <item h="1" x="15529"/>
        <item h="1" x="15530"/>
        <item h="1" x="15531"/>
        <item h="1" x="15532"/>
        <item h="1" x="15533"/>
        <item h="1" x="15534"/>
        <item h="1" x="15535"/>
        <item h="1" x="15536"/>
        <item h="1" x="15537"/>
        <item h="1" x="15538"/>
        <item h="1" x="15539"/>
        <item h="1" x="15540"/>
        <item h="1" x="15541"/>
        <item h="1" x="15542"/>
        <item h="1" x="15543"/>
        <item h="1" x="15544"/>
        <item h="1" x="15545"/>
        <item h="1" x="15546"/>
        <item h="1" x="15547"/>
        <item h="1" x="15548"/>
        <item h="1" x="15549"/>
        <item h="1" x="15550"/>
        <item h="1" x="15551"/>
        <item h="1" x="15552"/>
        <item h="1" x="15553"/>
        <item h="1" x="15554"/>
        <item h="1" x="15555"/>
        <item h="1" x="15556"/>
        <item h="1" x="15557"/>
        <item h="1" x="15558"/>
        <item h="1" x="15559"/>
        <item h="1" x="15560"/>
        <item h="1" x="15561"/>
        <item h="1" x="15562"/>
        <item h="1" x="15563"/>
        <item h="1" x="15564"/>
        <item h="1" x="15565"/>
        <item h="1" x="15566"/>
        <item h="1" x="15567"/>
        <item h="1" x="15568"/>
        <item h="1" x="15569"/>
        <item h="1" x="15570"/>
        <item h="1" x="15571"/>
        <item h="1" x="15572"/>
        <item h="1" x="15573"/>
        <item h="1" x="15574"/>
        <item h="1" x="15575"/>
        <item h="1" x="15576"/>
        <item h="1" x="15577"/>
        <item h="1" x="15578"/>
        <item h="1" x="15579"/>
        <item h="1" x="15580"/>
        <item h="1" x="15581"/>
        <item h="1" x="15582"/>
        <item h="1" x="15583"/>
        <item h="1" x="15584"/>
        <item h="1" x="15585"/>
        <item h="1" x="15586"/>
        <item h="1" x="15587"/>
        <item h="1" x="15588"/>
        <item h="1" x="15589"/>
        <item h="1" x="15590"/>
        <item h="1" x="15591"/>
        <item h="1" x="15592"/>
        <item h="1" x="15593"/>
        <item h="1" x="15594"/>
        <item h="1" x="15595"/>
        <item h="1" x="15596"/>
        <item h="1" x="15597"/>
        <item h="1" x="15598"/>
        <item h="1" x="15599"/>
        <item h="1" x="15600"/>
        <item h="1" x="15601"/>
        <item h="1" x="15602"/>
        <item h="1" x="15603"/>
        <item h="1" x="15604"/>
        <item h="1" x="15605"/>
        <item h="1" x="15606"/>
        <item h="1" x="15607"/>
        <item h="1" x="15608"/>
        <item h="1" x="15609"/>
        <item h="1" x="15610"/>
        <item h="1" x="15611"/>
        <item h="1" x="15612"/>
        <item h="1" x="15613"/>
        <item h="1" x="15614"/>
        <item h="1" x="15615"/>
        <item h="1" x="15616"/>
        <item h="1" x="15617"/>
        <item h="1" x="15618"/>
        <item h="1" x="15619"/>
        <item h="1" x="15620"/>
        <item h="1" x="15621"/>
        <item h="1" x="15622"/>
        <item h="1" x="15623"/>
        <item h="1" x="15624"/>
        <item h="1" x="15625"/>
        <item h="1" x="15626"/>
        <item h="1" x="15627"/>
        <item h="1" x="15628"/>
        <item h="1" x="15629"/>
        <item h="1" x="15630"/>
        <item h="1" x="15631"/>
        <item h="1" x="15632"/>
        <item h="1" x="15633"/>
        <item h="1" x="15634"/>
        <item h="1" x="15635"/>
        <item h="1" x="15636"/>
        <item h="1" x="15637"/>
        <item h="1" x="15638"/>
        <item h="1" x="15639"/>
        <item h="1" x="15640"/>
        <item h="1" x="15641"/>
        <item h="1" x="15642"/>
        <item h="1" x="15643"/>
        <item h="1" x="15644"/>
        <item h="1" x="15645"/>
        <item h="1" x="15646"/>
        <item h="1" x="15647"/>
        <item h="1" x="15648"/>
        <item h="1" x="15649"/>
        <item h="1" x="15650"/>
        <item h="1" x="15651"/>
        <item h="1" x="15652"/>
        <item h="1" x="15653"/>
        <item h="1" x="15654"/>
        <item h="1" x="15655"/>
        <item h="1" x="15656"/>
        <item h="1" x="15657"/>
        <item h="1" x="15658"/>
        <item h="1" x="15659"/>
        <item h="1" x="15660"/>
        <item h="1" x="15661"/>
        <item h="1" x="15662"/>
        <item h="1" x="15663"/>
        <item h="1" x="15664"/>
        <item h="1" x="15665"/>
        <item h="1" x="15666"/>
        <item h="1" x="15667"/>
        <item h="1" x="15668"/>
        <item h="1" x="15669"/>
        <item h="1" x="15670"/>
        <item h="1" x="15671"/>
        <item h="1" x="15672"/>
        <item h="1" x="15673"/>
        <item h="1" x="15674"/>
        <item h="1" x="15675"/>
        <item h="1" x="15676"/>
        <item h="1" x="15677"/>
        <item h="1" x="15678"/>
        <item h="1" x="15679"/>
        <item h="1" x="15680"/>
        <item h="1" x="15681"/>
        <item h="1" x="15682"/>
        <item h="1" x="15683"/>
        <item h="1" x="15684"/>
        <item h="1" x="15685"/>
        <item h="1" x="15686"/>
        <item h="1" x="15687"/>
        <item h="1" x="15688"/>
        <item h="1" x="15689"/>
        <item h="1" x="15690"/>
        <item h="1" x="15691"/>
        <item h="1" x="15692"/>
        <item h="1" x="15693"/>
        <item h="1" x="15694"/>
        <item h="1" x="15695"/>
        <item h="1" x="15696"/>
        <item h="1" x="15697"/>
        <item h="1" x="15698"/>
        <item h="1" x="15699"/>
        <item h="1" x="15700"/>
        <item h="1" x="15701"/>
        <item h="1" x="15702"/>
        <item h="1" x="15703"/>
        <item h="1" x="15704"/>
        <item h="1" x="15705"/>
        <item h="1" x="15706"/>
        <item h="1" x="15707"/>
        <item h="1" x="15708"/>
        <item h="1" x="15709"/>
        <item h="1" x="15710"/>
        <item h="1" x="15711"/>
        <item h="1" x="15712"/>
        <item h="1" x="15713"/>
        <item h="1" x="15714"/>
        <item h="1" x="15715"/>
        <item h="1" x="15716"/>
        <item h="1" x="15717"/>
        <item h="1" x="15718"/>
        <item h="1" x="15719"/>
        <item h="1" x="15720"/>
        <item h="1" x="15721"/>
        <item h="1" x="15722"/>
        <item h="1" x="15723"/>
        <item h="1" x="15724"/>
        <item h="1" x="15725"/>
        <item h="1" x="15726"/>
        <item h="1" x="15727"/>
        <item h="1" x="15728"/>
        <item h="1" x="15729"/>
        <item h="1" x="15730"/>
        <item h="1" x="15731"/>
        <item h="1" x="15732"/>
        <item h="1" x="15733"/>
        <item h="1" x="15734"/>
        <item h="1" x="15735"/>
        <item h="1" x="15736"/>
        <item h="1" x="15737"/>
        <item h="1" x="15738"/>
        <item h="1" x="15739"/>
        <item h="1" x="15740"/>
        <item h="1" x="15741"/>
        <item h="1" x="15742"/>
        <item h="1" x="15743"/>
        <item h="1" x="15744"/>
        <item h="1" x="15745"/>
        <item h="1" x="15746"/>
        <item h="1" x="15747"/>
        <item h="1" x="15748"/>
        <item h="1" x="15749"/>
        <item h="1" x="15750"/>
        <item h="1" x="15751"/>
        <item h="1" x="15752"/>
        <item h="1" x="15753"/>
        <item h="1" x="15754"/>
        <item h="1" x="15755"/>
        <item h="1" x="15756"/>
        <item h="1" x="15757"/>
        <item h="1" x="15758"/>
        <item h="1" x="15759"/>
        <item h="1" x="15760"/>
        <item h="1" x="15761"/>
        <item h="1" x="15762"/>
        <item h="1" x="15763"/>
        <item h="1" x="15764"/>
        <item h="1" x="15765"/>
        <item h="1" x="15766"/>
        <item h="1" x="15767"/>
        <item h="1" x="15768"/>
        <item h="1" x="15769"/>
        <item h="1" x="15770"/>
        <item h="1" x="15771"/>
        <item h="1" x="15772"/>
        <item h="1" x="15773"/>
        <item h="1" x="15774"/>
        <item h="1" x="15775"/>
        <item h="1" x="15776"/>
        <item h="1" x="15777"/>
        <item h="1" x="15778"/>
        <item h="1" x="15779"/>
        <item h="1" x="15780"/>
        <item h="1" x="15781"/>
        <item h="1" x="15782"/>
        <item h="1" x="15783"/>
        <item h="1" x="15784"/>
        <item h="1" x="15785"/>
        <item h="1" x="15786"/>
        <item h="1" x="15787"/>
        <item h="1" x="15788"/>
        <item h="1" x="15789"/>
        <item h="1" x="15790"/>
        <item h="1" x="15791"/>
        <item h="1" x="15792"/>
        <item h="1" x="15793"/>
        <item h="1" x="15794"/>
        <item h="1" x="15795"/>
        <item h="1" x="15796"/>
        <item h="1" x="15797"/>
        <item h="1" x="15798"/>
        <item h="1" x="15799"/>
        <item h="1" x="15800"/>
        <item h="1" x="15801"/>
        <item h="1" x="15802"/>
        <item h="1" x="15803"/>
        <item h="1" x="15804"/>
        <item h="1" x="15805"/>
        <item h="1" x="15806"/>
        <item h="1" x="15807"/>
        <item h="1" x="15808"/>
        <item h="1" x="15809"/>
        <item h="1" x="15810"/>
        <item h="1" x="15811"/>
        <item h="1" x="15812"/>
        <item h="1" x="15813"/>
        <item h="1" x="15814"/>
        <item h="1" x="15815"/>
        <item h="1" x="15816"/>
        <item h="1" x="15817"/>
        <item h="1" x="15818"/>
        <item h="1" x="15819"/>
        <item h="1" x="15820"/>
        <item h="1" x="15821"/>
        <item h="1" x="15822"/>
        <item h="1" x="15823"/>
        <item h="1" x="15824"/>
        <item h="1" x="15825"/>
        <item h="1" x="15826"/>
        <item h="1" x="15827"/>
        <item h="1" x="15828"/>
        <item h="1" x="15829"/>
        <item h="1" x="15830"/>
        <item h="1" x="15831"/>
        <item h="1" x="15832"/>
        <item h="1" x="15833"/>
        <item h="1" x="15834"/>
        <item h="1" x="15835"/>
        <item h="1" x="15836"/>
        <item h="1" x="15837"/>
        <item h="1" x="15838"/>
        <item h="1" x="15839"/>
        <item h="1" x="15840"/>
        <item h="1" x="15841"/>
        <item h="1" x="15842"/>
        <item h="1" x="15843"/>
        <item h="1" x="15844"/>
        <item h="1" x="15845"/>
        <item h="1" x="15846"/>
        <item h="1" x="15847"/>
        <item h="1" x="15848"/>
        <item h="1" x="15849"/>
        <item h="1" x="15850"/>
        <item h="1" x="15851"/>
        <item h="1" x="15852"/>
        <item h="1" x="15853"/>
        <item h="1" x="15854"/>
        <item h="1" x="15855"/>
        <item h="1" x="15856"/>
        <item h="1" x="15857"/>
        <item h="1" x="15858"/>
        <item h="1" x="15859"/>
        <item h="1" x="15860"/>
        <item h="1" x="15861"/>
        <item h="1" x="15862"/>
        <item h="1" x="15863"/>
        <item h="1" x="15864"/>
        <item h="1" x="15865"/>
        <item h="1" x="15866"/>
        <item h="1" x="15867"/>
        <item h="1" x="15868"/>
        <item h="1" x="15869"/>
        <item h="1" x="15870"/>
        <item h="1" x="15871"/>
        <item h="1" x="15872"/>
        <item h="1" x="15873"/>
        <item h="1" x="15874"/>
        <item h="1" x="15875"/>
        <item h="1" x="15876"/>
        <item h="1" x="15877"/>
        <item h="1" x="15878"/>
        <item h="1" x="15879"/>
        <item h="1" x="15880"/>
        <item h="1" x="15881"/>
        <item h="1" x="15882"/>
        <item h="1" x="15883"/>
        <item h="1" x="15884"/>
        <item h="1" x="15885"/>
        <item h="1" x="15886"/>
        <item h="1" x="15887"/>
        <item h="1" x="15888"/>
        <item h="1" x="15889"/>
        <item h="1" x="15890"/>
        <item h="1" x="15891"/>
        <item h="1" x="15892"/>
        <item h="1" x="15893"/>
        <item h="1" x="15894"/>
        <item h="1" x="15895"/>
        <item h="1" x="15896"/>
        <item h="1" x="15897"/>
        <item h="1" x="15898"/>
        <item h="1" x="15899"/>
        <item h="1" x="15900"/>
        <item h="1" x="15901"/>
        <item h="1" x="15902"/>
        <item h="1" x="15903"/>
        <item h="1" x="15904"/>
        <item h="1" x="15905"/>
        <item h="1" x="15906"/>
        <item h="1" x="15907"/>
        <item h="1" x="15908"/>
        <item h="1" x="15909"/>
        <item h="1" x="15910"/>
        <item h="1" x="15911"/>
        <item h="1" x="15912"/>
        <item h="1" x="15913"/>
        <item h="1" x="15914"/>
        <item h="1" x="15915"/>
        <item h="1" x="15916"/>
        <item h="1" x="15917"/>
        <item h="1" x="15918"/>
        <item h="1" x="15919"/>
        <item h="1" x="15920"/>
        <item h="1" x="15921"/>
        <item h="1" x="15922"/>
        <item h="1" x="15923"/>
        <item h="1" x="15924"/>
        <item h="1" x="15925"/>
        <item h="1" x="15926"/>
        <item h="1" x="15927"/>
        <item h="1" x="15928"/>
        <item h="1" x="15929"/>
        <item h="1" x="15930"/>
        <item h="1" x="15931"/>
        <item h="1" x="15932"/>
        <item h="1" x="15933"/>
        <item h="1" x="15934"/>
        <item h="1" x="15935"/>
        <item h="1" x="15936"/>
        <item h="1" x="15937"/>
        <item h="1" x="15938"/>
        <item h="1" x="15939"/>
        <item h="1" x="15940"/>
        <item h="1" x="15941"/>
        <item h="1" x="15942"/>
        <item h="1" x="15943"/>
        <item h="1" x="15944"/>
        <item h="1" x="15945"/>
        <item h="1" x="15946"/>
        <item h="1" x="15947"/>
        <item h="1" x="15948"/>
        <item h="1" x="15949"/>
        <item h="1" x="15950"/>
        <item h="1" x="15951"/>
        <item h="1" x="15952"/>
        <item h="1" x="15953"/>
        <item h="1" x="15954"/>
        <item h="1" x="15955"/>
        <item h="1" x="15956"/>
        <item h="1" x="15957"/>
        <item h="1" x="15958"/>
        <item h="1" x="15959"/>
        <item h="1" x="15960"/>
        <item h="1" x="15961"/>
        <item h="1" x="15962"/>
        <item h="1" x="15963"/>
        <item h="1" x="15964"/>
        <item h="1" x="15965"/>
        <item h="1" x="15966"/>
        <item h="1" x="15967"/>
        <item h="1" x="15968"/>
        <item h="1" x="15969"/>
        <item h="1" x="15970"/>
        <item h="1" x="15971"/>
        <item h="1" x="15972"/>
        <item h="1" x="15973"/>
        <item h="1" x="15974"/>
        <item h="1" x="15975"/>
        <item h="1" x="15976"/>
        <item h="1" x="15977"/>
        <item h="1" x="15978"/>
        <item h="1" x="15979"/>
        <item h="1" x="15980"/>
        <item h="1" x="15981"/>
        <item h="1" x="15982"/>
        <item h="1" x="15983"/>
        <item h="1" x="15984"/>
        <item h="1" x="15985"/>
        <item h="1" x="15986"/>
        <item h="1" x="15987"/>
        <item h="1" x="15988"/>
        <item h="1" x="15989"/>
        <item h="1" x="15990"/>
        <item h="1" x="15991"/>
        <item h="1" x="15992"/>
        <item h="1" x="15993"/>
        <item h="1" x="15994"/>
        <item h="1" x="15995"/>
        <item h="1" x="15996"/>
        <item h="1" x="15997"/>
        <item h="1" x="15998"/>
        <item h="1" x="15999"/>
        <item h="1" x="16000"/>
        <item h="1" x="16001"/>
        <item h="1" x="16002"/>
        <item h="1" x="16003"/>
        <item h="1" x="16004"/>
        <item h="1" x="16005"/>
        <item h="1" x="16006"/>
        <item h="1" x="16007"/>
        <item h="1" x="16008"/>
        <item h="1" x="16009"/>
        <item h="1" x="16010"/>
        <item h="1" x="16011"/>
        <item h="1" x="16012"/>
        <item h="1" x="16013"/>
        <item h="1" x="16014"/>
        <item h="1" x="16015"/>
        <item h="1" x="16016"/>
        <item h="1" x="16017"/>
        <item h="1" x="16018"/>
        <item h="1" x="16019"/>
        <item h="1" x="16020"/>
        <item h="1" x="16021"/>
        <item h="1" x="16022"/>
        <item h="1" x="16023"/>
        <item h="1" x="16024"/>
        <item h="1" x="16025"/>
        <item h="1" x="16026"/>
        <item h="1" x="16027"/>
        <item h="1" x="16028"/>
        <item h="1" x="16029"/>
        <item h="1" x="16030"/>
        <item h="1" x="16031"/>
        <item h="1" x="16032"/>
        <item h="1" x="16033"/>
        <item h="1" x="16034"/>
        <item h="1" x="16035"/>
        <item h="1" x="16036"/>
        <item h="1" x="16037"/>
        <item h="1" x="16038"/>
        <item h="1" x="16039"/>
        <item h="1" x="16040"/>
        <item h="1" x="16041"/>
        <item h="1" x="16042"/>
        <item h="1" x="16043"/>
        <item h="1" x="16044"/>
        <item h="1" x="16045"/>
        <item h="1" x="16046"/>
        <item h="1" x="16047"/>
        <item h="1" x="16048"/>
        <item h="1" x="16049"/>
        <item h="1" x="16050"/>
        <item h="1" x="16051"/>
        <item h="1" x="16052"/>
        <item h="1" x="16053"/>
        <item h="1" x="16054"/>
        <item h="1" x="16055"/>
        <item h="1" x="16056"/>
        <item h="1" x="16057"/>
        <item h="1" x="16058"/>
        <item h="1" x="16059"/>
        <item h="1" x="16060"/>
        <item h="1" x="16061"/>
        <item h="1" x="16062"/>
        <item h="1" x="16063"/>
        <item h="1" x="16064"/>
        <item h="1" x="16065"/>
        <item h="1" x="16066"/>
        <item h="1" x="16067"/>
        <item h="1" x="16068"/>
        <item h="1" x="16069"/>
        <item h="1" x="16070"/>
        <item h="1" x="16071"/>
        <item h="1" x="16072"/>
        <item h="1" x="16073"/>
        <item h="1" x="16074"/>
        <item h="1" x="16075"/>
        <item h="1" x="16076"/>
        <item h="1" x="16077"/>
        <item h="1" x="16078"/>
        <item h="1" x="16079"/>
        <item h="1" x="16080"/>
        <item h="1" x="16081"/>
        <item h="1" x="16082"/>
        <item h="1" x="16083"/>
        <item h="1" x="16084"/>
        <item h="1" x="16085"/>
        <item h="1" x="16086"/>
        <item h="1" x="16087"/>
        <item h="1" x="16088"/>
        <item h="1" x="16089"/>
        <item h="1" x="16090"/>
        <item h="1" x="16091"/>
        <item h="1" x="16092"/>
        <item h="1" x="16093"/>
        <item h="1" x="16094"/>
        <item h="1" x="16095"/>
        <item h="1" x="16096"/>
        <item h="1" x="16097"/>
        <item h="1" x="16098"/>
        <item h="1" x="16099"/>
        <item h="1" x="16100"/>
        <item h="1" x="16101"/>
        <item h="1" x="16102"/>
        <item h="1" x="16103"/>
        <item h="1" x="16104"/>
        <item h="1" x="16105"/>
        <item h="1" x="16106"/>
        <item h="1" x="16107"/>
        <item h="1" x="16108"/>
        <item h="1" x="16109"/>
        <item h="1" x="16110"/>
        <item h="1" x="16111"/>
        <item h="1" x="16112"/>
        <item h="1" x="16113"/>
        <item h="1" x="16114"/>
        <item h="1" x="16115"/>
        <item h="1" x="16116"/>
        <item h="1" x="16117"/>
        <item h="1" x="16118"/>
        <item h="1" x="16119"/>
        <item h="1" x="16120"/>
        <item h="1" x="16121"/>
        <item h="1" x="16122"/>
        <item h="1" x="16123"/>
        <item h="1" x="16124"/>
        <item h="1" x="16125"/>
        <item h="1" x="16126"/>
        <item h="1" x="16127"/>
        <item h="1" x="16128"/>
        <item h="1" x="16129"/>
        <item h="1" x="16130"/>
        <item h="1" x="16131"/>
        <item h="1" x="16132"/>
        <item h="1" x="16133"/>
        <item h="1" x="16134"/>
        <item h="1" x="16135"/>
        <item h="1" x="16136"/>
        <item h="1" x="16137"/>
        <item h="1" x="16138"/>
        <item h="1" x="16139"/>
        <item h="1" x="16140"/>
        <item h="1" x="16141"/>
        <item h="1" x="16142"/>
        <item h="1" x="16143"/>
        <item h="1" x="16144"/>
        <item h="1" x="16145"/>
        <item h="1" x="16146"/>
        <item h="1" x="16147"/>
        <item h="1" x="16148"/>
        <item h="1" x="16149"/>
        <item h="1" x="16150"/>
        <item h="1" x="16151"/>
        <item h="1" x="16152"/>
        <item h="1" x="16153"/>
        <item h="1" x="16154"/>
        <item h="1" x="16155"/>
        <item h="1" x="16156"/>
        <item h="1" x="16157"/>
        <item h="1" x="16158"/>
        <item h="1" x="16159"/>
        <item h="1" x="16160"/>
        <item h="1" x="16161"/>
        <item h="1" x="16162"/>
        <item h="1" x="16163"/>
        <item h="1" x="16164"/>
        <item h="1" x="16165"/>
        <item h="1" x="16166"/>
        <item h="1" x="16167"/>
        <item h="1" x="16168"/>
        <item h="1" x="16169"/>
        <item h="1" x="16170"/>
        <item h="1" x="16171"/>
        <item h="1" x="16172"/>
        <item h="1" x="16173"/>
        <item h="1" x="16174"/>
        <item h="1" x="16175"/>
        <item h="1" x="16176"/>
        <item h="1" x="16177"/>
        <item h="1" x="16178"/>
        <item h="1" x="16179"/>
        <item h="1" x="16180"/>
        <item h="1" x="16181"/>
        <item h="1" x="16182"/>
        <item h="1" x="16183"/>
        <item h="1" x="16184"/>
        <item h="1" x="16185"/>
        <item h="1" x="16186"/>
        <item h="1" x="16187"/>
        <item h="1" x="16188"/>
        <item h="1" x="16189"/>
        <item h="1" x="16190"/>
        <item h="1" x="16191"/>
        <item h="1" x="16192"/>
        <item h="1" x="16193"/>
        <item h="1" x="16194"/>
        <item h="1" x="16195"/>
        <item h="1" x="16196"/>
        <item h="1" x="16197"/>
        <item h="1" x="16198"/>
        <item h="1" x="16199"/>
        <item h="1" x="16200"/>
        <item h="1" x="16201"/>
        <item h="1" x="16202"/>
        <item h="1" x="16203"/>
        <item h="1" x="16204"/>
        <item h="1" x="16205"/>
        <item h="1" x="16206"/>
        <item h="1" x="16207"/>
        <item h="1" x="16208"/>
        <item h="1" x="16209"/>
        <item h="1" x="16210"/>
        <item h="1" x="16211"/>
        <item h="1" x="16212"/>
        <item h="1" x="16213"/>
        <item h="1" x="16214"/>
        <item h="1" x="16215"/>
        <item h="1" x="16216"/>
        <item h="1" x="16217"/>
        <item h="1" x="16218"/>
        <item h="1" x="16219"/>
        <item h="1" x="16220"/>
        <item h="1" x="16221"/>
        <item h="1" x="16222"/>
        <item h="1" x="16223"/>
        <item h="1" x="16224"/>
        <item h="1" x="16225"/>
        <item h="1" x="16226"/>
        <item h="1" x="16227"/>
        <item h="1" x="16228"/>
        <item h="1" x="16229"/>
        <item h="1" x="16230"/>
        <item h="1" x="16231"/>
        <item h="1" x="16232"/>
        <item h="1" x="16233"/>
        <item h="1" x="16234"/>
        <item h="1" x="16235"/>
        <item h="1" x="16236"/>
        <item h="1" x="16237"/>
        <item h="1" x="16238"/>
        <item h="1" x="16239"/>
        <item h="1" x="16240"/>
        <item h="1" x="16241"/>
        <item h="1" x="16242"/>
        <item h="1" x="16243"/>
        <item h="1" x="16244"/>
        <item h="1" x="16245"/>
        <item h="1" x="16246"/>
        <item h="1" x="16247"/>
        <item h="1" x="16248"/>
        <item h="1" x="16249"/>
        <item h="1" x="16250"/>
        <item h="1" x="16251"/>
        <item h="1" x="16252"/>
        <item h="1" x="16253"/>
        <item h="1" x="16254"/>
        <item h="1" x="16255"/>
        <item h="1" x="16256"/>
        <item h="1" x="16257"/>
        <item h="1" x="16258"/>
        <item h="1" x="16259"/>
        <item h="1" x="16260"/>
        <item h="1" x="16261"/>
        <item h="1" x="16262"/>
        <item h="1" x="16263"/>
        <item h="1" x="16264"/>
        <item h="1" x="16265"/>
        <item h="1" x="16266"/>
        <item h="1" x="16267"/>
        <item h="1" x="16268"/>
        <item h="1" x="16269"/>
        <item h="1" x="16270"/>
        <item h="1" x="16271"/>
        <item h="1" x="16272"/>
        <item h="1" x="16273"/>
        <item h="1" x="16274"/>
        <item h="1" x="16275"/>
        <item h="1" x="16276"/>
        <item h="1" x="16277"/>
        <item h="1" x="16278"/>
        <item h="1" x="16279"/>
        <item h="1" x="16280"/>
        <item h="1" x="16281"/>
        <item h="1" x="16282"/>
        <item h="1" x="16283"/>
        <item h="1" x="16284"/>
        <item h="1" x="16285"/>
        <item h="1" x="16286"/>
        <item h="1" x="16287"/>
        <item h="1" x="16288"/>
        <item h="1" x="16289"/>
        <item h="1" x="16290"/>
        <item h="1" x="16291"/>
        <item h="1" x="16292"/>
        <item h="1" x="16293"/>
        <item h="1" x="16294"/>
        <item h="1" x="16295"/>
        <item h="1" x="16296"/>
        <item h="1" x="16297"/>
        <item h="1" x="16298"/>
        <item h="1" x="16299"/>
        <item h="1" x="16300"/>
        <item h="1" x="16301"/>
        <item h="1" x="16302"/>
        <item h="1" x="16303"/>
        <item h="1" x="16304"/>
        <item h="1" x="16305"/>
        <item h="1" x="16306"/>
        <item h="1" x="16307"/>
        <item h="1" x="16308"/>
        <item h="1" x="16309"/>
        <item h="1" x="16310"/>
        <item h="1" x="16311"/>
        <item h="1" x="16312"/>
        <item h="1" x="16313"/>
        <item h="1" x="16314"/>
        <item h="1" x="16315"/>
        <item h="1" x="16316"/>
        <item h="1" x="16317"/>
        <item h="1" x="16318"/>
        <item h="1" x="16319"/>
        <item h="1" x="16320"/>
        <item h="1" x="16321"/>
        <item h="1" x="16322"/>
        <item h="1" x="16323"/>
        <item h="1" x="16324"/>
        <item h="1" x="16325"/>
        <item h="1" x="16326"/>
        <item h="1" x="16327"/>
        <item h="1" x="16328"/>
        <item h="1" x="16329"/>
        <item h="1" x="16330"/>
        <item h="1" x="16331"/>
        <item h="1" x="16332"/>
        <item h="1" x="16333"/>
        <item h="1" x="16334"/>
        <item h="1" x="16335"/>
        <item h="1" x="16336"/>
        <item h="1" x="16337"/>
        <item h="1" x="16338"/>
        <item h="1" x="16339"/>
        <item h="1" x="16340"/>
        <item h="1" x="16341"/>
        <item h="1" x="16342"/>
        <item h="1" x="16343"/>
        <item h="1" x="16344"/>
        <item h="1" x="16345"/>
        <item h="1" x="16346"/>
        <item h="1" x="16347"/>
        <item h="1" x="16348"/>
        <item h="1" x="16349"/>
        <item h="1" x="16350"/>
        <item h="1" x="16351"/>
        <item h="1" x="16352"/>
        <item h="1" x="16353"/>
        <item h="1" x="16354"/>
        <item h="1" x="16355"/>
        <item h="1" x="16356"/>
        <item h="1" x="16357"/>
        <item h="1" x="16358"/>
        <item h="1" x="16359"/>
        <item h="1" x="16360"/>
        <item h="1" x="16361"/>
        <item h="1" x="16362"/>
        <item h="1" x="16363"/>
        <item h="1" x="16364"/>
        <item h="1" x="16365"/>
        <item h="1" x="16366"/>
        <item h="1" x="16367"/>
        <item h="1" x="16368"/>
        <item h="1" x="16369"/>
        <item h="1" x="16370"/>
        <item h="1" x="16371"/>
        <item h="1" x="16372"/>
        <item h="1" x="16373"/>
        <item h="1" x="16374"/>
        <item h="1" x="16375"/>
        <item h="1" x="16376"/>
        <item h="1" x="16377"/>
        <item h="1" x="16378"/>
        <item h="1" x="16379"/>
        <item h="1" x="16380"/>
        <item h="1" x="16381"/>
        <item h="1" x="16382"/>
        <item h="1" x="16383"/>
        <item h="1" x="16384"/>
        <item h="1" x="16385"/>
        <item h="1" x="16386"/>
        <item h="1" x="16387"/>
        <item h="1" x="16388"/>
        <item h="1" x="16389"/>
        <item h="1" x="16390"/>
        <item h="1" x="16391"/>
        <item h="1" x="16392"/>
        <item h="1" x="16393"/>
        <item h="1" x="16394"/>
        <item h="1" x="16395"/>
        <item h="1" x="16396"/>
        <item h="1" x="16397"/>
        <item h="1" x="16398"/>
        <item h="1" x="16399"/>
        <item h="1" x="16400"/>
        <item h="1" x="16401"/>
        <item h="1" x="16402"/>
        <item h="1" x="16403"/>
        <item h="1" x="16404"/>
        <item h="1" x="16405"/>
        <item h="1" x="16406"/>
        <item h="1" x="16407"/>
        <item h="1" x="16408"/>
        <item h="1" x="16409"/>
        <item h="1" x="16410"/>
        <item h="1" x="16411"/>
        <item h="1" x="16412"/>
        <item h="1" x="16413"/>
        <item h="1" x="16414"/>
        <item h="1" x="16415"/>
        <item h="1" x="16416"/>
        <item h="1" x="16417"/>
        <item h="1" x="16418"/>
        <item h="1" x="16419"/>
        <item h="1" x="16420"/>
        <item h="1" x="16421"/>
        <item h="1" x="16422"/>
        <item h="1" x="16423"/>
        <item h="1" x="16424"/>
        <item h="1" x="16425"/>
        <item h="1" x="16426"/>
        <item h="1" x="16427"/>
        <item h="1" x="16428"/>
        <item h="1" x="16429"/>
        <item h="1" x="16430"/>
        <item h="1" x="16431"/>
        <item h="1" x="16432"/>
        <item h="1" x="16433"/>
        <item h="1" x="16434"/>
        <item h="1" x="16435"/>
        <item h="1" x="16436"/>
        <item h="1" x="16437"/>
        <item h="1" x="16438"/>
        <item h="1" x="16439"/>
        <item h="1" x="16440"/>
        <item h="1" x="16441"/>
        <item h="1" x="16442"/>
        <item h="1" x="16443"/>
        <item h="1" x="16444"/>
        <item h="1" x="16445"/>
        <item h="1" x="16446"/>
        <item h="1" x="16447"/>
        <item h="1" x="16448"/>
        <item h="1" x="16449"/>
        <item h="1" x="16450"/>
        <item h="1" x="16451"/>
        <item h="1" x="16452"/>
        <item h="1" x="16453"/>
        <item h="1" x="16454"/>
        <item h="1" x="16455"/>
        <item h="1" x="16456"/>
        <item h="1" x="16457"/>
        <item h="1" x="16458"/>
        <item h="1" x="16459"/>
        <item h="1" x="16460"/>
        <item h="1" x="16461"/>
        <item h="1" x="16462"/>
        <item h="1" x="16463"/>
        <item h="1" x="16464"/>
        <item h="1" x="16465"/>
        <item h="1" x="16466"/>
        <item h="1" x="16467"/>
        <item h="1" x="16468"/>
        <item h="1" x="16469"/>
        <item h="1" x="16470"/>
        <item h="1" x="16471"/>
        <item h="1" x="16472"/>
        <item h="1" x="16473"/>
        <item h="1" x="16474"/>
        <item h="1" x="16475"/>
        <item h="1" x="16476"/>
        <item h="1" x="16477"/>
        <item h="1" x="16478"/>
        <item h="1" x="16479"/>
        <item h="1" x="16480"/>
        <item h="1" x="16481"/>
        <item h="1" x="16482"/>
        <item h="1" x="16483"/>
        <item h="1" x="16484"/>
        <item h="1" x="16485"/>
        <item h="1" x="16486"/>
        <item h="1" x="16487"/>
        <item h="1" x="16488"/>
        <item h="1" x="16489"/>
        <item h="1" x="16490"/>
        <item h="1" x="16491"/>
        <item h="1" x="16492"/>
        <item h="1" x="16493"/>
        <item h="1" x="16494"/>
        <item h="1" x="16495"/>
        <item h="1" x="16496"/>
        <item h="1" x="16497"/>
        <item h="1" x="16498"/>
        <item h="1" x="16499"/>
        <item h="1" x="16500"/>
        <item h="1" x="16501"/>
        <item h="1" x="16502"/>
        <item h="1" x="16503"/>
        <item h="1" x="16504"/>
        <item h="1" x="16505"/>
        <item h="1" x="16506"/>
        <item h="1" x="16507"/>
        <item h="1" x="16508"/>
        <item h="1" x="16509"/>
        <item h="1" x="16510"/>
        <item h="1" x="16511"/>
        <item h="1" x="16512"/>
        <item h="1" x="16513"/>
        <item h="1" x="16514"/>
        <item h="1" x="16515"/>
        <item h="1" x="16516"/>
        <item h="1" x="16517"/>
        <item h="1" x="16518"/>
        <item h="1" x="16519"/>
        <item h="1" x="16520"/>
        <item h="1" x="16521"/>
        <item h="1" x="16522"/>
        <item h="1" x="16523"/>
        <item h="1" x="16524"/>
        <item h="1" x="16525"/>
        <item h="1" x="16526"/>
        <item h="1" x="16527"/>
        <item h="1" x="16528"/>
        <item h="1" x="16529"/>
        <item h="1" x="16530"/>
        <item h="1" x="16531"/>
        <item h="1" x="16532"/>
        <item h="1" x="16533"/>
        <item h="1" x="16534"/>
        <item h="1" x="16535"/>
        <item h="1" x="16536"/>
        <item h="1" x="16537"/>
        <item h="1" x="16538"/>
        <item h="1" x="16539"/>
        <item h="1" x="16540"/>
        <item h="1" x="16541"/>
        <item h="1" x="16542"/>
        <item h="1" x="16543"/>
        <item h="1" x="16544"/>
        <item h="1" x="16545"/>
        <item h="1" x="16546"/>
        <item h="1" x="16547"/>
        <item h="1" x="16548"/>
        <item h="1" x="16549"/>
        <item h="1" x="16550"/>
        <item h="1" x="16551"/>
        <item h="1" x="16552"/>
        <item h="1" x="16553"/>
        <item h="1" x="16554"/>
        <item h="1" x="16555"/>
        <item h="1" x="16556"/>
        <item h="1" x="16557"/>
        <item h="1" x="16558"/>
        <item h="1" x="16559"/>
        <item h="1" x="16560"/>
        <item h="1" x="16561"/>
        <item h="1" x="16562"/>
        <item h="1" x="16563"/>
        <item h="1" x="16564"/>
        <item h="1" x="16565"/>
        <item h="1" x="16566"/>
        <item h="1" x="16567"/>
        <item h="1" x="16568"/>
        <item h="1" x="16569"/>
        <item h="1" x="16570"/>
        <item h="1" x="16571"/>
        <item h="1" x="16572"/>
        <item h="1" x="16573"/>
        <item h="1" x="16574"/>
        <item h="1" x="16575"/>
        <item h="1" x="16576"/>
        <item h="1" x="16577"/>
        <item h="1" x="16578"/>
        <item h="1" x="16579"/>
        <item h="1" x="16580"/>
        <item h="1" x="16581"/>
        <item h="1" x="16582"/>
        <item h="1" x="16583"/>
        <item h="1" x="16584"/>
        <item h="1" x="16585"/>
        <item h="1" x="16586"/>
        <item h="1" x="16587"/>
        <item h="1" x="16588"/>
        <item h="1" x="16589"/>
        <item h="1" x="16590"/>
        <item h="1" x="16591"/>
        <item h="1" x="16592"/>
        <item h="1" x="16593"/>
        <item h="1" x="16594"/>
        <item h="1" x="16595"/>
        <item h="1" x="16596"/>
        <item h="1" x="16597"/>
        <item h="1" x="16598"/>
        <item h="1" x="16599"/>
        <item h="1" x="16600"/>
        <item h="1" x="16601"/>
        <item h="1" x="16602"/>
        <item h="1" x="16603"/>
        <item h="1" x="16604"/>
        <item h="1" x="16605"/>
        <item h="1" x="16606"/>
        <item h="1" x="16607"/>
        <item h="1" x="16608"/>
        <item h="1" x="16609"/>
        <item h="1" x="16610"/>
        <item h="1" x="16611"/>
        <item h="1" x="16612"/>
        <item h="1" x="16613"/>
        <item h="1" x="16614"/>
        <item h="1" x="16615"/>
        <item h="1" x="16616"/>
        <item h="1" x="16617"/>
        <item h="1" x="16618"/>
        <item h="1" x="16619"/>
        <item h="1" x="16620"/>
        <item h="1" x="16621"/>
        <item h="1" x="16622"/>
        <item h="1" x="16623"/>
        <item h="1" x="16624"/>
        <item h="1" x="16625"/>
        <item h="1" x="16626"/>
        <item h="1" x="16627"/>
        <item h="1" x="16628"/>
        <item h="1" x="16629"/>
        <item h="1" x="16630"/>
        <item h="1" x="16631"/>
        <item h="1" x="16632"/>
        <item h="1" x="16633"/>
        <item h="1" x="16634"/>
        <item h="1" x="16635"/>
        <item h="1" x="16636"/>
        <item h="1" x="16637"/>
        <item h="1" x="16638"/>
        <item h="1" x="16639"/>
        <item h="1" x="16640"/>
        <item h="1" x="16641"/>
        <item h="1" x="16642"/>
        <item h="1" x="16643"/>
        <item h="1" x="16644"/>
        <item h="1" x="16645"/>
        <item h="1" x="16646"/>
        <item h="1" x="16647"/>
        <item h="1" x="16648"/>
        <item h="1" x="16649"/>
        <item h="1" x="16650"/>
        <item h="1" x="16651"/>
        <item h="1" x="16652"/>
        <item h="1" x="16653"/>
        <item h="1" x="16654"/>
        <item h="1" x="16655"/>
        <item h="1" x="16656"/>
        <item h="1" x="16657"/>
        <item h="1" x="16658"/>
        <item h="1" x="16659"/>
        <item h="1" x="16660"/>
        <item h="1" x="16661"/>
        <item h="1" x="16662"/>
        <item h="1" x="16663"/>
        <item h="1" x="16664"/>
        <item h="1" x="16665"/>
        <item h="1" x="16666"/>
        <item h="1" x="16667"/>
        <item h="1" x="16668"/>
        <item h="1" x="16669"/>
        <item h="1" x="16670"/>
        <item h="1" x="16671"/>
        <item h="1" x="16672"/>
        <item h="1" x="16673"/>
        <item h="1" x="16674"/>
        <item h="1" x="16675"/>
        <item h="1" x="16676"/>
        <item h="1" x="16677"/>
        <item h="1" x="16678"/>
        <item h="1" x="16679"/>
        <item h="1" x="16680"/>
        <item h="1" x="16681"/>
        <item h="1" x="16682"/>
        <item h="1" x="16683"/>
        <item h="1" x="16684"/>
        <item h="1" x="16685"/>
        <item h="1" x="16686"/>
        <item h="1" x="16687"/>
        <item h="1" x="16688"/>
        <item h="1" x="16689"/>
        <item h="1" x="16690"/>
        <item h="1" x="16691"/>
        <item h="1" x="16692"/>
        <item h="1" x="16693"/>
        <item h="1" x="16694"/>
        <item h="1" x="16695"/>
        <item h="1" x="16696"/>
        <item h="1" x="16697"/>
        <item h="1" x="16698"/>
        <item h="1" x="16699"/>
        <item h="1" x="16700"/>
        <item h="1" x="16701"/>
        <item h="1" x="16702"/>
        <item h="1" x="16703"/>
        <item h="1" x="16704"/>
        <item h="1" x="16705"/>
        <item h="1" x="16706"/>
        <item h="1" x="16707"/>
        <item h="1" x="16708"/>
        <item h="1" x="16709"/>
        <item h="1" x="16710"/>
        <item h="1" x="16711"/>
        <item h="1" x="16712"/>
        <item h="1" x="16713"/>
        <item h="1" x="16714"/>
        <item h="1" x="16715"/>
        <item h="1" x="16716"/>
        <item h="1" x="16717"/>
        <item h="1" x="16718"/>
        <item h="1" x="16719"/>
        <item h="1" x="16720"/>
        <item h="1" x="16721"/>
        <item h="1" x="16722"/>
        <item h="1" x="16723"/>
        <item h="1" x="16724"/>
        <item h="1" x="16725"/>
        <item h="1" x="16726"/>
        <item h="1" x="16727"/>
        <item h="1" x="16728"/>
        <item h="1" x="16729"/>
        <item h="1" x="16730"/>
        <item h="1" x="16731"/>
        <item h="1" x="16732"/>
        <item h="1" x="16733"/>
        <item h="1" x="16734"/>
        <item h="1" x="16735"/>
        <item h="1" x="16736"/>
        <item h="1" x="16737"/>
        <item h="1" x="16738"/>
        <item h="1" x="16739"/>
        <item h="1" x="16740"/>
        <item h="1" x="16741"/>
        <item h="1" x="16742"/>
        <item h="1" x="16743"/>
        <item h="1" x="16744"/>
        <item h="1" x="16745"/>
        <item h="1" x="16746"/>
        <item h="1" x="16747"/>
        <item h="1" x="16748"/>
        <item h="1" x="16749"/>
        <item h="1" x="16750"/>
        <item h="1" x="16751"/>
        <item h="1" x="16752"/>
        <item h="1" x="16753"/>
        <item h="1" x="16754"/>
        <item h="1" x="16755"/>
        <item h="1" x="16756"/>
        <item h="1" x="16757"/>
        <item h="1" x="16758"/>
        <item h="1" x="16759"/>
        <item h="1" x="16760"/>
        <item h="1" x="16761"/>
        <item h="1" x="16762"/>
        <item h="1" x="16763"/>
        <item h="1" x="16764"/>
        <item h="1" x="16765"/>
        <item h="1" x="16766"/>
        <item h="1" x="16767"/>
        <item h="1" x="16768"/>
        <item h="1" x="16769"/>
        <item h="1" x="16770"/>
        <item h="1" x="16771"/>
        <item h="1" x="16772"/>
        <item h="1" x="16773"/>
        <item h="1" x="16774"/>
        <item h="1" x="16775"/>
        <item h="1" x="16776"/>
        <item h="1" x="16777"/>
        <item h="1" x="16778"/>
        <item h="1" x="16779"/>
        <item h="1" x="16780"/>
        <item h="1" x="16781"/>
        <item h="1" x="16782"/>
        <item h="1" x="16783"/>
        <item h="1" x="16784"/>
        <item h="1" x="16785"/>
        <item h="1" x="16786"/>
        <item h="1" x="16787"/>
        <item h="1" x="16788"/>
        <item h="1" x="16789"/>
        <item h="1" x="16790"/>
        <item h="1" x="16791"/>
        <item h="1" x="16792"/>
        <item h="1" x="16793"/>
        <item h="1" x="16794"/>
        <item h="1" x="16795"/>
        <item h="1" x="16796"/>
        <item h="1" x="16797"/>
        <item h="1" x="16798"/>
        <item h="1" x="16799"/>
        <item h="1" x="16800"/>
        <item h="1" x="16801"/>
        <item h="1" x="16802"/>
        <item h="1" x="16803"/>
        <item h="1" x="16804"/>
        <item h="1" x="16805"/>
        <item h="1" x="16806"/>
        <item h="1" x="16807"/>
        <item h="1" x="16808"/>
        <item h="1" x="16809"/>
        <item h="1" x="16810"/>
        <item h="1" x="16811"/>
        <item h="1" x="16812"/>
        <item h="1" x="16813"/>
        <item h="1" x="16814"/>
        <item h="1" x="16815"/>
        <item h="1" x="16816"/>
        <item h="1" x="16817"/>
        <item h="1" x="16818"/>
        <item h="1" x="16819"/>
        <item h="1" x="16820"/>
        <item h="1" x="16821"/>
        <item h="1" x="16822"/>
        <item h="1" x="16823"/>
        <item h="1" x="16824"/>
        <item h="1" x="16825"/>
        <item h="1" x="16826"/>
        <item h="1" x="16827"/>
        <item h="1" x="16828"/>
        <item h="1" x="16829"/>
        <item h="1" x="16830"/>
        <item h="1" x="16831"/>
        <item h="1" x="16832"/>
        <item h="1" x="16833"/>
        <item h="1" x="16834"/>
        <item h="1" x="16835"/>
        <item h="1" x="16836"/>
        <item h="1" x="16837"/>
        <item h="1" x="16838"/>
        <item h="1" x="16839"/>
        <item h="1" x="16840"/>
        <item h="1" x="16841"/>
        <item h="1" x="16842"/>
        <item h="1" x="16843"/>
        <item h="1" x="16844"/>
        <item h="1" x="16845"/>
        <item h="1" x="16846"/>
        <item h="1" x="16847"/>
        <item h="1" x="16848"/>
        <item h="1" x="16849"/>
        <item h="1" x="16850"/>
        <item h="1" x="16851"/>
        <item h="1" x="16852"/>
        <item h="1" x="16853"/>
        <item h="1" x="16854"/>
        <item h="1" x="16855"/>
        <item h="1" x="16856"/>
        <item h="1" x="16857"/>
        <item h="1" x="16858"/>
        <item h="1" x="16859"/>
        <item h="1" x="16860"/>
        <item h="1" x="16861"/>
        <item h="1" x="16862"/>
        <item h="1" x="16863"/>
        <item h="1" x="16864"/>
        <item h="1" x="16865"/>
        <item h="1" x="16866"/>
        <item h="1" x="16867"/>
        <item h="1" x="16868"/>
        <item h="1" x="16869"/>
        <item h="1" x="16870"/>
        <item h="1" x="16871"/>
        <item h="1" x="16872"/>
        <item h="1" x="16873"/>
        <item h="1" x="16874"/>
        <item h="1" x="16875"/>
        <item h="1" x="16876"/>
        <item h="1" x="16877"/>
        <item h="1" x="16878"/>
        <item h="1" x="16879"/>
        <item h="1" x="16880"/>
        <item h="1" x="16881"/>
        <item h="1" x="16882"/>
        <item h="1" x="16883"/>
        <item h="1" x="16884"/>
        <item h="1" x="16885"/>
        <item h="1" x="16886"/>
        <item h="1" x="16887"/>
        <item h="1" x="16888"/>
        <item h="1" x="16889"/>
        <item h="1" x="16890"/>
        <item h="1" x="16891"/>
        <item h="1" x="16892"/>
        <item h="1" x="16893"/>
        <item h="1" x="16894"/>
        <item h="1" x="16895"/>
        <item h="1" x="16896"/>
        <item h="1" x="16897"/>
        <item h="1" x="16898"/>
        <item h="1" x="16899"/>
        <item h="1" x="16900"/>
        <item h="1" x="16901"/>
        <item h="1" x="16902"/>
        <item h="1" x="16903"/>
        <item h="1" x="16904"/>
        <item h="1" x="16905"/>
        <item h="1" x="16906"/>
        <item h="1" x="16907"/>
        <item h="1" x="16908"/>
        <item h="1" x="16909"/>
        <item h="1" x="16910"/>
        <item h="1" x="16911"/>
        <item h="1" x="16912"/>
        <item h="1" x="16913"/>
        <item h="1" x="16914"/>
        <item h="1" x="16915"/>
        <item h="1" x="16916"/>
        <item h="1" x="16917"/>
        <item h="1" x="16918"/>
        <item h="1" x="16919"/>
        <item h="1" x="16920"/>
        <item h="1" x="16921"/>
        <item h="1" x="16922"/>
        <item h="1" x="16923"/>
        <item h="1" x="16924"/>
        <item h="1" x="16925"/>
        <item h="1" x="16926"/>
        <item h="1" x="16927"/>
        <item h="1" x="16928"/>
        <item h="1" x="16929"/>
        <item h="1" x="16930"/>
        <item h="1" x="16931"/>
        <item h="1" x="16932"/>
        <item h="1" x="16933"/>
        <item h="1" x="16934"/>
        <item h="1" x="16935"/>
        <item h="1" x="16936"/>
        <item h="1" x="16937"/>
        <item h="1" x="16938"/>
        <item h="1" x="16939"/>
        <item h="1" x="16940"/>
        <item h="1" x="16941"/>
        <item h="1" x="16942"/>
        <item h="1" x="16943"/>
        <item h="1" x="16944"/>
        <item h="1" x="16945"/>
        <item h="1" x="16946"/>
        <item h="1" x="16947"/>
        <item h="1" x="16948"/>
        <item h="1" x="16949"/>
        <item h="1" x="16950"/>
        <item h="1" x="16951"/>
        <item h="1" x="16952"/>
        <item h="1" x="16953"/>
        <item h="1" x="16954"/>
        <item h="1" x="16955"/>
        <item h="1" x="16956"/>
        <item h="1" x="16957"/>
        <item h="1" x="16958"/>
        <item h="1" x="16959"/>
        <item h="1" x="16960"/>
        <item h="1" x="16961"/>
        <item h="1" x="16962"/>
        <item h="1" x="16963"/>
        <item h="1" x="16964"/>
        <item h="1" x="16965"/>
        <item h="1" x="16966"/>
        <item h="1" x="16967"/>
        <item h="1" x="16968"/>
        <item h="1" x="16969"/>
        <item h="1" x="16970"/>
        <item h="1" x="16971"/>
        <item h="1" x="16972"/>
        <item h="1" x="16973"/>
        <item h="1" x="16974"/>
        <item h="1" x="16975"/>
        <item h="1" x="16976"/>
        <item h="1" x="16977"/>
        <item h="1" x="16978"/>
        <item h="1" x="16979"/>
        <item h="1" x="16980"/>
        <item h="1" x="16981"/>
        <item h="1" x="16982"/>
        <item h="1" x="16983"/>
        <item h="1" x="16984"/>
        <item h="1" x="16985"/>
        <item h="1" x="16986"/>
        <item h="1" x="16987"/>
        <item h="1" x="16988"/>
        <item h="1" x="16989"/>
        <item h="1" x="16990"/>
        <item h="1" x="16991"/>
        <item h="1" x="16992"/>
        <item h="1" x="16993"/>
        <item h="1" x="16994"/>
        <item h="1" x="16995"/>
        <item h="1" x="16996"/>
        <item h="1" x="16997"/>
        <item h="1" x="16998"/>
        <item h="1" x="16999"/>
        <item h="1" x="17000"/>
        <item h="1" x="17001"/>
        <item h="1" x="17002"/>
        <item h="1" x="17003"/>
        <item h="1" x="17004"/>
        <item h="1" x="17005"/>
        <item h="1" x="17006"/>
        <item h="1" x="17007"/>
        <item h="1" x="17008"/>
        <item h="1" x="17009"/>
        <item h="1" x="17010"/>
        <item h="1" x="17011"/>
        <item h="1" x="17012"/>
        <item h="1" x="17013"/>
        <item h="1" x="17014"/>
        <item h="1" x="17015"/>
        <item h="1" x="17016"/>
        <item h="1" x="17017"/>
        <item h="1" x="17018"/>
        <item h="1" x="17019"/>
        <item h="1" x="17020"/>
        <item h="1" x="17021"/>
        <item h="1" x="17022"/>
        <item h="1" x="17023"/>
        <item h="1" x="17024"/>
        <item h="1" x="17025"/>
        <item h="1" x="17026"/>
        <item h="1" x="17027"/>
        <item h="1" x="17028"/>
        <item h="1" x="17029"/>
        <item h="1" x="17030"/>
        <item h="1" x="17031"/>
        <item h="1" x="17032"/>
        <item h="1" x="17033"/>
        <item h="1" x="17034"/>
        <item h="1" x="17035"/>
        <item h="1" x="17036"/>
        <item h="1" x="17037"/>
        <item h="1" x="17038"/>
        <item h="1" x="17039"/>
        <item h="1" x="17040"/>
        <item h="1" x="17041"/>
        <item h="1" x="17042"/>
        <item h="1" x="17043"/>
        <item h="1" x="17044"/>
        <item h="1" x="17045"/>
        <item h="1" x="17046"/>
        <item h="1" x="17047"/>
        <item h="1" x="17048"/>
        <item h="1" x="17049"/>
        <item h="1" x="17050"/>
        <item h="1" x="17051"/>
        <item h="1" x="17052"/>
        <item h="1" x="17053"/>
        <item h="1" x="17054"/>
        <item h="1" x="17055"/>
        <item h="1" x="17056"/>
        <item h="1" x="17057"/>
        <item h="1" x="17058"/>
        <item h="1" x="17059"/>
        <item h="1" x="17060"/>
        <item h="1" x="17061"/>
        <item h="1" x="17062"/>
        <item h="1" x="17063"/>
        <item h="1" x="17064"/>
        <item h="1" x="17065"/>
        <item h="1" x="17066"/>
        <item h="1" x="17067"/>
        <item h="1" x="17068"/>
        <item h="1" x="17069"/>
        <item h="1" x="17070"/>
        <item h="1" x="17071"/>
        <item h="1" x="17072"/>
        <item h="1" x="17073"/>
        <item h="1" x="17074"/>
        <item h="1" x="17075"/>
        <item h="1" x="17076"/>
        <item h="1" x="17077"/>
        <item h="1" x="17078"/>
        <item h="1" x="17079"/>
        <item h="1" x="17080"/>
        <item h="1" x="17081"/>
        <item h="1" x="17082"/>
        <item h="1" x="17083"/>
        <item h="1" x="17084"/>
        <item h="1" x="17085"/>
        <item h="1" x="17086"/>
        <item h="1" x="17087"/>
        <item h="1" x="17088"/>
        <item h="1" x="17089"/>
        <item h="1" x="17090"/>
        <item h="1" x="17091"/>
        <item h="1" x="17092"/>
        <item h="1" x="17093"/>
        <item h="1" x="17094"/>
        <item h="1" x="17095"/>
        <item h="1" x="17096"/>
        <item h="1" x="17097"/>
        <item h="1" x="17098"/>
        <item h="1" x="17099"/>
        <item h="1" x="17100"/>
        <item h="1" x="17101"/>
        <item h="1" x="17102"/>
        <item h="1" x="17103"/>
        <item h="1" x="17104"/>
        <item h="1" x="17105"/>
        <item h="1" x="17106"/>
        <item h="1" x="17107"/>
        <item h="1" x="17108"/>
        <item h="1" x="17109"/>
        <item h="1" x="17110"/>
        <item h="1" x="17111"/>
        <item h="1" x="17112"/>
        <item h="1" x="17113"/>
        <item h="1" x="17114"/>
        <item h="1" x="17115"/>
        <item h="1" x="17116"/>
        <item h="1" x="17117"/>
        <item h="1" x="17118"/>
        <item h="1" x="17119"/>
        <item h="1" x="17120"/>
        <item h="1" x="17121"/>
        <item h="1" x="17122"/>
        <item h="1" x="17123"/>
        <item h="1" x="17124"/>
        <item h="1" x="17125"/>
        <item h="1" x="17126"/>
        <item h="1" x="17127"/>
        <item h="1" x="17128"/>
        <item h="1" x="17129"/>
        <item h="1" x="17130"/>
        <item h="1" x="17131"/>
        <item h="1" x="17132"/>
        <item h="1" x="17133"/>
        <item h="1" x="17134"/>
        <item h="1" x="17135"/>
        <item h="1" x="17136"/>
        <item h="1" x="17137"/>
        <item h="1" x="17138"/>
        <item h="1" x="17139"/>
        <item h="1" x="17140"/>
        <item h="1" x="17141"/>
        <item h="1" x="17142"/>
        <item h="1" x="17143"/>
        <item h="1" x="17144"/>
        <item h="1" x="17145"/>
        <item h="1" x="17146"/>
        <item h="1" x="17147"/>
        <item h="1" x="17148"/>
        <item h="1" x="17149"/>
        <item h="1" x="17150"/>
        <item h="1" x="17151"/>
        <item h="1" x="17152"/>
        <item h="1" x="17153"/>
        <item h="1" x="17154"/>
        <item h="1" x="17155"/>
        <item h="1" x="17156"/>
        <item h="1" x="17157"/>
        <item h="1" x="17158"/>
        <item h="1" x="17159"/>
        <item h="1" x="17160"/>
        <item h="1" x="17161"/>
        <item h="1" x="17162"/>
        <item h="1" x="17163"/>
        <item h="1" x="17164"/>
        <item h="1" x="17165"/>
        <item h="1" x="17166"/>
        <item h="1" x="17167"/>
        <item h="1" x="17168"/>
        <item h="1" x="17169"/>
        <item h="1" x="17170"/>
        <item h="1" x="17171"/>
        <item h="1" x="17172"/>
        <item h="1" x="17173"/>
        <item h="1" x="17174"/>
        <item h="1" x="17175"/>
        <item h="1" x="17176"/>
        <item h="1" x="17177"/>
        <item h="1" x="17178"/>
        <item h="1" x="17179"/>
        <item h="1" x="17180"/>
        <item h="1" x="17181"/>
        <item h="1" x="17182"/>
        <item h="1" x="17183"/>
        <item h="1" x="17184"/>
        <item h="1" x="17185"/>
        <item h="1" x="17186"/>
        <item h="1" x="17187"/>
        <item h="1" x="17188"/>
        <item h="1" x="17189"/>
        <item h="1" x="17190"/>
        <item h="1" x="17191"/>
        <item h="1" x="17192"/>
        <item h="1" x="17193"/>
        <item h="1" x="17194"/>
        <item h="1" x="17195"/>
        <item h="1" x="17196"/>
        <item h="1" x="17197"/>
        <item h="1" x="17198"/>
        <item h="1" x="17199"/>
        <item h="1" x="17200"/>
        <item h="1" x="17201"/>
        <item h="1" x="17202"/>
        <item h="1" x="17203"/>
        <item h="1" x="17204"/>
        <item h="1" x="17205"/>
        <item h="1" x="17206"/>
        <item h="1" x="17207"/>
        <item h="1" x="17208"/>
        <item h="1" x="17209"/>
        <item h="1" x="17210"/>
        <item h="1" x="17211"/>
        <item h="1" x="17212"/>
        <item h="1" x="17213"/>
        <item h="1" x="17214"/>
        <item h="1" x="17215"/>
        <item h="1" x="17216"/>
        <item h="1" x="17217"/>
        <item h="1" x="17218"/>
        <item h="1" x="17219"/>
        <item h="1" x="17220"/>
        <item h="1" x="17221"/>
        <item h="1" x="17222"/>
        <item h="1" x="17223"/>
        <item h="1" x="17224"/>
        <item h="1" x="17225"/>
        <item h="1" x="17226"/>
        <item h="1" x="17227"/>
        <item h="1" x="17228"/>
        <item h="1" x="17229"/>
        <item h="1" x="17230"/>
        <item h="1" x="17231"/>
        <item h="1" x="17232"/>
        <item h="1" x="17233"/>
        <item h="1" x="17234"/>
        <item h="1" x="17235"/>
        <item h="1" x="17236"/>
        <item h="1" x="17237"/>
        <item h="1" x="17238"/>
        <item h="1" x="17239"/>
        <item h="1" x="17240"/>
        <item h="1" x="17241"/>
        <item h="1" x="17242"/>
        <item h="1" x="17243"/>
        <item h="1" x="17244"/>
        <item h="1" x="17245"/>
        <item h="1" x="17246"/>
        <item h="1" x="17247"/>
        <item h="1" x="17248"/>
        <item h="1" x="17249"/>
        <item h="1" x="17250"/>
        <item h="1" x="17251"/>
        <item h="1" x="17252"/>
        <item h="1" x="17253"/>
        <item h="1" x="17254"/>
        <item h="1" x="17255"/>
        <item h="1" x="17256"/>
        <item h="1" x="17257"/>
        <item h="1" x="17258"/>
        <item h="1" x="17259"/>
        <item h="1" x="17260"/>
        <item h="1" x="17261"/>
        <item h="1" x="17262"/>
        <item h="1" x="17263"/>
        <item h="1" x="17264"/>
        <item h="1" x="17265"/>
        <item h="1" x="17266"/>
        <item h="1" x="17267"/>
        <item h="1" x="17268"/>
        <item h="1" x="17269"/>
        <item h="1" x="17270"/>
        <item h="1" x="17271"/>
        <item h="1" x="17272"/>
        <item h="1" x="17273"/>
        <item h="1" x="17274"/>
        <item h="1" x="17275"/>
        <item h="1" x="17276"/>
        <item h="1" x="17277"/>
        <item h="1" x="17278"/>
        <item h="1" x="17279"/>
        <item h="1" x="17280"/>
        <item h="1" x="17281"/>
        <item h="1" x="17282"/>
        <item h="1" x="17283"/>
        <item h="1" x="17284"/>
        <item h="1" x="17285"/>
        <item h="1" x="17286"/>
        <item h="1" x="17287"/>
        <item h="1" x="17288"/>
        <item h="1" x="17289"/>
        <item h="1" x="17290"/>
        <item h="1" x="17291"/>
        <item h="1" x="17292"/>
        <item h="1" x="17293"/>
        <item h="1" x="17294"/>
        <item h="1" x="17295"/>
        <item h="1" x="17296"/>
        <item h="1" x="17297"/>
        <item h="1" x="17298"/>
        <item h="1" x="17299"/>
        <item h="1" x="17300"/>
        <item h="1" x="17301"/>
        <item h="1" x="17302"/>
        <item h="1" x="17303"/>
        <item h="1" x="17304"/>
        <item h="1" x="17305"/>
        <item h="1" x="17306"/>
        <item h="1" x="17307"/>
        <item h="1" x="17308"/>
        <item h="1" x="17309"/>
        <item h="1" x="17310"/>
        <item h="1" x="17311"/>
        <item h="1" x="17312"/>
        <item h="1" x="17313"/>
        <item h="1" x="17314"/>
        <item h="1" x="17315"/>
        <item h="1" x="17316"/>
        <item h="1" x="17317"/>
        <item h="1" x="17318"/>
        <item h="1" x="17319"/>
        <item h="1" x="17320"/>
        <item h="1" x="17321"/>
        <item h="1" x="17322"/>
        <item h="1" x="17323"/>
        <item h="1" x="17324"/>
        <item h="1" x="17325"/>
        <item h="1" x="17326"/>
        <item h="1" x="17327"/>
        <item h="1" x="17328"/>
        <item h="1" x="17329"/>
        <item h="1" x="17330"/>
        <item h="1" x="17331"/>
        <item h="1" x="17332"/>
        <item h="1" x="17333"/>
        <item h="1" x="17334"/>
        <item h="1" x="17335"/>
        <item h="1" x="17336"/>
        <item h="1" x="17337"/>
        <item h="1" x="17338"/>
        <item h="1" x="17339"/>
        <item h="1" x="17340"/>
        <item h="1" x="17341"/>
        <item h="1" x="17342"/>
        <item h="1" x="17343"/>
        <item h="1" x="17344"/>
        <item h="1" x="17345"/>
        <item h="1" x="17346"/>
        <item h="1" x="17347"/>
        <item h="1" x="17348"/>
        <item h="1" x="17349"/>
        <item h="1" x="17350"/>
        <item h="1" x="17351"/>
        <item h="1" x="17352"/>
        <item h="1" x="17353"/>
        <item h="1" x="17354"/>
        <item h="1" x="17355"/>
        <item h="1" x="17356"/>
        <item h="1" x="17357"/>
        <item h="1" x="17358"/>
        <item h="1" x="17359"/>
        <item h="1" x="17360"/>
        <item h="1" x="17361"/>
        <item h="1" x="17362"/>
        <item h="1" x="17363"/>
        <item h="1" x="17364"/>
        <item h="1" x="17365"/>
        <item h="1" x="17366"/>
        <item h="1" x="17367"/>
        <item h="1" x="17368"/>
        <item h="1" x="17369"/>
        <item h="1" x="17370"/>
        <item h="1" x="17371"/>
        <item h="1" x="17372"/>
        <item h="1" x="17373"/>
        <item h="1" x="17374"/>
        <item h="1" x="17375"/>
        <item h="1" x="17376"/>
        <item h="1" x="17377"/>
        <item h="1" x="17378"/>
        <item h="1" x="17379"/>
        <item h="1" x="17380"/>
        <item h="1" x="17381"/>
        <item h="1" x="17382"/>
        <item h="1" x="17383"/>
        <item h="1" x="17384"/>
        <item h="1" x="17385"/>
        <item h="1" x="17386"/>
        <item h="1" x="17387"/>
        <item h="1" x="17388"/>
        <item h="1" x="17389"/>
        <item h="1" x="17390"/>
        <item h="1" x="17391"/>
        <item h="1" x="17392"/>
        <item h="1" x="17393"/>
        <item h="1" x="17394"/>
        <item h="1" x="17395"/>
        <item h="1" x="17396"/>
        <item h="1" x="17397"/>
        <item h="1" x="17398"/>
        <item h="1" x="17399"/>
        <item h="1" x="17400"/>
        <item h="1" x="17401"/>
        <item h="1" x="17402"/>
        <item h="1" x="17403"/>
        <item h="1" x="17404"/>
        <item h="1" x="17405"/>
        <item h="1" x="17406"/>
        <item h="1" x="17407"/>
        <item h="1" x="17408"/>
        <item h="1" x="17409"/>
        <item h="1" x="17410"/>
        <item h="1" x="17411"/>
        <item h="1" x="17412"/>
        <item h="1" x="17413"/>
        <item h="1" x="17414"/>
        <item h="1" x="17415"/>
        <item h="1" x="17416"/>
        <item h="1" x="17417"/>
        <item h="1" x="17418"/>
        <item h="1" x="17419"/>
        <item h="1" x="17420"/>
        <item h="1" x="17421"/>
        <item h="1" x="17422"/>
        <item h="1" x="17423"/>
        <item h="1" x="17424"/>
        <item h="1" x="17425"/>
        <item h="1" x="17426"/>
        <item h="1" x="17427"/>
        <item h="1" x="17428"/>
        <item h="1" x="17429"/>
        <item h="1" x="17430"/>
        <item h="1" x="17431"/>
        <item h="1" x="17432"/>
        <item h="1" x="17433"/>
        <item h="1" x="17434"/>
        <item h="1" x="17435"/>
        <item h="1" x="17436"/>
        <item h="1" x="17437"/>
        <item h="1" x="17438"/>
        <item h="1" x="17439"/>
        <item h="1" x="17440"/>
        <item h="1" x="17441"/>
        <item h="1" x="17442"/>
        <item h="1" x="17443"/>
        <item h="1" x="17444"/>
        <item h="1" x="17445"/>
        <item h="1" x="17446"/>
        <item h="1" x="17447"/>
        <item h="1" x="17448"/>
        <item h="1" x="17449"/>
        <item h="1" x="17450"/>
        <item h="1" x="17451"/>
        <item h="1" x="17452"/>
        <item h="1" x="17453"/>
        <item h="1" x="17454"/>
        <item h="1" x="17455"/>
        <item h="1" x="17456"/>
        <item h="1" x="17457"/>
        <item h="1" x="17458"/>
        <item h="1" x="17459"/>
        <item h="1" x="17460"/>
        <item h="1" x="17461"/>
        <item h="1" x="17462"/>
        <item h="1" x="17463"/>
        <item h="1" x="17464"/>
        <item h="1" x="17465"/>
        <item h="1" x="17466"/>
        <item h="1" x="17467"/>
        <item h="1" x="17468"/>
        <item h="1" x="17469"/>
        <item h="1" x="17470"/>
        <item h="1" x="17471"/>
        <item h="1" x="17472"/>
        <item h="1" x="17473"/>
        <item h="1" x="17474"/>
        <item h="1" x="17475"/>
        <item h="1" x="17476"/>
        <item h="1" x="17477"/>
        <item h="1" x="17478"/>
        <item h="1" x="17479"/>
        <item h="1" x="17480"/>
        <item h="1" x="17481"/>
        <item h="1" x="17482"/>
        <item h="1" x="17483"/>
        <item h="1" x="17484"/>
        <item h="1" x="17485"/>
        <item h="1" x="17486"/>
        <item h="1" x="17487"/>
        <item h="1" x="17488"/>
        <item h="1" x="17489"/>
        <item h="1" x="17490"/>
        <item h="1" x="17491"/>
        <item h="1" x="17492"/>
        <item h="1" x="17493"/>
        <item h="1" x="17494"/>
        <item h="1" x="17495"/>
        <item h="1" x="17496"/>
        <item h="1" x="17497"/>
        <item h="1" x="17498"/>
        <item h="1" x="17499"/>
        <item h="1" x="17500"/>
        <item h="1" x="17501"/>
        <item h="1" x="17502"/>
        <item h="1" x="17503"/>
        <item h="1" x="17504"/>
        <item h="1" x="17505"/>
        <item h="1" x="17506"/>
        <item h="1" x="17507"/>
        <item h="1" x="17508"/>
        <item h="1" x="17509"/>
        <item h="1" x="17510"/>
        <item h="1" x="17511"/>
        <item h="1" x="17512"/>
        <item h="1" x="17513"/>
        <item h="1" x="17514"/>
        <item h="1" x="17515"/>
        <item h="1" x="17516"/>
        <item h="1" x="17517"/>
        <item h="1" x="17518"/>
        <item h="1" x="17519"/>
        <item h="1" x="17520"/>
        <item h="1" x="17521"/>
        <item h="1" x="17522"/>
        <item h="1" x="17523"/>
        <item h="1" x="17524"/>
        <item h="1" x="17525"/>
        <item h="1" x="17526"/>
        <item h="1" x="17527"/>
        <item h="1" x="17528"/>
        <item h="1" x="17529"/>
        <item h="1" x="17530"/>
        <item h="1" x="17531"/>
        <item h="1" x="17532"/>
        <item h="1" x="17533"/>
        <item h="1" x="17534"/>
        <item h="1" x="17535"/>
        <item h="1" x="17536"/>
        <item h="1" x="17537"/>
        <item h="1" x="17538"/>
        <item h="1" x="17539"/>
        <item h="1" x="17540"/>
        <item h="1" x="17541"/>
        <item h="1" x="17542"/>
        <item h="1" x="17543"/>
        <item h="1" x="17544"/>
        <item h="1" x="17545"/>
        <item h="1" x="17546"/>
        <item h="1" x="17547"/>
        <item h="1" x="17548"/>
        <item h="1" x="17549"/>
        <item h="1" x="17550"/>
        <item h="1" x="17551"/>
        <item h="1" x="17552"/>
        <item h="1" x="17553"/>
        <item h="1" x="17554"/>
        <item h="1" x="17555"/>
        <item h="1" x="17556"/>
        <item h="1" x="17557"/>
        <item h="1" x="17558"/>
        <item h="1" x="17559"/>
        <item h="1" x="17560"/>
        <item h="1" x="17561"/>
        <item h="1" x="17562"/>
        <item h="1" x="17563"/>
        <item h="1" x="17564"/>
        <item h="1" x="17565"/>
        <item h="1" x="17566"/>
        <item h="1" x="17567"/>
        <item h="1" x="17568"/>
        <item h="1" x="17569"/>
        <item h="1" x="17570"/>
        <item h="1" x="17571"/>
        <item h="1" x="17572"/>
        <item h="1" x="17573"/>
        <item h="1" x="17574"/>
        <item h="1" x="17575"/>
        <item h="1" x="17576"/>
        <item h="1" x="17577"/>
        <item h="1" x="17578"/>
        <item h="1" x="17579"/>
        <item h="1" x="17580"/>
        <item h="1" x="17581"/>
        <item h="1" x="17582"/>
        <item h="1" x="17583"/>
        <item h="1" x="17584"/>
        <item h="1" x="17585"/>
        <item h="1" x="17586"/>
        <item h="1" x="17587"/>
        <item h="1" x="17588"/>
        <item h="1" x="17589"/>
        <item h="1" x="17590"/>
        <item h="1" x="17591"/>
        <item h="1" x="17592"/>
        <item h="1" x="17593"/>
        <item h="1" x="17594"/>
        <item h="1" x="17595"/>
        <item h="1" x="17596"/>
        <item h="1" x="17597"/>
        <item h="1" x="17598"/>
        <item h="1" x="17599"/>
        <item h="1" x="17600"/>
        <item h="1" x="17601"/>
        <item h="1" x="17602"/>
        <item h="1" x="17603"/>
        <item h="1" x="17604"/>
        <item h="1" x="17605"/>
        <item h="1" x="17606"/>
        <item h="1" x="17607"/>
        <item h="1" x="17608"/>
        <item h="1" x="17609"/>
        <item h="1" x="17610"/>
        <item h="1" x="17611"/>
        <item h="1" x="17612"/>
        <item h="1" x="17613"/>
        <item h="1" x="17614"/>
        <item h="1" x="17615"/>
        <item h="1" x="17616"/>
        <item h="1" x="17617"/>
        <item h="1" x="17618"/>
        <item h="1" x="17619"/>
        <item h="1" x="17620"/>
        <item h="1" x="17621"/>
        <item h="1" x="17622"/>
        <item h="1" x="17623"/>
        <item h="1" x="17624"/>
        <item h="1" x="17625"/>
        <item h="1" x="17626"/>
        <item h="1" x="17627"/>
        <item h="1" x="17628"/>
        <item h="1" x="17629"/>
        <item h="1" x="17630"/>
        <item h="1" x="17631"/>
        <item h="1" x="17632"/>
        <item h="1" x="17633"/>
        <item h="1" x="17634"/>
        <item h="1" x="17635"/>
        <item h="1" x="17636"/>
        <item h="1" x="17637"/>
        <item h="1" x="17638"/>
        <item h="1" x="17639"/>
        <item h="1" x="17640"/>
        <item h="1" x="17641"/>
        <item h="1" x="17642"/>
        <item h="1" x="17643"/>
        <item h="1" x="17644"/>
        <item h="1" x="17645"/>
        <item h="1" x="17646"/>
        <item h="1" x="17647"/>
        <item h="1" x="17648"/>
        <item h="1" x="17649"/>
        <item h="1" x="17650"/>
        <item h="1" x="17651"/>
        <item h="1" x="17652"/>
        <item h="1" x="17653"/>
        <item h="1" x="17654"/>
        <item h="1" x="17655"/>
        <item h="1" x="17656"/>
        <item h="1" x="17657"/>
        <item h="1" x="17658"/>
        <item h="1" x="17659"/>
        <item h="1" x="17660"/>
        <item h="1" x="17661"/>
        <item h="1" x="17662"/>
        <item h="1" x="17663"/>
        <item h="1" x="17664"/>
        <item h="1" x="17665"/>
        <item h="1" x="17666"/>
        <item h="1" x="17667"/>
        <item h="1" x="17668"/>
        <item h="1" x="17669"/>
        <item h="1" x="17670"/>
        <item h="1" x="17671"/>
        <item h="1" x="17672"/>
        <item h="1" x="17673"/>
        <item h="1" x="17674"/>
        <item h="1" x="17675"/>
        <item h="1" x="17676"/>
        <item h="1" x="17677"/>
        <item h="1" x="17678"/>
        <item h="1" x="17679"/>
        <item h="1" x="17680"/>
        <item h="1" x="17681"/>
        <item h="1" x="17682"/>
        <item h="1" x="17683"/>
        <item h="1" x="17684"/>
        <item h="1" x="17685"/>
        <item h="1" x="17686"/>
        <item h="1" x="17687"/>
        <item h="1" x="17688"/>
        <item h="1" x="17689"/>
        <item h="1" x="17690"/>
        <item h="1" x="17691"/>
        <item h="1" x="17692"/>
        <item h="1" x="17693"/>
        <item h="1" x="17694"/>
        <item h="1" x="17695"/>
        <item h="1" x="17696"/>
        <item h="1" x="17697"/>
        <item h="1" x="17698"/>
        <item h="1" x="17699"/>
        <item h="1" x="17700"/>
        <item h="1" x="17701"/>
        <item h="1" x="17702"/>
        <item h="1" x="17703"/>
        <item h="1" x="17704"/>
        <item h="1" x="17705"/>
        <item h="1" x="17706"/>
        <item h="1" x="17707"/>
        <item h="1" x="17708"/>
        <item h="1" x="17709"/>
        <item h="1" x="17710"/>
        <item h="1" x="17711"/>
        <item h="1" x="17712"/>
        <item h="1" x="17713"/>
        <item h="1" x="17714"/>
        <item h="1" x="17715"/>
        <item h="1" x="17716"/>
        <item h="1" x="17717"/>
        <item h="1" x="17718"/>
        <item h="1" x="17719"/>
        <item h="1" x="17720"/>
        <item h="1" x="17721"/>
        <item h="1" x="17722"/>
        <item h="1" x="17723"/>
        <item h="1" x="17724"/>
        <item h="1" x="17725"/>
        <item h="1" x="17726"/>
        <item h="1" x="17727"/>
        <item h="1" x="17728"/>
        <item h="1" x="17729"/>
        <item h="1" x="17730"/>
        <item h="1" x="17731"/>
        <item h="1" x="17732"/>
        <item h="1" x="17733"/>
        <item h="1" x="17734"/>
        <item h="1" x="17735"/>
        <item h="1" x="17736"/>
        <item h="1" x="17737"/>
        <item h="1" x="17738"/>
        <item h="1" x="17739"/>
        <item h="1" x="17740"/>
        <item h="1" x="17741"/>
        <item h="1" x="17742"/>
        <item h="1" x="17743"/>
        <item h="1" x="17744"/>
        <item h="1" x="17745"/>
        <item h="1" x="17746"/>
        <item h="1" x="17747"/>
        <item h="1" x="17748"/>
        <item h="1" x="17749"/>
        <item h="1" x="17750"/>
        <item h="1" x="17751"/>
        <item h="1" x="17752"/>
        <item h="1" x="17753"/>
        <item h="1" x="17754"/>
        <item h="1" x="17755"/>
        <item h="1" x="17756"/>
        <item h="1" x="17757"/>
        <item h="1" x="17758"/>
        <item h="1" x="17759"/>
        <item h="1" x="17760"/>
        <item h="1" x="17761"/>
        <item h="1" x="17762"/>
        <item h="1" x="17763"/>
        <item h="1" x="17764"/>
        <item h="1" x="17765"/>
        <item h="1" x="17766"/>
        <item h="1" x="17767"/>
        <item h="1" x="17768"/>
        <item h="1" x="17769"/>
        <item h="1" x="17770"/>
        <item h="1" x="17771"/>
        <item h="1" x="17772"/>
        <item h="1" x="17773"/>
        <item h="1" x="17774"/>
        <item h="1" x="17775"/>
        <item h="1" x="17776"/>
        <item h="1" x="17777"/>
        <item h="1" x="17778"/>
        <item h="1" x="17779"/>
        <item h="1" x="17780"/>
        <item h="1" x="17781"/>
        <item h="1" x="17782"/>
        <item h="1" x="17783"/>
        <item h="1" x="17784"/>
        <item h="1" x="17785"/>
        <item h="1" x="17786"/>
        <item h="1" x="17787"/>
        <item h="1" x="17788"/>
        <item h="1" x="17789"/>
        <item h="1" x="17790"/>
        <item h="1" x="17791"/>
        <item h="1" x="17792"/>
        <item h="1" x="17793"/>
        <item h="1" x="17794"/>
        <item h="1" x="17795"/>
        <item h="1" x="17796"/>
        <item h="1" x="17797"/>
        <item h="1" x="17798"/>
        <item h="1" x="17799"/>
        <item h="1" x="17800"/>
        <item h="1" x="17801"/>
        <item h="1" x="17802"/>
        <item h="1" x="17803"/>
        <item h="1" x="17804"/>
        <item h="1" x="17805"/>
        <item h="1" x="17806"/>
        <item h="1" x="17807"/>
        <item h="1" x="17808"/>
        <item h="1" x="17809"/>
        <item h="1" x="17810"/>
        <item h="1" x="17811"/>
        <item h="1" x="17812"/>
        <item h="1" x="17813"/>
        <item h="1" x="17814"/>
        <item h="1" x="17815"/>
        <item h="1" x="17816"/>
        <item h="1" x="17817"/>
        <item h="1" x="17818"/>
        <item h="1" x="17819"/>
        <item h="1" x="17820"/>
        <item h="1" x="17821"/>
        <item h="1" x="17822"/>
        <item h="1" x="17823"/>
        <item h="1" x="17824"/>
        <item h="1" x="17825"/>
        <item h="1" x="17826"/>
        <item h="1" x="17827"/>
        <item h="1" x="17828"/>
        <item h="1" x="17829"/>
        <item h="1" x="17830"/>
        <item h="1" x="17831"/>
        <item h="1" x="17832"/>
        <item h="1" x="17833"/>
        <item h="1" x="17834"/>
        <item h="1" x="17835"/>
        <item h="1" x="17836"/>
        <item h="1" x="17837"/>
        <item h="1" x="17838"/>
        <item h="1" x="17839"/>
        <item h="1" x="17840"/>
        <item h="1" x="17841"/>
        <item h="1" x="17842"/>
        <item h="1" x="17843"/>
        <item h="1" x="17844"/>
        <item h="1" x="17845"/>
        <item h="1" x="17846"/>
        <item h="1" x="17847"/>
        <item h="1" x="17848"/>
        <item h="1" x="17849"/>
        <item h="1" x="17850"/>
        <item h="1" x="17851"/>
        <item h="1" x="17852"/>
        <item h="1" x="17853"/>
        <item h="1" x="17854"/>
        <item h="1" x="17855"/>
        <item h="1" x="17856"/>
        <item h="1" x="17857"/>
        <item h="1" x="17858"/>
        <item h="1" x="17859"/>
        <item h="1" x="17860"/>
        <item h="1" x="17861"/>
        <item h="1" x="17862"/>
        <item h="1" x="17863"/>
        <item h="1" x="17864"/>
        <item h="1" x="17865"/>
        <item h="1" x="17866"/>
        <item h="1" x="17867"/>
        <item h="1" x="17868"/>
        <item h="1" x="17869"/>
        <item h="1" x="17870"/>
        <item h="1" x="17871"/>
        <item h="1" x="17872"/>
        <item h="1" x="17873"/>
        <item h="1" x="17874"/>
        <item h="1" x="17875"/>
        <item h="1" x="17876"/>
        <item h="1" x="17877"/>
        <item h="1" x="17878"/>
        <item h="1" x="17879"/>
        <item h="1" x="17880"/>
        <item h="1" x="17881"/>
        <item h="1" x="17882"/>
        <item h="1" x="17883"/>
        <item h="1" x="17884"/>
        <item h="1" x="17885"/>
        <item h="1" x="17886"/>
        <item h="1" x="17887"/>
        <item h="1" x="17888"/>
        <item h="1" x="17889"/>
        <item h="1" x="17890"/>
        <item h="1" x="17891"/>
        <item h="1" x="17892"/>
        <item h="1" x="17893"/>
        <item h="1" x="17894"/>
        <item h="1" x="17895"/>
        <item h="1" x="17896"/>
        <item h="1" x="17897"/>
        <item h="1" x="17898"/>
        <item h="1" x="17899"/>
        <item h="1" x="17900"/>
        <item h="1" x="17901"/>
        <item h="1" x="17902"/>
        <item h="1" x="17903"/>
        <item h="1" x="17904"/>
        <item h="1" x="17905"/>
        <item h="1" x="17906"/>
        <item h="1" x="17907"/>
        <item h="1" x="17908"/>
        <item h="1" x="17909"/>
        <item h="1" x="17910"/>
        <item h="1" x="17911"/>
        <item h="1" x="17912"/>
        <item h="1" x="17913"/>
        <item h="1" x="17914"/>
        <item h="1" x="17915"/>
        <item h="1" x="17916"/>
        <item h="1" x="17917"/>
        <item h="1" x="17918"/>
        <item h="1" x="17919"/>
        <item h="1" x="17920"/>
        <item h="1" x="17921"/>
        <item h="1" x="17922"/>
        <item h="1" x="17923"/>
        <item h="1" x="17924"/>
        <item h="1" x="17925"/>
        <item h="1" x="17926"/>
        <item h="1" x="17927"/>
        <item h="1" x="17928"/>
        <item h="1" x="17929"/>
        <item h="1" x="17930"/>
        <item h="1" x="17931"/>
        <item h="1" x="17932"/>
        <item h="1" x="17933"/>
        <item h="1" x="17934"/>
        <item h="1" x="17935"/>
        <item h="1" x="17936"/>
        <item h="1" x="17937"/>
        <item h="1" x="17938"/>
        <item h="1" x="17939"/>
        <item h="1" x="17940"/>
        <item h="1" x="17941"/>
        <item h="1" x="17942"/>
        <item h="1" x="17943"/>
        <item h="1" x="17944"/>
        <item h="1" x="17945"/>
        <item h="1" x="17946"/>
        <item h="1" x="17947"/>
        <item h="1" x="17948"/>
        <item h="1" x="17949"/>
        <item h="1" x="17950"/>
        <item h="1" x="17951"/>
        <item h="1" x="17952"/>
        <item h="1" x="17953"/>
        <item h="1" x="17954"/>
        <item h="1" x="17955"/>
        <item h="1" x="17956"/>
        <item h="1" x="17957"/>
        <item h="1" x="17958"/>
        <item h="1" x="17959"/>
        <item h="1" x="17960"/>
        <item h="1" x="17961"/>
        <item h="1" x="17962"/>
        <item h="1" x="17963"/>
        <item h="1" x="17964"/>
        <item h="1" x="17965"/>
        <item h="1" x="17966"/>
        <item h="1" x="17967"/>
        <item h="1" x="17968"/>
        <item h="1" x="17969"/>
        <item h="1" x="17970"/>
        <item h="1" x="17971"/>
        <item h="1" x="17972"/>
        <item h="1" x="17973"/>
        <item h="1" x="17974"/>
        <item h="1" x="17975"/>
        <item h="1" x="17976"/>
        <item h="1" x="17977"/>
        <item h="1" x="17978"/>
        <item h="1" x="17979"/>
        <item h="1" x="17980"/>
        <item h="1" x="17981"/>
        <item h="1" x="17982"/>
        <item h="1" x="17983"/>
        <item h="1" x="17984"/>
        <item h="1" x="17985"/>
        <item h="1" x="17986"/>
        <item h="1" x="17987"/>
        <item h="1" x="17988"/>
        <item h="1" x="17989"/>
        <item h="1" x="17990"/>
        <item h="1" x="17991"/>
        <item h="1" x="17992"/>
        <item h="1" x="17993"/>
        <item h="1" x="17994"/>
        <item h="1" x="17995"/>
        <item h="1" x="17996"/>
        <item h="1" x="17997"/>
        <item h="1" x="17998"/>
        <item h="1" x="17999"/>
        <item h="1" x="18000"/>
        <item h="1" x="18001"/>
        <item h="1" x="18002"/>
        <item h="1" x="18003"/>
        <item h="1" x="18004"/>
        <item h="1" x="18005"/>
        <item h="1" x="18006"/>
        <item h="1" x="18007"/>
        <item h="1" x="18008"/>
        <item h="1" x="18009"/>
        <item h="1" x="18010"/>
        <item h="1" x="18011"/>
        <item h="1" x="18012"/>
        <item h="1" x="18013"/>
        <item h="1" x="18014"/>
        <item h="1" x="18015"/>
        <item h="1" x="18016"/>
        <item h="1" x="18017"/>
        <item h="1" x="18018"/>
        <item h="1" x="18019"/>
        <item h="1" x="18020"/>
        <item h="1" x="18021"/>
        <item h="1" x="18022"/>
        <item h="1" x="18023"/>
        <item h="1" x="18024"/>
        <item h="1" x="18025"/>
        <item h="1" x="18026"/>
        <item h="1" x="18027"/>
        <item h="1" x="18028"/>
        <item h="1" x="18029"/>
        <item h="1" x="18030"/>
        <item h="1" x="18031"/>
        <item h="1" x="18032"/>
        <item h="1" x="18033"/>
        <item h="1" x="18034"/>
        <item h="1" x="18035"/>
        <item h="1" x="18036"/>
        <item h="1" x="18037"/>
        <item h="1" x="18038"/>
        <item h="1" x="18039"/>
        <item h="1" x="18040"/>
        <item h="1" x="18041"/>
        <item h="1" x="18042"/>
        <item h="1" x="18043"/>
        <item h="1" x="18044"/>
        <item h="1" x="18045"/>
        <item h="1" x="18046"/>
        <item h="1" x="18047"/>
        <item h="1" x="18048"/>
        <item h="1" x="18049"/>
        <item h="1" x="18050"/>
        <item h="1" x="18051"/>
        <item h="1" x="18052"/>
        <item h="1" x="18053"/>
        <item h="1" x="18054"/>
        <item h="1" x="18055"/>
        <item h="1" x="18056"/>
        <item h="1" x="18057"/>
        <item h="1" x="18058"/>
        <item h="1" x="18059"/>
        <item h="1" x="18060"/>
        <item h="1" x="18061"/>
        <item h="1" x="18062"/>
        <item h="1" x="18063"/>
        <item h="1" x="18064"/>
        <item h="1" x="18065"/>
        <item h="1" x="18066"/>
        <item h="1" x="18067"/>
        <item h="1" x="18068"/>
        <item h="1" x="18069"/>
        <item h="1" x="18070"/>
        <item h="1" x="18071"/>
        <item h="1" x="18072"/>
        <item h="1" x="18073"/>
        <item h="1" x="18074"/>
        <item h="1" x="18075"/>
        <item h="1" x="18076"/>
        <item h="1" x="18077"/>
        <item h="1" x="18078"/>
        <item h="1" x="18079"/>
        <item h="1" x="18080"/>
        <item h="1" x="18081"/>
        <item h="1" x="18082"/>
        <item h="1" x="18083"/>
        <item h="1" x="18084"/>
        <item h="1" x="18085"/>
        <item h="1" x="18086"/>
        <item h="1" x="18087"/>
        <item h="1" x="18088"/>
        <item h="1" x="18089"/>
        <item h="1" x="18090"/>
        <item h="1" x="18091"/>
        <item h="1" x="18092"/>
        <item h="1" x="18093"/>
        <item h="1" x="18094"/>
        <item h="1" x="18095"/>
        <item h="1" x="18096"/>
        <item h="1" x="18097"/>
        <item h="1" x="18098"/>
        <item h="1" x="18099"/>
        <item h="1" x="18100"/>
        <item h="1" x="18101"/>
        <item h="1" x="18102"/>
        <item h="1" x="18103"/>
        <item h="1" x="18104"/>
        <item h="1" x="18105"/>
        <item h="1" x="18106"/>
        <item h="1" x="18107"/>
        <item h="1" x="18108"/>
        <item h="1" x="18109"/>
        <item h="1" x="18110"/>
        <item h="1" x="18111"/>
        <item h="1" x="18112"/>
        <item h="1" x="18113"/>
        <item h="1" x="18114"/>
        <item h="1" x="18115"/>
        <item h="1" x="18116"/>
        <item h="1" x="18117"/>
        <item h="1" x="18118"/>
        <item h="1" x="18119"/>
        <item h="1" x="18120"/>
        <item h="1" x="18121"/>
        <item h="1" x="18122"/>
        <item h="1" x="18123"/>
        <item h="1" x="18124"/>
        <item h="1" x="18125"/>
        <item h="1" x="18126"/>
        <item h="1" x="18127"/>
        <item h="1" x="18128"/>
        <item h="1" x="18129"/>
        <item h="1" x="18130"/>
        <item h="1" x="18131"/>
        <item h="1" x="18132"/>
        <item h="1" x="18133"/>
        <item h="1" x="18134"/>
        <item h="1" x="18135"/>
        <item h="1" x="18136"/>
        <item h="1" x="18137"/>
        <item h="1" x="18138"/>
        <item h="1" x="18139"/>
        <item h="1" x="18140"/>
        <item h="1" x="18141"/>
        <item h="1" x="18142"/>
        <item h="1" x="18143"/>
        <item h="1" x="18144"/>
        <item h="1" x="18145"/>
        <item h="1" x="18146"/>
        <item h="1" x="18147"/>
        <item h="1" x="18148"/>
        <item h="1" x="18149"/>
        <item h="1" x="18150"/>
        <item h="1" x="18151"/>
        <item h="1" x="18152"/>
        <item h="1" x="18153"/>
        <item h="1" x="18154"/>
        <item h="1" x="18155"/>
        <item h="1" x="18156"/>
        <item h="1" x="18157"/>
        <item h="1" x="18158"/>
        <item h="1" x="18159"/>
        <item h="1" x="18160"/>
        <item h="1" x="18161"/>
        <item h="1" x="18162"/>
        <item h="1" x="18163"/>
        <item h="1" x="18164"/>
        <item h="1" x="18165"/>
        <item h="1" x="18166"/>
        <item h="1" x="18167"/>
        <item h="1" x="18168"/>
        <item h="1" x="18169"/>
        <item h="1" x="18170"/>
        <item h="1" x="18171"/>
        <item h="1" x="18172"/>
        <item h="1" x="18173"/>
        <item h="1" x="18174"/>
        <item h="1" x="18175"/>
        <item h="1" x="18176"/>
        <item h="1" x="18177"/>
        <item h="1" x="18178"/>
        <item h="1" x="18179"/>
        <item h="1" x="18180"/>
        <item h="1" x="18181"/>
        <item h="1" x="18182"/>
        <item h="1" x="18183"/>
        <item h="1" x="18184"/>
        <item h="1" x="18185"/>
        <item h="1" x="18186"/>
        <item h="1" x="18187"/>
        <item h="1" x="18188"/>
        <item h="1" x="18189"/>
        <item h="1" x="18190"/>
        <item h="1" x="18191"/>
        <item h="1" x="18192"/>
        <item h="1" x="18193"/>
        <item h="1" x="18194"/>
        <item h="1" x="18195"/>
        <item h="1" x="18196"/>
        <item h="1" x="18197"/>
        <item h="1" x="18198"/>
        <item h="1" x="18199"/>
        <item h="1" x="18200"/>
        <item h="1" x="18201"/>
        <item h="1" x="18202"/>
        <item h="1" x="18203"/>
        <item h="1" x="18204"/>
        <item h="1" x="18205"/>
        <item h="1" x="18206"/>
        <item h="1" x="18207"/>
        <item h="1" x="18208"/>
        <item h="1" x="18209"/>
        <item h="1" x="18210"/>
        <item h="1" x="18211"/>
        <item h="1" x="18212"/>
        <item h="1" x="18213"/>
        <item h="1" x="18214"/>
        <item h="1" x="18215"/>
        <item h="1" x="18216"/>
        <item h="1" x="18217"/>
        <item h="1" x="18218"/>
        <item h="1" x="18219"/>
        <item h="1" x="18220"/>
        <item h="1" x="18221"/>
        <item h="1" x="18222"/>
        <item h="1" x="18223"/>
        <item h="1" x="18224"/>
        <item h="1" x="18225"/>
        <item h="1" x="18226"/>
        <item h="1" x="18227"/>
        <item h="1" x="18228"/>
        <item h="1" x="18229"/>
        <item h="1" x="18230"/>
        <item h="1" x="18231"/>
        <item h="1" x="18232"/>
        <item h="1" x="18233"/>
        <item h="1" x="18234"/>
        <item h="1" x="18235"/>
        <item h="1" x="18236"/>
        <item h="1" x="18237"/>
        <item h="1" x="18238"/>
        <item h="1" x="18239"/>
        <item h="1" x="18240"/>
        <item h="1" x="18241"/>
        <item h="1" x="18242"/>
        <item h="1" x="18243"/>
        <item h="1" x="18244"/>
        <item h="1" x="18245"/>
        <item h="1" x="18246"/>
        <item h="1" x="18247"/>
        <item h="1" x="18248"/>
        <item h="1" x="18249"/>
        <item h="1" x="18250"/>
        <item h="1" x="18251"/>
        <item h="1" x="18252"/>
        <item h="1" x="18253"/>
        <item h="1" x="18254"/>
        <item h="1" x="18255"/>
        <item h="1" x="18256"/>
        <item h="1" x="18257"/>
        <item h="1" x="18258"/>
        <item h="1" x="18259"/>
        <item h="1" x="18260"/>
        <item h="1" x="18261"/>
        <item h="1" x="18262"/>
        <item h="1" x="18263"/>
        <item h="1" x="18264"/>
        <item h="1" x="18265"/>
        <item h="1" x="18266"/>
        <item h="1" x="18267"/>
        <item h="1" x="18268"/>
        <item h="1" x="18269"/>
        <item h="1" x="18270"/>
        <item h="1" x="18271"/>
        <item h="1" x="18272"/>
        <item h="1" x="18273"/>
        <item h="1" x="18274"/>
        <item h="1" x="18275"/>
        <item h="1" x="18276"/>
        <item h="1" x="18277"/>
        <item h="1" x="18278"/>
        <item h="1" x="18279"/>
        <item h="1" x="18280"/>
        <item h="1" x="18281"/>
        <item h="1" x="18282"/>
        <item h="1" x="18283"/>
        <item h="1" x="18284"/>
        <item h="1" x="18285"/>
        <item h="1" x="18286"/>
        <item h="1" x="18287"/>
        <item h="1" x="18288"/>
        <item h="1" x="18289"/>
        <item h="1" x="18290"/>
        <item h="1" x="18291"/>
        <item h="1" x="18292"/>
        <item h="1" x="18293"/>
        <item h="1" x="18294"/>
        <item h="1" x="18295"/>
        <item h="1" x="18296"/>
        <item h="1" x="18297"/>
        <item h="1" x="18298"/>
        <item h="1" x="18299"/>
        <item h="1" x="18300"/>
        <item h="1" x="18301"/>
        <item h="1" x="18302"/>
        <item h="1" x="18303"/>
        <item h="1" x="18304"/>
        <item h="1" x="18305"/>
        <item h="1" x="18306"/>
        <item h="1" x="18307"/>
        <item h="1" x="18308"/>
        <item h="1" x="18309"/>
        <item h="1" x="18310"/>
        <item h="1" x="18311"/>
        <item h="1" x="18312"/>
        <item h="1" x="18313"/>
        <item h="1" x="18314"/>
        <item h="1" x="18315"/>
        <item h="1" x="18316"/>
        <item h="1" x="18317"/>
        <item h="1" x="18318"/>
        <item h="1" x="18319"/>
        <item h="1" x="18320"/>
        <item h="1" x="18321"/>
        <item h="1" x="18322"/>
        <item h="1" x="18323"/>
        <item h="1" x="18324"/>
        <item h="1" x="18325"/>
        <item h="1" x="18326"/>
        <item h="1" x="18327"/>
        <item h="1" x="18328"/>
        <item h="1" x="18329"/>
        <item h="1" x="18330"/>
        <item h="1" x="18331"/>
        <item h="1" x="18332"/>
        <item h="1" x="18333"/>
        <item h="1" x="18334"/>
        <item h="1" x="18335"/>
        <item h="1" x="18336"/>
        <item h="1" x="18337"/>
        <item h="1" x="18338"/>
        <item h="1" x="18339"/>
        <item h="1" x="18340"/>
        <item h="1" x="18341"/>
        <item h="1" x="18342"/>
        <item h="1" x="18343"/>
        <item h="1" x="18344"/>
        <item h="1" x="18345"/>
        <item h="1" x="18346"/>
        <item h="1" x="18347"/>
        <item h="1" x="18348"/>
        <item h="1" x="18349"/>
        <item h="1" x="18350"/>
        <item h="1" x="18351"/>
        <item h="1" x="18352"/>
        <item h="1" x="18353"/>
        <item h="1" x="18354"/>
        <item h="1" x="18355"/>
        <item h="1" x="18356"/>
        <item h="1" x="18357"/>
        <item h="1" x="18358"/>
        <item h="1" x="18359"/>
        <item h="1" x="18360"/>
        <item h="1" x="18361"/>
        <item h="1" x="18362"/>
        <item h="1" x="18363"/>
        <item h="1" x="18364"/>
        <item h="1" x="18365"/>
        <item h="1" x="18366"/>
        <item h="1" x="18367"/>
        <item h="1" x="18368"/>
        <item h="1" x="18369"/>
        <item h="1" x="18370"/>
        <item h="1" x="18371"/>
        <item h="1" x="18372"/>
        <item h="1" x="18373"/>
        <item h="1" x="18374"/>
        <item h="1" x="18375"/>
        <item h="1" x="18376"/>
        <item h="1" x="18377"/>
        <item h="1" x="18378"/>
        <item h="1" x="18379"/>
        <item h="1" x="18380"/>
        <item h="1" x="18381"/>
        <item h="1" x="18382"/>
        <item h="1" x="18383"/>
        <item h="1" x="18384"/>
        <item h="1" x="18385"/>
        <item h="1" x="18386"/>
        <item h="1" x="18387"/>
        <item h="1" x="18388"/>
        <item h="1" x="18389"/>
        <item h="1" x="18390"/>
        <item h="1" x="18391"/>
        <item h="1" x="18392"/>
        <item h="1" x="18393"/>
        <item h="1" x="18394"/>
        <item h="1" x="18395"/>
        <item h="1" x="18396"/>
        <item h="1" x="18397"/>
        <item h="1" x="18398"/>
        <item h="1" x="18399"/>
        <item h="1" x="18400"/>
        <item h="1" x="18401"/>
        <item h="1" x="18402"/>
        <item h="1" x="18403"/>
        <item h="1" x="18404"/>
        <item h="1" x="18405"/>
        <item h="1" x="18406"/>
        <item h="1" x="18407"/>
        <item h="1" x="18408"/>
        <item h="1" x="18409"/>
        <item h="1" x="18410"/>
        <item h="1" x="18411"/>
        <item h="1" x="18412"/>
        <item h="1" x="18413"/>
        <item h="1" x="18414"/>
        <item h="1" x="18415"/>
        <item h="1" x="18416"/>
        <item h="1" x="18417"/>
        <item h="1" x="18418"/>
        <item h="1" x="18419"/>
        <item h="1" x="18420"/>
        <item h="1" x="18421"/>
        <item h="1" x="18422"/>
        <item h="1" x="18423"/>
        <item h="1" x="18424"/>
        <item h="1" x="18425"/>
        <item h="1" x="18426"/>
        <item h="1" x="18427"/>
        <item h="1" x="18428"/>
        <item h="1" x="18429"/>
        <item h="1" x="18430"/>
        <item h="1" x="18431"/>
        <item h="1" x="18432"/>
        <item h="1" x="18433"/>
        <item h="1" x="18434"/>
        <item h="1" x="18435"/>
        <item h="1" x="18436"/>
        <item h="1" x="18437"/>
        <item h="1" x="18438"/>
        <item h="1" x="18439"/>
        <item h="1" x="18440"/>
        <item h="1" x="18441"/>
        <item h="1" x="18442"/>
        <item h="1" x="18443"/>
        <item h="1" x="18444"/>
        <item h="1" x="18445"/>
        <item h="1" x="18446"/>
        <item h="1" x="18447"/>
        <item h="1" x="18448"/>
        <item h="1" x="18449"/>
        <item h="1" x="18450"/>
        <item h="1" x="18451"/>
        <item h="1" x="18452"/>
        <item h="1" x="18453"/>
        <item h="1" x="18454"/>
        <item h="1" x="18455"/>
        <item h="1" x="18456"/>
        <item h="1" x="18457"/>
        <item h="1" x="18458"/>
        <item h="1" x="18459"/>
        <item h="1" x="18460"/>
        <item h="1" x="18461"/>
        <item h="1" x="18462"/>
        <item h="1" x="18463"/>
        <item h="1" x="18464"/>
        <item h="1" x="18465"/>
        <item h="1" x="18466"/>
        <item h="1" x="18467"/>
        <item h="1" x="18468"/>
        <item h="1" x="18469"/>
        <item h="1" x="18470"/>
        <item h="1" x="18471"/>
        <item h="1" x="18472"/>
        <item h="1" x="18473"/>
        <item h="1" x="18474"/>
        <item h="1" x="18475"/>
        <item h="1" x="18476"/>
        <item h="1" x="18477"/>
        <item h="1" x="18478"/>
        <item h="1" x="18479"/>
        <item h="1" x="18480"/>
        <item h="1" x="18481"/>
        <item h="1" x="18482"/>
        <item h="1" x="18483"/>
        <item h="1" x="18484"/>
        <item h="1" x="18485"/>
        <item h="1" x="18486"/>
        <item h="1" x="18487"/>
        <item h="1" x="18488"/>
        <item h="1" x="18489"/>
        <item h="1" x="18490"/>
        <item h="1" x="18491"/>
        <item h="1" x="18492"/>
        <item h="1" x="18493"/>
        <item h="1" x="18494"/>
        <item h="1" x="18495"/>
        <item h="1" x="18496"/>
        <item h="1" x="18497"/>
        <item h="1" x="18498"/>
        <item h="1" x="18499"/>
        <item h="1" x="18500"/>
        <item h="1" x="18501"/>
        <item h="1" x="18502"/>
        <item h="1" x="18503"/>
        <item h="1" x="18504"/>
        <item h="1" x="18505"/>
        <item h="1" x="18506"/>
        <item h="1" x="18507"/>
        <item h="1" x="18508"/>
        <item h="1" x="18509"/>
        <item h="1" x="18510"/>
        <item h="1" x="18511"/>
        <item h="1" x="18512"/>
        <item h="1" x="18513"/>
        <item h="1" x="18514"/>
        <item h="1" x="18515"/>
        <item h="1" x="18516"/>
        <item h="1" x="18517"/>
        <item h="1" x="18518"/>
        <item h="1" x="18519"/>
        <item h="1" x="18520"/>
        <item h="1" x="18521"/>
        <item h="1" x="18522"/>
        <item h="1" x="18523"/>
        <item h="1" x="18524"/>
        <item h="1" x="18525"/>
        <item h="1" x="18526"/>
        <item h="1" x="18527"/>
        <item h="1" x="18528"/>
        <item h="1" x="18529"/>
        <item h="1" x="18530"/>
        <item h="1" x="18531"/>
        <item h="1" x="18532"/>
        <item h="1" x="18533"/>
        <item h="1" x="18534"/>
        <item h="1" x="18535"/>
        <item h="1" x="18536"/>
        <item h="1" x="18537"/>
        <item h="1" x="18538"/>
        <item h="1" x="18539"/>
        <item h="1" x="18540"/>
        <item h="1" x="18541"/>
        <item h="1" x="18542"/>
        <item h="1" x="18543"/>
        <item h="1" x="18544"/>
        <item h="1" x="18545"/>
        <item h="1" x="18546"/>
        <item h="1" x="18547"/>
        <item h="1" x="18548"/>
        <item h="1" x="18549"/>
        <item h="1" x="18550"/>
        <item h="1" x="18551"/>
        <item h="1" x="18552"/>
        <item h="1" x="18553"/>
        <item h="1" x="18554"/>
        <item h="1" x="18555"/>
        <item h="1" x="18556"/>
        <item h="1" x="18557"/>
        <item h="1" x="18558"/>
        <item h="1" x="18559"/>
        <item h="1" x="18560"/>
        <item h="1" x="18561"/>
        <item h="1" x="18562"/>
        <item h="1" x="18563"/>
        <item h="1" x="18564"/>
        <item h="1" x="18565"/>
        <item h="1" x="18566"/>
        <item h="1" x="18567"/>
        <item h="1" x="18568"/>
        <item h="1" x="18569"/>
        <item h="1" x="18570"/>
        <item h="1" x="18571"/>
        <item h="1" x="18572"/>
        <item h="1" x="18573"/>
        <item h="1" x="18574"/>
        <item h="1" x="18575"/>
        <item h="1" x="18576"/>
        <item h="1" x="18577"/>
        <item h="1" x="18578"/>
        <item h="1" x="18579"/>
        <item h="1" x="18580"/>
        <item h="1" x="18581"/>
        <item h="1" x="18582"/>
        <item h="1" x="18583"/>
        <item h="1" x="18584"/>
        <item h="1" x="18585"/>
        <item h="1" x="18586"/>
        <item h="1" x="18587"/>
        <item h="1" x="18588"/>
        <item h="1" x="18589"/>
        <item h="1" x="18590"/>
        <item h="1" x="18591"/>
        <item h="1" x="18592"/>
        <item h="1" x="18593"/>
        <item h="1" x="18594"/>
        <item h="1" x="18595"/>
        <item h="1" x="18596"/>
        <item h="1" x="18597"/>
        <item h="1" x="18598"/>
        <item h="1" x="18599"/>
        <item h="1" x="18600"/>
        <item h="1" x="18601"/>
        <item h="1" x="18602"/>
        <item h="1" x="18603"/>
        <item h="1" x="18604"/>
        <item h="1" x="18605"/>
        <item h="1" x="18606"/>
        <item h="1" x="18607"/>
        <item h="1" x="18608"/>
        <item h="1" x="18609"/>
        <item h="1" x="18610"/>
        <item h="1" x="18611"/>
        <item h="1" x="18612"/>
        <item h="1" x="18613"/>
        <item h="1" x="18614"/>
        <item h="1" x="18615"/>
        <item h="1" x="18616"/>
        <item h="1" x="18617"/>
        <item h="1" x="18618"/>
        <item h="1" x="18619"/>
        <item h="1" x="18620"/>
        <item h="1" x="18621"/>
        <item h="1" x="18622"/>
        <item h="1" x="18623"/>
        <item h="1" x="18624"/>
        <item h="1" x="18625"/>
        <item h="1" x="18626"/>
        <item h="1" x="18627"/>
        <item h="1" x="18628"/>
        <item h="1" x="18629"/>
        <item h="1" x="18630"/>
        <item h="1" x="18631"/>
        <item h="1" x="18632"/>
        <item h="1" x="18633"/>
        <item h="1" x="18634"/>
        <item h="1" x="18635"/>
        <item h="1" x="18636"/>
        <item h="1" x="18637"/>
        <item h="1" x="18638"/>
        <item h="1" x="18639"/>
        <item h="1" x="18640"/>
        <item h="1" x="18641"/>
        <item h="1" x="18642"/>
        <item h="1" x="18643"/>
        <item h="1" x="18644"/>
        <item h="1" x="18645"/>
        <item h="1" x="18646"/>
        <item h="1" x="18647"/>
        <item h="1" x="18648"/>
        <item h="1" x="18649"/>
        <item h="1" x="18650"/>
        <item h="1" x="18651"/>
        <item h="1" x="18652"/>
        <item h="1" x="18653"/>
        <item h="1" x="18654"/>
        <item h="1" x="18655"/>
        <item h="1" x="18656"/>
        <item h="1" x="18657"/>
        <item h="1" x="18658"/>
        <item h="1" x="18659"/>
        <item h="1" x="18660"/>
        <item h="1" x="18661"/>
        <item h="1" x="18662"/>
        <item h="1" x="18663"/>
        <item h="1" x="18664"/>
        <item h="1" x="18665"/>
        <item h="1" x="18666"/>
        <item h="1" x="18667"/>
        <item h="1" x="18668"/>
        <item h="1" x="18669"/>
        <item h="1" x="18670"/>
        <item h="1" x="18671"/>
        <item h="1" x="18672"/>
        <item h="1" x="18673"/>
        <item h="1" x="18674"/>
        <item h="1" x="18675"/>
        <item h="1" x="18676"/>
        <item h="1" x="18677"/>
        <item h="1" x="18678"/>
        <item h="1" x="18679"/>
        <item h="1" x="18680"/>
        <item h="1" x="18681"/>
        <item h="1" x="18682"/>
        <item h="1" x="18683"/>
        <item h="1" x="18684"/>
        <item h="1" x="18685"/>
        <item h="1" x="18686"/>
        <item h="1" x="18687"/>
        <item h="1" x="18688"/>
        <item h="1" x="18689"/>
        <item h="1" x="18690"/>
        <item h="1" x="18691"/>
        <item h="1" x="18692"/>
        <item h="1" x="18693"/>
        <item h="1" x="18694"/>
        <item h="1" x="18695"/>
        <item h="1" x="18696"/>
        <item h="1" x="18697"/>
        <item h="1" x="18698"/>
        <item h="1" x="18699"/>
        <item h="1" x="18700"/>
        <item h="1" x="18701"/>
        <item h="1" x="18702"/>
        <item h="1" x="18703"/>
        <item h="1" x="18704"/>
        <item h="1" x="18705"/>
        <item h="1" x="18706"/>
        <item h="1" x="18707"/>
        <item h="1" x="18708"/>
        <item h="1" x="18709"/>
        <item h="1" x="18710"/>
        <item h="1" x="18711"/>
        <item h="1" x="18712"/>
        <item h="1" x="18713"/>
        <item h="1" x="18714"/>
        <item h="1" x="18715"/>
        <item h="1" x="18716"/>
        <item h="1" x="18717"/>
        <item h="1" x="18718"/>
        <item h="1" x="18719"/>
        <item h="1" x="18720"/>
        <item h="1" x="18721"/>
        <item h="1" x="18722"/>
        <item h="1" x="18723"/>
        <item h="1" x="18724"/>
        <item h="1" x="18725"/>
        <item h="1" x="18726"/>
        <item h="1" x="18727"/>
        <item h="1" x="18728"/>
        <item h="1" x="18729"/>
        <item h="1" x="18730"/>
        <item h="1" x="18731"/>
        <item h="1" x="18732"/>
        <item h="1" x="18733"/>
        <item h="1" x="18734"/>
        <item h="1" x="18735"/>
        <item h="1" x="18736"/>
        <item h="1" x="18737"/>
        <item h="1" x="18738"/>
        <item h="1" x="18739"/>
        <item h="1" x="18740"/>
        <item h="1" x="18741"/>
        <item h="1" x="18742"/>
        <item h="1" x="18743"/>
        <item h="1" x="18744"/>
        <item h="1" x="18745"/>
        <item h="1" x="18746"/>
        <item h="1" x="18747"/>
        <item h="1" x="18748"/>
        <item h="1" x="18749"/>
        <item h="1" x="18750"/>
        <item h="1" x="18751"/>
        <item h="1" x="18752"/>
        <item h="1" x="18753"/>
        <item h="1" x="18754"/>
        <item h="1" x="18755"/>
        <item h="1" x="18756"/>
        <item h="1" x="18757"/>
        <item h="1" x="18758"/>
        <item h="1" x="18759"/>
        <item h="1" x="18760"/>
        <item h="1" x="18761"/>
        <item h="1" x="18762"/>
        <item h="1" x="18763"/>
        <item h="1" x="18764"/>
        <item h="1" x="18765"/>
        <item h="1" x="18766"/>
        <item h="1" x="18767"/>
        <item h="1" x="18768"/>
        <item h="1" x="18769"/>
        <item h="1" x="18770"/>
        <item h="1" x="18771"/>
        <item h="1" x="18772"/>
        <item h="1" x="18773"/>
        <item h="1" x="18774"/>
        <item h="1" x="18775"/>
        <item h="1" x="18776"/>
        <item h="1" x="18777"/>
        <item h="1" x="18778"/>
        <item h="1" x="18779"/>
        <item h="1" x="18780"/>
        <item h="1" x="18781"/>
        <item h="1" x="18782"/>
        <item h="1" x="18783"/>
        <item h="1" x="18784"/>
        <item h="1" x="18785"/>
        <item h="1" x="18786"/>
        <item h="1" x="18787"/>
        <item h="1" x="18788"/>
        <item h="1" x="18789"/>
        <item h="1" x="18790"/>
        <item h="1" x="18791"/>
        <item h="1" x="18792"/>
        <item h="1" x="18793"/>
        <item h="1" x="18794"/>
        <item h="1" x="18795"/>
        <item h="1" x="18796"/>
        <item h="1" x="18797"/>
        <item h="1" x="18798"/>
        <item h="1" x="18799"/>
        <item h="1" x="18800"/>
        <item h="1" x="18801"/>
        <item h="1" x="18802"/>
        <item h="1" x="18803"/>
        <item h="1" x="18804"/>
        <item h="1" x="18805"/>
        <item h="1" x="18806"/>
        <item h="1" x="18807"/>
        <item h="1" x="18808"/>
        <item h="1" x="18809"/>
        <item h="1" x="18810"/>
        <item h="1" x="18811"/>
        <item h="1" x="18812"/>
        <item h="1" x="18813"/>
        <item h="1" x="18814"/>
        <item h="1" x="18815"/>
        <item h="1" x="18816"/>
        <item h="1" x="18817"/>
        <item h="1" x="18818"/>
        <item h="1" x="18819"/>
        <item h="1" x="18820"/>
        <item h="1" x="18821"/>
        <item h="1" x="18822"/>
        <item h="1" x="18823"/>
        <item h="1" x="18824"/>
        <item h="1" x="18825"/>
        <item h="1" x="18826"/>
        <item h="1" x="18827"/>
        <item h="1" x="18828"/>
        <item h="1" x="18829"/>
        <item h="1" x="18830"/>
        <item h="1" x="18831"/>
        <item h="1" x="18832"/>
        <item h="1" x="18833"/>
        <item h="1" x="18834"/>
        <item h="1" x="18835"/>
        <item h="1" x="18836"/>
        <item h="1" x="18837"/>
        <item h="1" x="18838"/>
        <item h="1" x="18839"/>
        <item h="1" x="18840"/>
        <item h="1" x="18841"/>
        <item h="1" x="18842"/>
        <item h="1" x="18843"/>
        <item h="1" x="18844"/>
        <item h="1" x="18845"/>
        <item h="1" x="18846"/>
        <item h="1" x="18847"/>
        <item h="1" x="18848"/>
        <item h="1" x="18849"/>
        <item h="1" x="18850"/>
        <item h="1" x="18851"/>
        <item h="1" x="18852"/>
        <item h="1" x="18853"/>
        <item h="1" x="18854"/>
        <item h="1" x="18855"/>
        <item h="1" x="18856"/>
        <item h="1" x="18857"/>
        <item h="1" x="18858"/>
        <item h="1" x="18859"/>
        <item h="1" x="18860"/>
        <item h="1" x="18861"/>
        <item h="1" x="18862"/>
        <item h="1" x="18863"/>
        <item h="1" x="18864"/>
        <item h="1" x="18865"/>
        <item h="1" x="18866"/>
        <item h="1" x="18867"/>
        <item h="1" x="18868"/>
        <item h="1" x="18869"/>
        <item h="1" x="18870"/>
        <item h="1" x="18871"/>
        <item h="1" x="18872"/>
        <item h="1" x="18873"/>
        <item h="1" x="18874"/>
        <item h="1" x="18875"/>
        <item h="1" x="18876"/>
        <item h="1" x="18877"/>
        <item h="1" x="18878"/>
        <item h="1" x="18879"/>
        <item h="1" x="18880"/>
        <item h="1" x="18881"/>
        <item h="1" x="18882"/>
        <item h="1" x="18883"/>
        <item h="1" x="18884"/>
        <item h="1" x="18885"/>
        <item h="1" x="18886"/>
        <item h="1" x="18887"/>
        <item h="1" x="18888"/>
        <item h="1" x="18889"/>
        <item h="1" x="18890"/>
        <item h="1" x="18891"/>
        <item h="1" x="18892"/>
        <item h="1" x="18893"/>
        <item h="1" x="18894"/>
        <item h="1" x="18895"/>
        <item h="1" x="18896"/>
        <item h="1" x="18897"/>
        <item h="1" x="18898"/>
        <item h="1" x="18899"/>
        <item h="1" x="18900"/>
        <item h="1" x="18901"/>
        <item h="1" x="18902"/>
        <item h="1" x="18903"/>
        <item h="1" x="18904"/>
        <item h="1" x="18905"/>
        <item h="1" x="18906"/>
        <item h="1" x="18907"/>
        <item h="1" x="18908"/>
        <item h="1" x="18909"/>
        <item h="1" x="18910"/>
        <item h="1" x="18911"/>
        <item h="1" x="18912"/>
        <item h="1" x="18913"/>
        <item h="1" x="18914"/>
        <item h="1" x="18915"/>
        <item h="1" x="18916"/>
        <item h="1" x="18917"/>
        <item h="1" x="18918"/>
        <item h="1" x="18919"/>
        <item h="1" x="18920"/>
        <item h="1" x="18921"/>
        <item h="1" x="18922"/>
        <item h="1" x="18923"/>
        <item h="1" x="18924"/>
        <item h="1" x="18925"/>
        <item h="1" x="18926"/>
        <item h="1" x="18927"/>
        <item h="1" x="18928"/>
        <item h="1" x="18929"/>
        <item h="1" x="18930"/>
        <item h="1" x="18931"/>
        <item h="1" x="18932"/>
        <item h="1" x="18933"/>
        <item h="1" x="18934"/>
        <item h="1" x="18935"/>
        <item h="1" x="18936"/>
        <item h="1" x="18937"/>
        <item h="1" x="18938"/>
        <item h="1" x="18939"/>
        <item h="1" x="18940"/>
        <item h="1" x="18941"/>
        <item h="1" x="18942"/>
        <item h="1" x="18943"/>
        <item h="1" x="18944"/>
        <item h="1" x="18945"/>
        <item h="1" x="18946"/>
        <item h="1" x="18947"/>
        <item h="1" x="18948"/>
        <item h="1" x="18949"/>
        <item h="1" x="18950"/>
        <item h="1" x="18951"/>
        <item h="1" x="18952"/>
        <item h="1" x="18953"/>
        <item h="1" x="18954"/>
        <item h="1" x="18955"/>
        <item h="1" x="18956"/>
        <item h="1" x="18957"/>
        <item h="1" x="18958"/>
        <item h="1" x="18959"/>
        <item h="1" x="18960"/>
        <item h="1" x="18961"/>
        <item h="1" x="18962"/>
        <item h="1" x="18963"/>
        <item h="1" x="18964"/>
        <item h="1" x="18965"/>
        <item h="1" x="18966"/>
        <item h="1" x="18967"/>
        <item h="1" x="18968"/>
        <item h="1" x="18969"/>
        <item h="1" x="18970"/>
        <item h="1" x="18971"/>
        <item h="1" x="18972"/>
        <item h="1" x="18973"/>
        <item h="1" x="18974"/>
        <item h="1" x="18975"/>
        <item h="1" x="18976"/>
        <item h="1" x="18977"/>
        <item h="1" x="18978"/>
        <item h="1" x="18979"/>
        <item h="1" x="18980"/>
        <item h="1" x="18981"/>
        <item h="1" x="18982"/>
        <item h="1" x="18983"/>
        <item h="1" x="18984"/>
        <item h="1" x="18985"/>
        <item h="1" x="18986"/>
        <item h="1" x="18987"/>
        <item h="1" x="18988"/>
        <item h="1" x="18989"/>
        <item h="1" x="18990"/>
        <item h="1" x="18991"/>
        <item h="1" x="18992"/>
        <item h="1" x="18993"/>
        <item h="1" x="18994"/>
        <item h="1" x="18995"/>
        <item h="1" x="18996"/>
        <item h="1" x="18997"/>
        <item h="1" x="18998"/>
        <item h="1" x="18999"/>
        <item h="1" x="19000"/>
        <item h="1" x="19001"/>
        <item h="1" x="19002"/>
        <item h="1" x="19003"/>
        <item h="1" x="19004"/>
        <item h="1" x="19005"/>
        <item h="1" x="19006"/>
        <item h="1" x="19007"/>
        <item h="1" x="19008"/>
        <item h="1" x="19009"/>
        <item h="1" x="19010"/>
        <item h="1" x="19011"/>
        <item h="1" x="19012"/>
        <item h="1" x="19013"/>
        <item h="1" x="19014"/>
        <item h="1" x="19015"/>
        <item h="1" x="19016"/>
        <item h="1" x="19017"/>
        <item h="1" x="19018"/>
        <item h="1" x="19019"/>
        <item h="1" x="19020"/>
        <item h="1" x="19021"/>
        <item h="1" x="19022"/>
        <item h="1" x="19023"/>
        <item h="1" x="19024"/>
        <item h="1" x="19025"/>
        <item h="1" x="19026"/>
        <item h="1" x="19027"/>
        <item h="1" x="19028"/>
        <item h="1" x="19029"/>
        <item h="1" x="19030"/>
        <item h="1" x="19031"/>
        <item h="1" x="19032"/>
        <item h="1" x="19033"/>
        <item h="1" x="19034"/>
        <item h="1" x="19035"/>
        <item h="1" x="19036"/>
        <item h="1" x="19037"/>
        <item h="1" x="19038"/>
        <item h="1" x="19039"/>
        <item h="1" x="19040"/>
        <item h="1" x="19041"/>
        <item h="1" x="19042"/>
        <item h="1" x="19043"/>
        <item h="1" x="19044"/>
        <item h="1" x="19045"/>
        <item h="1" x="19046"/>
        <item h="1" x="19047"/>
        <item h="1" x="19048"/>
        <item h="1" x="19049"/>
        <item h="1" x="19050"/>
        <item h="1" x="19051"/>
        <item h="1" x="19052"/>
        <item h="1" x="19053"/>
        <item h="1" x="19054"/>
        <item h="1" x="19055"/>
        <item h="1" x="19056"/>
        <item h="1" x="19057"/>
        <item h="1" x="19058"/>
        <item h="1" x="19059"/>
        <item h="1" x="19060"/>
        <item h="1" x="19061"/>
        <item h="1" x="19062"/>
        <item h="1" x="19063"/>
        <item h="1" x="19064"/>
        <item h="1" x="19065"/>
        <item h="1" x="19066"/>
        <item h="1" x="19067"/>
        <item h="1" x="19068"/>
        <item h="1" x="19069"/>
        <item h="1" x="19070"/>
        <item h="1" x="19071"/>
        <item h="1" x="19072"/>
        <item h="1" x="19073"/>
        <item h="1" x="19074"/>
        <item h="1" x="19075"/>
        <item h="1" x="19076"/>
        <item h="1" x="19077"/>
        <item h="1" x="19078"/>
        <item h="1" x="19079"/>
        <item h="1" x="19080"/>
        <item h="1" x="19081"/>
        <item h="1" x="19082"/>
        <item h="1" x="19083"/>
        <item h="1" x="19084"/>
        <item h="1" x="19085"/>
        <item h="1" x="19086"/>
        <item h="1" x="19087"/>
        <item h="1" x="19088"/>
        <item h="1" x="19089"/>
        <item h="1" x="19090"/>
        <item h="1" x="19091"/>
        <item h="1" x="19092"/>
        <item h="1" x="19093"/>
        <item h="1" x="19094"/>
        <item h="1" x="19095"/>
        <item h="1" x="19096"/>
        <item h="1" x="19097"/>
        <item h="1" x="19098"/>
        <item h="1" x="19099"/>
        <item h="1" x="19100"/>
        <item h="1" x="19101"/>
        <item h="1" x="19102"/>
        <item h="1" x="19103"/>
        <item h="1" x="19104"/>
        <item h="1" x="19105"/>
        <item h="1" x="19106"/>
        <item h="1" x="19107"/>
        <item h="1" x="19108"/>
        <item h="1" x="19109"/>
        <item h="1" x="19110"/>
        <item h="1" x="19111"/>
        <item h="1" x="19112"/>
        <item h="1" x="19113"/>
        <item h="1" x="19114"/>
        <item h="1" x="19115"/>
        <item h="1" x="19116"/>
        <item h="1" x="19117"/>
        <item h="1" x="19118"/>
        <item h="1" x="19119"/>
        <item h="1" x="19120"/>
        <item h="1" x="19121"/>
        <item h="1" x="19122"/>
        <item h="1" x="19123"/>
        <item h="1" x="19124"/>
        <item h="1" x="19125"/>
        <item h="1" x="19126"/>
        <item h="1" x="19127"/>
        <item h="1" x="19128"/>
        <item h="1" x="19129"/>
        <item h="1" x="19130"/>
        <item h="1" x="19131"/>
        <item h="1" x="19132"/>
        <item h="1" x="19133"/>
        <item h="1" x="19134"/>
        <item h="1" x="19135"/>
        <item h="1" x="19136"/>
        <item h="1" x="19137"/>
        <item h="1" x="19138"/>
        <item h="1" x="19139"/>
        <item h="1" x="19140"/>
        <item h="1" x="19141"/>
        <item h="1" x="19142"/>
        <item h="1" x="19143"/>
        <item h="1" x="19144"/>
        <item h="1" x="19145"/>
        <item h="1" x="19146"/>
        <item h="1" x="19147"/>
        <item h="1" x="19148"/>
        <item h="1" x="19149"/>
        <item h="1" x="19150"/>
        <item h="1" x="19151"/>
        <item h="1" x="19152"/>
        <item h="1" x="19153"/>
        <item h="1" x="19154"/>
        <item h="1" x="19155"/>
        <item h="1" x="19156"/>
        <item h="1" x="19157"/>
        <item h="1" x="19158"/>
        <item h="1" x="19159"/>
        <item h="1" x="19160"/>
        <item h="1" x="19161"/>
        <item h="1" x="19162"/>
        <item h="1" x="19163"/>
        <item h="1" x="19164"/>
        <item h="1" x="19165"/>
        <item h="1" x="19166"/>
        <item h="1" x="19167"/>
        <item h="1" x="19168"/>
        <item h="1" x="19169"/>
        <item h="1" x="19170"/>
        <item h="1" x="19171"/>
        <item h="1" x="19172"/>
        <item h="1" x="19173"/>
        <item h="1" x="19174"/>
        <item h="1" x="19175"/>
        <item h="1" x="19176"/>
        <item h="1" x="19177"/>
        <item h="1" x="19178"/>
        <item h="1" x="19179"/>
        <item h="1" x="19180"/>
        <item h="1" x="19181"/>
        <item h="1" x="19182"/>
        <item h="1" x="19183"/>
        <item h="1" x="19184"/>
        <item h="1" x="19185"/>
        <item h="1" x="19186"/>
        <item h="1" x="19187"/>
        <item h="1" x="19188"/>
        <item h="1" x="19189"/>
        <item h="1" x="19190"/>
        <item h="1" x="19191"/>
        <item h="1" x="19192"/>
        <item h="1" x="19193"/>
        <item h="1" x="19194"/>
        <item h="1" x="19195"/>
        <item h="1" x="19196"/>
        <item h="1" x="19197"/>
        <item h="1" x="19198"/>
        <item h="1" x="19199"/>
        <item h="1" x="19200"/>
        <item h="1" x="19201"/>
        <item h="1" x="19202"/>
        <item h="1" x="19203"/>
        <item h="1" x="19204"/>
        <item h="1" x="19205"/>
        <item h="1" x="19206"/>
        <item h="1" x="19207"/>
        <item h="1" x="19208"/>
        <item h="1" x="19209"/>
        <item h="1" x="19210"/>
        <item h="1" x="19211"/>
        <item h="1" x="19212"/>
        <item h="1" x="19213"/>
        <item h="1" x="19214"/>
        <item h="1" x="19215"/>
        <item h="1" x="19216"/>
        <item h="1" x="19217"/>
        <item h="1" x="19218"/>
        <item h="1" x="19219"/>
        <item h="1" x="19220"/>
        <item h="1" x="19221"/>
        <item h="1" x="19222"/>
        <item h="1" x="19223"/>
        <item h="1" x="19224"/>
        <item h="1" x="19225"/>
        <item h="1" x="19226"/>
        <item h="1" x="19227"/>
        <item h="1" x="19228"/>
        <item h="1" x="19229"/>
        <item h="1" x="19230"/>
        <item h="1" x="19231"/>
        <item h="1" x="19232"/>
        <item h="1" x="19233"/>
        <item h="1" x="19234"/>
        <item h="1" x="19235"/>
        <item h="1" x="19236"/>
        <item h="1" x="19237"/>
        <item h="1" x="19238"/>
        <item h="1" x="19239"/>
        <item h="1" x="19240"/>
        <item h="1" x="19241"/>
        <item h="1" x="19242"/>
        <item h="1" x="19243"/>
        <item h="1" x="19244"/>
        <item h="1" x="19245"/>
        <item h="1" x="19246"/>
        <item h="1" x="19247"/>
        <item h="1" x="19248"/>
        <item h="1" x="19249"/>
        <item h="1" x="19250"/>
        <item h="1" x="19251"/>
        <item h="1" x="19252"/>
        <item h="1" x="19253"/>
        <item h="1" x="19254"/>
        <item h="1" x="19255"/>
        <item h="1" x="19256"/>
        <item h="1" x="19257"/>
        <item h="1" x="19258"/>
        <item h="1" x="19259"/>
        <item h="1" x="19260"/>
        <item h="1" x="19261"/>
        <item h="1" x="19262"/>
        <item h="1" x="19263"/>
        <item h="1" x="19264"/>
        <item h="1" x="19265"/>
        <item h="1" x="19266"/>
        <item h="1" x="19267"/>
        <item h="1" x="19268"/>
        <item h="1" x="19269"/>
        <item h="1" x="19270"/>
        <item h="1" x="19271"/>
        <item h="1" x="19272"/>
        <item h="1" x="19273"/>
        <item h="1" x="19274"/>
        <item h="1" x="19275"/>
        <item h="1" x="19276"/>
        <item h="1" x="19277"/>
        <item h="1" x="19278"/>
        <item h="1" x="19279"/>
        <item h="1" x="19280"/>
        <item h="1" x="19281"/>
        <item h="1" x="19282"/>
        <item h="1" x="19283"/>
        <item h="1" x="19284"/>
        <item h="1" x="19285"/>
        <item h="1" x="19286"/>
        <item h="1" x="19287"/>
        <item h="1" x="19288"/>
        <item h="1" x="19289"/>
        <item h="1" x="19290"/>
        <item h="1" x="19291"/>
        <item h="1" x="19292"/>
        <item h="1" x="19293"/>
        <item h="1" x="19294"/>
        <item h="1" x="19295"/>
        <item h="1" x="19296"/>
        <item h="1" x="19297"/>
        <item h="1" x="19298"/>
        <item h="1" x="19299"/>
        <item h="1" x="19300"/>
        <item h="1" x="19301"/>
        <item h="1" x="19302"/>
        <item h="1" x="19303"/>
        <item h="1" x="19304"/>
        <item h="1" x="19305"/>
        <item h="1" x="19306"/>
        <item h="1" x="19307"/>
        <item h="1" x="19308"/>
        <item h="1" x="19309"/>
        <item h="1" x="19310"/>
        <item h="1" x="19311"/>
        <item h="1" x="19312"/>
        <item h="1" x="19313"/>
        <item h="1" x="19314"/>
        <item h="1" x="19315"/>
        <item h="1" x="19316"/>
        <item h="1" x="19317"/>
        <item h="1" x="19318"/>
        <item h="1" x="19319"/>
        <item h="1" x="19320"/>
        <item h="1" x="19321"/>
        <item h="1" x="19322"/>
        <item h="1" x="19323"/>
        <item h="1" x="19324"/>
        <item h="1" x="19325"/>
        <item h="1" x="19326"/>
        <item h="1" x="19327"/>
        <item h="1" x="19328"/>
        <item h="1" x="19329"/>
        <item h="1" x="19330"/>
        <item h="1" x="19331"/>
        <item h="1" x="19332"/>
        <item h="1" x="19333"/>
        <item h="1" x="19334"/>
        <item h="1" x="19335"/>
        <item h="1" x="19336"/>
        <item h="1" x="19337"/>
        <item h="1" x="19338"/>
        <item h="1" x="19339"/>
        <item h="1" x="19340"/>
        <item h="1" x="19341"/>
        <item h="1" x="19342"/>
        <item h="1" x="19343"/>
        <item h="1" x="19344"/>
        <item h="1" x="19345"/>
        <item h="1" x="19346"/>
        <item h="1" x="19347"/>
        <item h="1" x="19348"/>
        <item h="1" x="19349"/>
        <item h="1" x="19350"/>
        <item h="1" x="19351"/>
        <item h="1" x="19352"/>
        <item h="1" x="19353"/>
        <item h="1" x="19354"/>
        <item h="1" x="19355"/>
        <item h="1" x="19356"/>
        <item h="1" x="19357"/>
        <item h="1" x="19358"/>
        <item h="1" x="19359"/>
        <item h="1" x="19360"/>
        <item h="1" x="19361"/>
        <item h="1" x="19362"/>
        <item h="1" x="19363"/>
        <item h="1" x="19364"/>
        <item h="1" x="19365"/>
        <item h="1" x="19366"/>
        <item h="1" x="19367"/>
        <item h="1" x="19368"/>
        <item h="1" x="19369"/>
        <item h="1" x="19370"/>
        <item h="1" x="19371"/>
        <item h="1" x="19372"/>
        <item h="1" x="19373"/>
        <item h="1" x="19374"/>
        <item h="1" x="19375"/>
        <item h="1" x="19376"/>
        <item h="1" x="19377"/>
        <item h="1" x="19378"/>
        <item h="1" x="19379"/>
        <item h="1" x="19380"/>
        <item h="1" x="19381"/>
        <item h="1" x="19382"/>
        <item h="1" x="19383"/>
        <item h="1" x="19384"/>
        <item h="1" x="19385"/>
        <item h="1" x="19386"/>
        <item h="1" x="19387"/>
        <item h="1" x="19388"/>
        <item h="1" x="19389"/>
        <item h="1" x="19390"/>
        <item h="1" x="19391"/>
        <item h="1" x="19392"/>
        <item h="1" x="19393"/>
        <item h="1" x="19394"/>
        <item h="1" x="19395"/>
        <item h="1" x="19396"/>
        <item h="1" x="19397"/>
        <item h="1" x="19398"/>
        <item h="1" x="19399"/>
        <item h="1" x="19400"/>
        <item h="1" x="19401"/>
        <item h="1" x="19402"/>
        <item h="1" x="19403"/>
        <item h="1" x="19404"/>
        <item h="1" x="19405"/>
        <item h="1" x="19406"/>
        <item h="1" x="19407"/>
        <item h="1" x="19408"/>
        <item h="1" x="19409"/>
        <item h="1" x="19410"/>
        <item h="1" x="19411"/>
        <item h="1" x="19412"/>
        <item h="1" x="19413"/>
        <item h="1" x="19414"/>
        <item h="1" x="19415"/>
        <item h="1" x="19416"/>
        <item h="1" x="19417"/>
        <item h="1" x="19418"/>
        <item h="1" x="19419"/>
        <item h="1" x="19420"/>
        <item h="1" x="19421"/>
        <item h="1" x="19422"/>
        <item h="1" x="19423"/>
        <item h="1" x="19424"/>
        <item h="1" x="19425"/>
        <item h="1" x="19426"/>
        <item h="1" x="19427"/>
        <item h="1" x="19428"/>
        <item h="1" x="19429"/>
        <item h="1" x="19430"/>
        <item h="1" x="19431"/>
        <item h="1" x="19432"/>
        <item h="1" x="19433"/>
        <item h="1" x="19434"/>
        <item h="1" x="19435"/>
        <item h="1" x="19436"/>
        <item h="1" x="19437"/>
        <item h="1" x="19438"/>
        <item h="1" x="19439"/>
        <item h="1" x="19440"/>
        <item h="1" x="19441"/>
        <item h="1" x="19442"/>
        <item h="1" x="19443"/>
        <item h="1" x="19444"/>
        <item h="1" x="19445"/>
        <item h="1" x="19446"/>
        <item h="1" x="19447"/>
        <item h="1" x="19448"/>
        <item h="1" x="19449"/>
        <item h="1" x="19450"/>
        <item h="1" x="19451"/>
        <item h="1" x="19452"/>
        <item h="1" x="19453"/>
        <item h="1" x="19454"/>
        <item h="1" x="19455"/>
        <item h="1" x="19456"/>
        <item h="1" x="19457"/>
        <item h="1" x="19458"/>
        <item h="1" x="19459"/>
        <item h="1" x="19460"/>
        <item h="1" x="19461"/>
        <item h="1" x="19462"/>
        <item h="1" x="19463"/>
        <item h="1" x="19464"/>
        <item h="1" x="19465"/>
        <item h="1" x="19466"/>
        <item h="1" x="19467"/>
        <item h="1" x="19468"/>
        <item h="1" x="19469"/>
        <item h="1" x="19470"/>
        <item h="1" x="19471"/>
        <item h="1" x="19472"/>
        <item h="1" x="19473"/>
        <item h="1" x="19474"/>
        <item h="1" x="19475"/>
        <item h="1" x="19476"/>
        <item h="1" x="19477"/>
        <item h="1" x="19478"/>
        <item h="1" x="19479"/>
        <item h="1" x="19480"/>
        <item h="1" x="19481"/>
        <item h="1" x="19482"/>
        <item h="1" x="19483"/>
        <item h="1" x="19484"/>
        <item h="1" x="19485"/>
        <item h="1" x="19486"/>
        <item h="1" x="19487"/>
        <item h="1" x="19488"/>
        <item h="1" x="19489"/>
        <item h="1" x="19490"/>
        <item h="1" x="19491"/>
        <item h="1" x="19492"/>
        <item h="1" x="19493"/>
        <item h="1" x="19494"/>
        <item h="1" x="19495"/>
        <item h="1" x="19496"/>
        <item h="1" x="19497"/>
        <item h="1" x="19498"/>
        <item h="1" x="19499"/>
        <item h="1" x="19500"/>
        <item h="1" x="19501"/>
        <item h="1" x="19502"/>
        <item h="1" x="19503"/>
        <item h="1" x="19504"/>
        <item h="1" x="19505"/>
        <item h="1" x="19506"/>
        <item h="1" x="19507"/>
        <item h="1" x="19508"/>
        <item h="1" x="19509"/>
        <item h="1" x="19510"/>
        <item h="1" x="19511"/>
        <item h="1" x="19512"/>
        <item h="1" x="19513"/>
        <item h="1" x="19514"/>
        <item h="1" x="19515"/>
        <item h="1" x="19516"/>
        <item h="1" x="19517"/>
        <item h="1" x="19518"/>
        <item h="1" x="19519"/>
        <item h="1" x="19520"/>
        <item h="1" x="19521"/>
        <item h="1" x="19522"/>
        <item h="1" x="19523"/>
        <item h="1" x="19524"/>
        <item h="1" x="19525"/>
        <item h="1" x="19526"/>
        <item h="1" x="19527"/>
        <item h="1" x="19528"/>
        <item h="1" x="19529"/>
        <item h="1" x="19530"/>
        <item h="1" x="19531"/>
        <item h="1" x="19532"/>
        <item h="1" x="19533"/>
        <item h="1" x="19534"/>
        <item h="1" x="19535"/>
        <item h="1" x="19536"/>
        <item h="1" x="19537"/>
        <item h="1" x="19538"/>
        <item h="1" x="19539"/>
        <item h="1" x="19540"/>
        <item h="1" x="19541"/>
        <item h="1" x="19542"/>
        <item h="1" x="19543"/>
        <item h="1" x="19544"/>
        <item h="1" x="19545"/>
        <item h="1" x="19546"/>
        <item h="1" x="19547"/>
        <item h="1" x="19548"/>
        <item h="1" x="19549"/>
        <item h="1" x="19550"/>
        <item h="1" x="19551"/>
        <item h="1" x="19552"/>
        <item h="1" x="19553"/>
        <item h="1" x="19554"/>
        <item h="1" x="19555"/>
        <item h="1" x="19556"/>
        <item h="1" x="19557"/>
        <item h="1" x="19558"/>
        <item h="1" x="19559"/>
        <item h="1" x="19560"/>
        <item h="1" x="19561"/>
        <item h="1" x="19562"/>
        <item h="1" x="19563"/>
        <item h="1" x="19564"/>
        <item h="1" x="19565"/>
        <item h="1" x="19566"/>
        <item h="1" x="19567"/>
        <item h="1" x="19568"/>
        <item h="1" x="19569"/>
        <item h="1" x="19570"/>
        <item h="1" x="19571"/>
        <item h="1" x="19572"/>
        <item h="1" x="19573"/>
        <item h="1" x="19574"/>
        <item h="1" x="19575"/>
        <item h="1" x="19576"/>
        <item h="1" x="19577"/>
        <item h="1" x="19578"/>
        <item h="1" x="19579"/>
        <item h="1" x="19580"/>
        <item h="1" x="19581"/>
        <item h="1" x="19582"/>
        <item h="1" x="19583"/>
        <item h="1" x="19584"/>
        <item h="1" x="19585"/>
        <item h="1" x="19586"/>
        <item h="1" x="19587"/>
        <item h="1" x="19588"/>
        <item h="1" x="19589"/>
        <item h="1" x="19590"/>
        <item h="1" x="19591"/>
        <item h="1" x="19592"/>
        <item h="1" x="19593"/>
        <item h="1" x="19594"/>
        <item h="1" x="19595"/>
        <item h="1" x="19596"/>
        <item h="1" x="19597"/>
        <item h="1" x="19598"/>
        <item h="1" x="19599"/>
        <item h="1" x="19600"/>
        <item h="1" x="19601"/>
        <item h="1" x="19602"/>
        <item h="1" x="19603"/>
        <item h="1" x="19604"/>
        <item h="1" x="19605"/>
        <item h="1" x="19606"/>
        <item h="1" x="19607"/>
        <item h="1" x="19608"/>
        <item h="1" x="19609"/>
        <item h="1" x="19610"/>
        <item h="1" x="19611"/>
        <item h="1" x="19612"/>
        <item h="1" x="19613"/>
        <item h="1" x="19614"/>
        <item h="1" x="19615"/>
        <item h="1" x="19616"/>
        <item h="1" x="19617"/>
        <item h="1" x="19618"/>
        <item h="1" x="19619"/>
        <item h="1" x="19620"/>
        <item h="1" x="19621"/>
        <item h="1" x="19622"/>
        <item h="1" x="19623"/>
        <item h="1" x="19624"/>
        <item h="1" x="19625"/>
        <item h="1" x="19626"/>
        <item h="1" x="19627"/>
        <item h="1" x="19628"/>
        <item h="1" x="19629"/>
        <item h="1" x="19630"/>
        <item h="1" x="19631"/>
        <item h="1" x="19632"/>
        <item h="1" x="19633"/>
        <item h="1" x="19634"/>
        <item h="1" x="19635"/>
        <item h="1" x="19636"/>
        <item h="1" x="19637"/>
        <item h="1" x="19638"/>
        <item h="1" x="19639"/>
        <item h="1" x="19640"/>
        <item h="1" x="19641"/>
        <item h="1" x="19642"/>
        <item h="1" x="19643"/>
        <item h="1" x="19644"/>
        <item h="1" x="19645"/>
        <item h="1" x="19646"/>
        <item h="1" x="19647"/>
        <item h="1" x="19648"/>
        <item h="1" x="19649"/>
        <item h="1" x="19650"/>
        <item h="1" x="19651"/>
        <item h="1" x="19652"/>
        <item h="1" x="19653"/>
        <item h="1" x="19654"/>
        <item h="1" x="19655"/>
        <item h="1" x="19656"/>
        <item h="1" x="19657"/>
        <item h="1" x="19658"/>
        <item h="1" x="19659"/>
        <item h="1" x="19660"/>
        <item h="1" x="19661"/>
        <item h="1" x="19662"/>
        <item h="1" x="19663"/>
        <item h="1" x="19664"/>
        <item h="1" x="19665"/>
        <item h="1" x="19666"/>
        <item h="1" x="19667"/>
        <item h="1" x="19668"/>
        <item h="1" x="19669"/>
        <item h="1" x="19670"/>
        <item h="1" x="19671"/>
        <item h="1" x="19672"/>
        <item h="1" x="19673"/>
        <item h="1" x="19674"/>
        <item h="1" x="19675"/>
        <item h="1" x="19676"/>
        <item h="1" x="19677"/>
        <item h="1" x="19678"/>
        <item h="1" x="19679"/>
        <item h="1" x="19680"/>
        <item h="1" x="19681"/>
        <item h="1" x="19682"/>
        <item h="1" x="19683"/>
        <item h="1" x="19684"/>
        <item h="1" x="19685"/>
        <item h="1" x="19686"/>
        <item h="1" x="19687"/>
        <item h="1" x="19688"/>
        <item h="1" x="19689"/>
        <item h="1" x="19690"/>
        <item h="1" x="19691"/>
        <item h="1" x="19692"/>
        <item h="1" x="19693"/>
        <item h="1" x="19694"/>
        <item h="1" x="19695"/>
        <item h="1" x="19696"/>
        <item h="1" x="19697"/>
        <item h="1" x="19698"/>
        <item h="1" x="19699"/>
        <item h="1" x="19700"/>
        <item h="1" x="19701"/>
        <item h="1" x="19702"/>
        <item h="1" x="19703"/>
        <item h="1" x="19704"/>
        <item h="1" x="19705"/>
        <item h="1" x="19706"/>
        <item h="1" x="19707"/>
        <item h="1" x="19708"/>
        <item h="1" x="19709"/>
        <item h="1" x="19710"/>
        <item h="1" x="19711"/>
        <item h="1" x="19712"/>
        <item h="1" x="19713"/>
        <item h="1" x="19714"/>
        <item h="1" x="19715"/>
        <item h="1" x="19716"/>
        <item h="1" x="19717"/>
        <item h="1" x="19718"/>
        <item h="1" x="19719"/>
        <item h="1" x="19720"/>
        <item h="1" x="19721"/>
        <item h="1" x="19722"/>
        <item h="1" x="19723"/>
        <item h="1" x="19724"/>
        <item h="1" x="19725"/>
        <item h="1" x="19726"/>
        <item h="1" x="19727"/>
        <item h="1" x="19728"/>
        <item h="1" x="19729"/>
        <item h="1" x="19730"/>
        <item h="1" x="19731"/>
        <item h="1" x="19732"/>
        <item h="1" x="19733"/>
        <item h="1" x="19734"/>
        <item h="1" x="19735"/>
        <item h="1" x="19736"/>
        <item h="1" x="19737"/>
        <item h="1" x="19738"/>
        <item h="1" x="19739"/>
        <item h="1" x="19740"/>
        <item h="1" x="19741"/>
        <item h="1" x="19742"/>
        <item h="1" x="19743"/>
        <item h="1" x="19744"/>
        <item h="1" x="19745"/>
        <item h="1" x="19746"/>
        <item h="1" x="19747"/>
        <item h="1" x="19748"/>
        <item h="1" x="19749"/>
        <item h="1" x="19750"/>
        <item h="1" x="19751"/>
        <item h="1" x="19752"/>
        <item h="1" x="19753"/>
        <item h="1" x="19754"/>
        <item h="1" x="19755"/>
        <item h="1" x="19756"/>
        <item h="1" x="19757"/>
        <item h="1" x="19758"/>
        <item h="1" x="19759"/>
        <item h="1" x="19760"/>
        <item h="1" x="19761"/>
        <item h="1" x="19762"/>
        <item h="1" x="19763"/>
        <item h="1" x="19764"/>
        <item h="1" x="19765"/>
        <item h="1" x="19766"/>
        <item h="1" x="19767"/>
        <item h="1" x="19768"/>
        <item h="1" x="19769"/>
        <item h="1" x="19770"/>
        <item h="1" x="19771"/>
        <item h="1" x="19772"/>
        <item h="1" x="19773"/>
        <item h="1" x="19774"/>
        <item h="1" x="19775"/>
        <item h="1" x="19776"/>
        <item h="1" x="19777"/>
        <item h="1" x="19778"/>
        <item h="1" x="19779"/>
        <item h="1" x="19780"/>
        <item h="1" x="19781"/>
        <item h="1" x="19782"/>
        <item h="1" x="19783"/>
        <item h="1" x="19784"/>
        <item h="1" x="19785"/>
        <item h="1" x="19786"/>
        <item h="1" x="19787"/>
        <item h="1" x="19788"/>
        <item h="1" x="19789"/>
        <item h="1" x="19790"/>
        <item h="1" x="19791"/>
        <item h="1" x="19792"/>
        <item h="1" x="19793"/>
        <item h="1" x="19794"/>
        <item h="1" x="19795"/>
        <item h="1" x="19796"/>
        <item h="1" x="19797"/>
        <item h="1" x="19798"/>
        <item h="1" x="19799"/>
        <item h="1" x="19800"/>
        <item h="1" x="19801"/>
        <item h="1" x="19802"/>
        <item h="1" x="19803"/>
        <item h="1" x="19804"/>
        <item h="1" x="19805"/>
        <item h="1" x="19806"/>
        <item h="1" x="19807"/>
        <item h="1" x="19808"/>
        <item h="1" x="19809"/>
        <item h="1" x="19810"/>
        <item h="1" x="19811"/>
        <item h="1" x="19812"/>
        <item h="1" x="19813"/>
        <item h="1" x="19814"/>
        <item h="1" x="19815"/>
        <item h="1" x="19816"/>
        <item h="1" x="19817"/>
        <item h="1" x="19818"/>
        <item h="1" x="19819"/>
        <item h="1" x="19820"/>
        <item h="1" x="19821"/>
        <item h="1" x="19822"/>
        <item h="1" x="19823"/>
        <item h="1" x="19824"/>
        <item h="1" x="19825"/>
        <item h="1" x="19826"/>
        <item h="1" x="19827"/>
        <item h="1" x="19828"/>
        <item h="1" x="19829"/>
        <item h="1" x="19830"/>
        <item h="1" x="19831"/>
        <item h="1" x="19832"/>
        <item h="1" x="19833"/>
        <item h="1" x="19834"/>
        <item h="1" x="19835"/>
        <item h="1" x="19836"/>
        <item h="1" x="19837"/>
        <item h="1" x="19838"/>
        <item h="1" x="19839"/>
        <item h="1" x="19840"/>
        <item h="1" x="19841"/>
        <item h="1" x="19842"/>
        <item h="1" x="19843"/>
        <item h="1" x="19844"/>
        <item h="1" x="19845"/>
        <item h="1" x="19846"/>
        <item h="1" x="19847"/>
        <item h="1" x="19848"/>
        <item h="1" x="19849"/>
        <item h="1" x="19850"/>
        <item h="1" x="19851"/>
        <item h="1" x="19852"/>
        <item h="1" x="19853"/>
        <item h="1" x="19854"/>
        <item h="1" x="19855"/>
        <item h="1" x="19856"/>
        <item h="1" x="19857"/>
        <item h="1" x="19858"/>
        <item h="1" x="19859"/>
        <item h="1" x="19860"/>
        <item h="1" x="19861"/>
        <item h="1" x="19862"/>
        <item h="1" x="19863"/>
        <item h="1" x="19864"/>
        <item h="1" x="19865"/>
        <item h="1" x="19866"/>
        <item h="1" x="19867"/>
        <item h="1" x="19868"/>
        <item h="1" x="19869"/>
        <item h="1" x="19870"/>
        <item h="1" x="19871"/>
        <item h="1" x="19872"/>
        <item h="1" x="19873"/>
        <item h="1" x="19874"/>
        <item h="1" x="19875"/>
        <item h="1" x="19876"/>
        <item h="1" x="19877"/>
        <item h="1" x="19878"/>
        <item h="1" x="19879"/>
        <item h="1" x="19880"/>
        <item h="1" x="19881"/>
        <item h="1" x="19882"/>
        <item h="1" x="19883"/>
        <item h="1" x="19884"/>
        <item h="1" x="19885"/>
        <item h="1" x="19886"/>
        <item h="1" x="19887"/>
        <item h="1" x="19888"/>
        <item h="1" x="19889"/>
        <item h="1" x="19890"/>
        <item h="1" x="19891"/>
        <item h="1" x="19892"/>
        <item h="1" x="19893"/>
        <item h="1" x="19894"/>
        <item h="1" x="19895"/>
        <item h="1" x="19896"/>
        <item h="1" x="19897"/>
        <item h="1" x="19898"/>
        <item h="1" x="19899"/>
        <item h="1" x="19900"/>
        <item h="1" x="19901"/>
        <item h="1" x="19902"/>
        <item h="1" x="19903"/>
        <item h="1" x="19904"/>
        <item h="1" x="19905"/>
        <item h="1" x="19906"/>
        <item h="1" x="19907"/>
        <item h="1" x="19908"/>
        <item h="1" x="19909"/>
        <item h="1" x="19910"/>
        <item h="1" x="19911"/>
        <item h="1" x="19912"/>
        <item h="1" x="19913"/>
        <item h="1" x="19914"/>
        <item h="1" x="19915"/>
        <item h="1" x="19916"/>
        <item h="1" x="19917"/>
        <item h="1" x="19918"/>
        <item h="1" x="19919"/>
        <item h="1" x="19920"/>
        <item h="1" x="19921"/>
        <item h="1" x="19922"/>
        <item h="1" x="19923"/>
        <item h="1" x="19924"/>
        <item h="1" x="19925"/>
        <item h="1" x="19926"/>
        <item h="1" x="19927"/>
        <item h="1" x="19928"/>
        <item h="1" x="19929"/>
        <item h="1" x="19930"/>
        <item h="1" x="19931"/>
        <item h="1" x="19932"/>
        <item h="1" x="19933"/>
        <item h="1" x="19934"/>
        <item h="1" x="19935"/>
        <item h="1" x="19936"/>
        <item h="1" x="19937"/>
        <item h="1" x="19938"/>
        <item h="1" x="19939"/>
        <item h="1" x="19940"/>
        <item h="1" x="19941"/>
        <item h="1" x="19942"/>
        <item h="1" x="19943"/>
        <item h="1" x="19944"/>
        <item h="1" x="19945"/>
        <item h="1" x="19946"/>
        <item h="1" x="19947"/>
        <item h="1" x="19948"/>
        <item h="1" x="19949"/>
        <item h="1" x="19950"/>
        <item h="1" x="19951"/>
        <item h="1" x="19952"/>
        <item h="1" x="19953"/>
        <item h="1" x="19954"/>
        <item h="1" x="19955"/>
        <item h="1" x="19956"/>
        <item h="1" x="19957"/>
        <item h="1" x="19958"/>
        <item h="1" x="19959"/>
        <item h="1" x="19960"/>
        <item h="1" x="19961"/>
        <item h="1" x="19962"/>
        <item h="1" x="19963"/>
        <item h="1" x="19964"/>
        <item h="1" x="19965"/>
        <item h="1" x="19966"/>
        <item h="1" x="19967"/>
        <item h="1" x="19968"/>
        <item h="1" x="19969"/>
        <item h="1" x="19970"/>
        <item h="1" x="19971"/>
        <item h="1" x="19972"/>
        <item h="1" x="19973"/>
        <item h="1" x="19974"/>
        <item h="1" x="19975"/>
        <item h="1" x="19976"/>
        <item h="1" x="19977"/>
        <item h="1" x="19978"/>
        <item h="1" x="19979"/>
        <item h="1" x="19980"/>
        <item h="1" x="19981"/>
        <item h="1" x="19982"/>
        <item h="1" x="19983"/>
        <item h="1" x="19984"/>
        <item h="1" x="19985"/>
        <item h="1" x="19986"/>
        <item h="1" x="19987"/>
        <item h="1" x="19988"/>
        <item h="1" x="19989"/>
        <item h="1" x="19990"/>
        <item h="1" x="19991"/>
        <item h="1" x="19992"/>
        <item h="1" x="19993"/>
        <item h="1" x="19994"/>
        <item h="1" x="19995"/>
        <item h="1" x="19996"/>
        <item h="1" x="19997"/>
        <item h="1" x="19998"/>
        <item h="1" x="19999"/>
        <item h="1" x="20000"/>
        <item h="1" x="20001"/>
        <item h="1" x="20002"/>
        <item h="1" x="20003"/>
        <item h="1" x="20004"/>
        <item h="1" x="20005"/>
        <item h="1" x="20006"/>
        <item h="1" x="20007"/>
        <item h="1" x="20008"/>
        <item h="1" x="20009"/>
        <item h="1" x="20010"/>
        <item h="1" x="20011"/>
        <item h="1" x="20012"/>
        <item h="1" x="20013"/>
        <item h="1" x="20014"/>
        <item h="1" x="20015"/>
        <item h="1" x="20016"/>
        <item h="1" x="20017"/>
        <item h="1" x="20018"/>
        <item h="1" x="20019"/>
        <item h="1" x="20020"/>
        <item h="1" x="20021"/>
        <item h="1" x="20022"/>
        <item h="1" x="20023"/>
        <item h="1" x="20024"/>
        <item h="1" x="20025"/>
        <item h="1" x="20026"/>
        <item h="1" x="20027"/>
        <item h="1" x="20028"/>
        <item h="1" x="20029"/>
        <item h="1" x="20030"/>
        <item h="1" x="20031"/>
        <item h="1" x="20032"/>
        <item h="1" x="20033"/>
        <item h="1" x="20034"/>
        <item h="1" x="20035"/>
        <item h="1" x="20036"/>
        <item h="1" x="20037"/>
        <item h="1" x="20038"/>
        <item h="1" x="20039"/>
        <item h="1" x="20040"/>
        <item h="1" x="20041"/>
        <item h="1" x="20042"/>
        <item h="1" x="20043"/>
        <item h="1" x="20044"/>
        <item h="1" x="20045"/>
        <item h="1" x="20046"/>
        <item h="1" x="20047"/>
        <item h="1" x="20048"/>
        <item h="1" x="20049"/>
        <item h="1" x="20050"/>
        <item h="1" x="20051"/>
        <item h="1" x="20052"/>
        <item h="1" x="20053"/>
        <item h="1" x="20054"/>
        <item h="1" x="20055"/>
        <item h="1" x="20056"/>
        <item h="1" x="20057"/>
        <item h="1" x="20058"/>
        <item h="1" x="20059"/>
        <item h="1" x="20060"/>
        <item h="1" x="20061"/>
        <item h="1" x="20062"/>
        <item h="1" x="20063"/>
        <item h="1" x="20064"/>
        <item h="1" x="20065"/>
        <item h="1" x="20066"/>
        <item h="1" x="20067"/>
        <item h="1" x="20068"/>
        <item h="1" x="20069"/>
        <item h="1" x="20070"/>
        <item h="1" x="20071"/>
        <item h="1" x="20072"/>
        <item h="1" x="20073"/>
        <item h="1" x="20074"/>
        <item h="1" x="20075"/>
        <item h="1" x="20076"/>
        <item h="1" x="20077"/>
        <item h="1" x="20078"/>
        <item h="1" x="20079"/>
        <item h="1" x="20080"/>
        <item h="1" x="20081"/>
        <item h="1" x="20082"/>
        <item h="1" x="20083"/>
        <item h="1" x="20084"/>
        <item h="1" x="20085"/>
        <item h="1" x="20086"/>
        <item h="1" x="20087"/>
        <item h="1" x="20088"/>
        <item h="1" x="20089"/>
        <item h="1" x="20090"/>
        <item h="1" x="20091"/>
        <item h="1" x="20092"/>
        <item h="1" x="20093"/>
        <item h="1" x="20094"/>
        <item h="1" x="20095"/>
        <item h="1" x="20096"/>
        <item h="1" x="20097"/>
        <item h="1" x="20098"/>
        <item h="1" x="20099"/>
        <item h="1" x="20100"/>
        <item h="1" x="20101"/>
        <item h="1" x="20102"/>
        <item h="1" x="20103"/>
        <item h="1" x="20104"/>
        <item h="1" x="20105"/>
        <item h="1" x="20106"/>
        <item h="1" x="20107"/>
        <item h="1" x="20108"/>
        <item h="1" x="20109"/>
        <item h="1" x="20110"/>
        <item h="1" x="20111"/>
        <item h="1" x="20112"/>
        <item h="1" x="20113"/>
        <item h="1" x="20114"/>
        <item h="1" x="20115"/>
        <item h="1" x="20116"/>
        <item h="1" x="20117"/>
        <item h="1" x="20118"/>
        <item h="1" x="20119"/>
        <item h="1" x="20120"/>
        <item h="1" x="20121"/>
        <item h="1" x="20122"/>
        <item h="1" x="20123"/>
        <item h="1" x="20124"/>
        <item h="1" x="20125"/>
        <item h="1" x="20126"/>
        <item h="1" x="20127"/>
        <item h="1" x="20128"/>
        <item h="1" x="20129"/>
        <item h="1" x="20130"/>
        <item h="1" x="20131"/>
        <item h="1" x="20132"/>
        <item h="1" x="20133"/>
        <item h="1" x="20134"/>
        <item h="1" x="20135"/>
        <item h="1" x="20136"/>
        <item h="1" x="20137"/>
        <item h="1" x="20138"/>
        <item h="1" x="20139"/>
        <item h="1" x="20140"/>
        <item h="1" x="20141"/>
        <item h="1" x="20142"/>
        <item h="1" x="20143"/>
        <item h="1" x="20144"/>
        <item h="1" x="20145"/>
        <item h="1" x="20146"/>
        <item h="1" x="20147"/>
        <item h="1" x="20148"/>
        <item h="1" x="20149"/>
        <item h="1" x="20150"/>
        <item h="1" x="20151"/>
        <item h="1" x="20152"/>
        <item h="1" x="20153"/>
        <item h="1" x="20154"/>
        <item h="1" x="20155"/>
        <item h="1" x="20156"/>
        <item h="1" x="20157"/>
        <item h="1" x="20158"/>
        <item h="1" x="20159"/>
        <item h="1" x="20160"/>
        <item h="1" x="20161"/>
        <item h="1" x="20162"/>
        <item h="1" x="20163"/>
        <item h="1" x="20164"/>
        <item h="1" x="20165"/>
        <item h="1" x="20166"/>
        <item h="1" x="20167"/>
        <item h="1" x="20168"/>
        <item h="1" x="20169"/>
        <item h="1" x="20170"/>
        <item h="1" x="20171"/>
        <item h="1" x="20172"/>
        <item h="1" x="20173"/>
        <item h="1" x="20174"/>
        <item h="1" x="20175"/>
        <item h="1" x="20176"/>
        <item h="1" x="20177"/>
        <item h="1" x="20178"/>
        <item h="1" x="20179"/>
        <item h="1" x="20180"/>
        <item h="1" x="20181"/>
        <item h="1" x="20182"/>
        <item h="1" x="20183"/>
        <item h="1" x="20184"/>
        <item h="1" x="20185"/>
        <item h="1" x="20186"/>
        <item h="1" x="20187"/>
        <item h="1" x="20188"/>
        <item h="1" x="20189"/>
        <item h="1" x="20190"/>
        <item h="1" x="20191"/>
        <item h="1" x="20192"/>
        <item h="1" x="20193"/>
        <item h="1" x="20194"/>
        <item h="1" x="20195"/>
        <item h="1" x="20196"/>
        <item h="1" x="20197"/>
        <item h="1" x="20198"/>
        <item h="1" x="20199"/>
        <item h="1" x="20200"/>
        <item h="1" x="20201"/>
        <item h="1" x="20202"/>
        <item h="1" x="20203"/>
        <item h="1" x="20204"/>
        <item h="1" x="20205"/>
        <item h="1" x="20206"/>
        <item h="1" x="20207"/>
        <item h="1" x="20208"/>
        <item h="1" x="20209"/>
        <item h="1" x="20210"/>
        <item h="1" x="20211"/>
        <item h="1" x="20212"/>
        <item h="1" x="20213"/>
        <item h="1" x="20214"/>
        <item h="1" x="20215"/>
        <item h="1" x="20216"/>
        <item h="1" x="20217"/>
        <item h="1" x="20218"/>
        <item h="1" x="20219"/>
        <item h="1" x="20220"/>
        <item h="1" x="20221"/>
        <item h="1" x="20222"/>
        <item h="1" x="20223"/>
        <item h="1" x="20224"/>
        <item h="1" x="20225"/>
        <item h="1" x="20226"/>
        <item h="1" x="20227"/>
        <item h="1" x="20228"/>
        <item h="1" x="20229"/>
        <item h="1" x="20230"/>
        <item h="1" x="20231"/>
        <item h="1" x="20232"/>
        <item h="1" x="20233"/>
        <item h="1" x="20234"/>
        <item h="1" x="20235"/>
        <item h="1" x="20236"/>
        <item h="1" x="20237"/>
        <item h="1" x="20238"/>
        <item h="1" x="20239"/>
        <item h="1" x="20240"/>
        <item h="1" x="20241"/>
        <item h="1" x="20242"/>
        <item h="1" x="20243"/>
        <item h="1" x="20244"/>
        <item h="1" x="20245"/>
        <item h="1" x="20246"/>
        <item h="1" x="20247"/>
        <item h="1" x="20248"/>
        <item h="1" x="20249"/>
        <item h="1" x="20250"/>
        <item h="1" x="20251"/>
        <item h="1" x="20252"/>
        <item h="1" x="20253"/>
        <item h="1" x="20254"/>
        <item h="1" x="20255"/>
        <item h="1" x="20256"/>
        <item h="1" x="20257"/>
        <item h="1" x="20258"/>
        <item h="1" x="20259"/>
        <item h="1" x="20260"/>
        <item h="1" x="20261"/>
        <item h="1" x="20262"/>
        <item h="1" x="20263"/>
        <item h="1" x="20264"/>
        <item h="1" x="20265"/>
        <item h="1" x="20266"/>
        <item h="1" x="20267"/>
        <item h="1" x="20268"/>
        <item h="1" x="20269"/>
        <item h="1" x="20270"/>
        <item h="1" x="20271"/>
        <item h="1" x="20272"/>
        <item h="1" x="20273"/>
        <item h="1" x="20274"/>
        <item h="1" x="20275"/>
        <item h="1" x="20276"/>
        <item h="1" x="20277"/>
        <item h="1" x="20278"/>
        <item h="1" x="20279"/>
        <item h="1" x="20280"/>
        <item h="1" x="20281"/>
        <item h="1" x="20282"/>
        <item h="1" x="20283"/>
        <item h="1" x="20284"/>
        <item h="1" x="20285"/>
        <item h="1" x="20286"/>
        <item h="1" x="20287"/>
        <item h="1" x="20288"/>
        <item h="1" x="20289"/>
        <item h="1" x="20290"/>
        <item h="1" x="20291"/>
        <item h="1" x="20292"/>
        <item h="1" x="20293"/>
        <item h="1" x="20294"/>
        <item h="1" x="20295"/>
        <item h="1" x="20296"/>
        <item h="1" x="20297"/>
        <item h="1" x="20298"/>
        <item h="1" x="20299"/>
        <item h="1" x="20300"/>
        <item h="1" x="20301"/>
        <item h="1" x="20302"/>
        <item h="1" x="20303"/>
        <item h="1" x="20304"/>
        <item h="1" x="20305"/>
        <item h="1" x="20306"/>
        <item h="1" x="20307"/>
        <item h="1" x="20308"/>
        <item h="1" x="20309"/>
        <item h="1" x="20310"/>
        <item h="1" x="20311"/>
        <item h="1" x="20312"/>
        <item h="1" x="20313"/>
        <item h="1" x="20314"/>
        <item h="1" x="20315"/>
        <item h="1" x="20316"/>
        <item h="1" x="20317"/>
        <item h="1" x="20318"/>
        <item h="1" x="20319"/>
        <item h="1" x="20320"/>
        <item h="1" x="20321"/>
        <item h="1" x="20322"/>
        <item h="1" x="20323"/>
        <item h="1" x="20324"/>
        <item h="1" x="20325"/>
        <item h="1" x="20326"/>
        <item h="1" x="20327"/>
        <item h="1" x="20328"/>
        <item h="1" x="20329"/>
        <item h="1" x="20330"/>
        <item h="1" x="20331"/>
        <item h="1" x="20332"/>
        <item h="1" x="20333"/>
        <item h="1" x="20334"/>
        <item h="1" x="20335"/>
        <item h="1" x="20336"/>
        <item h="1" x="20337"/>
        <item h="1" x="20338"/>
        <item h="1" x="20339"/>
        <item h="1" x="20340"/>
        <item h="1" x="20341"/>
        <item h="1" x="20342"/>
        <item h="1" x="20343"/>
        <item h="1" x="20344"/>
        <item h="1" x="20345"/>
        <item h="1" x="20346"/>
        <item h="1" x="20347"/>
        <item h="1" x="20348"/>
        <item h="1" x="20349"/>
        <item h="1" x="20350"/>
        <item h="1" x="20351"/>
        <item h="1" x="20352"/>
        <item h="1" x="20353"/>
        <item h="1" x="20354"/>
        <item h="1" x="20355"/>
        <item h="1" x="20356"/>
        <item h="1" x="20357"/>
        <item h="1" x="20358"/>
        <item h="1" x="20359"/>
        <item h="1" x="20360"/>
        <item h="1" x="20361"/>
        <item h="1" x="20362"/>
        <item h="1" x="20363"/>
        <item h="1" x="20364"/>
        <item h="1" x="20365"/>
        <item h="1" x="20366"/>
        <item h="1" x="20367"/>
        <item h="1" x="20368"/>
        <item h="1" x="20369"/>
        <item h="1" x="20370"/>
        <item h="1" x="20371"/>
        <item h="1" x="20372"/>
        <item h="1" x="20373"/>
        <item h="1" x="20374"/>
        <item h="1" x="20375"/>
        <item h="1" x="20376"/>
        <item h="1" x="20377"/>
        <item h="1" x="20378"/>
        <item h="1" x="20379"/>
        <item h="1" x="20380"/>
        <item h="1" x="20381"/>
        <item h="1" x="20382"/>
        <item h="1" x="20383"/>
        <item h="1" x="20384"/>
        <item h="1" x="20385"/>
        <item h="1" x="20386"/>
        <item h="1" x="20387"/>
        <item h="1" x="20388"/>
        <item h="1" x="20389"/>
        <item h="1" x="20390"/>
        <item h="1" x="20391"/>
        <item h="1" x="20392"/>
        <item h="1" x="20393"/>
        <item h="1" x="20394"/>
        <item h="1" x="20395"/>
        <item h="1" x="20396"/>
        <item h="1" x="20397"/>
        <item h="1" x="20398"/>
        <item h="1" x="20399"/>
        <item h="1" x="20400"/>
        <item h="1" x="20401"/>
        <item h="1" x="20402"/>
        <item h="1" x="20403"/>
        <item h="1" x="20404"/>
        <item h="1" x="20405"/>
        <item h="1" x="20406"/>
        <item h="1" x="20407"/>
        <item h="1" x="20408"/>
        <item h="1" x="20409"/>
        <item h="1" x="20410"/>
        <item h="1" x="20411"/>
        <item h="1" x="20412"/>
        <item h="1" x="20413"/>
        <item h="1" x="20414"/>
        <item h="1" x="20415"/>
        <item h="1" x="20416"/>
        <item h="1" x="20417"/>
        <item h="1" x="20418"/>
        <item h="1" x="20419"/>
        <item h="1" x="20420"/>
        <item h="1" x="20421"/>
        <item h="1" x="20422"/>
        <item h="1" x="20423"/>
        <item h="1" x="20424"/>
        <item h="1" x="20425"/>
        <item h="1" x="20426"/>
        <item h="1" x="20427"/>
        <item h="1" x="20428"/>
        <item h="1" x="20429"/>
        <item h="1" x="20430"/>
        <item h="1" x="20431"/>
        <item h="1" x="20432"/>
        <item h="1" x="20433"/>
        <item h="1" x="20434"/>
        <item h="1" x="20435"/>
        <item h="1" x="20436"/>
        <item h="1" x="20437"/>
        <item h="1" x="20438"/>
        <item h="1" x="20439"/>
        <item h="1" x="20440"/>
        <item h="1" x="20441"/>
        <item h="1" x="20442"/>
        <item h="1" x="20443"/>
        <item h="1" x="20444"/>
        <item h="1" x="20445"/>
        <item h="1" x="20446"/>
        <item h="1" x="20447"/>
        <item h="1" x="20448"/>
        <item h="1" x="20449"/>
        <item h="1" x="20450"/>
        <item h="1" x="20451"/>
        <item h="1" x="20452"/>
        <item h="1" x="20453"/>
        <item h="1" x="20454"/>
        <item h="1" x="20455"/>
        <item h="1" x="20456"/>
        <item h="1" x="20457"/>
        <item h="1" x="20458"/>
        <item h="1" x="20459"/>
        <item h="1" x="20460"/>
        <item h="1" x="20461"/>
        <item h="1" x="20462"/>
        <item h="1" x="20463"/>
        <item h="1" x="20464"/>
        <item h="1" x="20465"/>
        <item h="1" x="20466"/>
        <item h="1" x="20467"/>
        <item h="1" x="20468"/>
        <item h="1" x="20469"/>
        <item h="1" x="20470"/>
        <item h="1" x="20471"/>
        <item h="1" x="20472"/>
        <item h="1" x="20473"/>
        <item h="1" x="20474"/>
        <item h="1" x="20475"/>
        <item h="1" x="20476"/>
        <item h="1" x="20477"/>
        <item h="1" x="20478"/>
        <item h="1" x="20479"/>
        <item h="1" x="20480"/>
        <item h="1" x="20481"/>
        <item h="1" x="20482"/>
        <item h="1" x="20483"/>
        <item h="1" x="20484"/>
        <item h="1" x="20485"/>
        <item h="1" x="20486"/>
        <item h="1" x="20487"/>
        <item h="1" x="20488"/>
        <item h="1" x="20489"/>
        <item h="1" x="20490"/>
        <item h="1" x="20491"/>
        <item h="1" x="20492"/>
        <item h="1" x="20493"/>
        <item h="1" x="20494"/>
        <item h="1" x="20495"/>
        <item h="1" x="20496"/>
        <item h="1" x="20497"/>
        <item h="1" x="20498"/>
        <item h="1" x="20499"/>
        <item h="1" x="20500"/>
        <item h="1" x="20501"/>
        <item h="1" x="20502"/>
        <item h="1" x="20503"/>
        <item h="1" x="20504"/>
        <item h="1" x="20505"/>
        <item h="1" x="20506"/>
        <item h="1" x="20507"/>
        <item h="1" x="20508"/>
        <item h="1" x="20509"/>
        <item h="1" x="20510"/>
        <item h="1" x="20511"/>
        <item h="1" x="20512"/>
        <item h="1" x="20513"/>
        <item h="1" x="20514"/>
        <item h="1" x="20515"/>
        <item h="1" x="20516"/>
        <item h="1" x="20517"/>
        <item h="1" x="20518"/>
        <item h="1" x="20519"/>
        <item h="1" x="20520"/>
        <item h="1" x="20521"/>
        <item h="1" x="20522"/>
        <item h="1" x="20523"/>
        <item h="1" x="20524"/>
        <item h="1" x="20525"/>
        <item h="1" x="20526"/>
        <item h="1" x="20527"/>
        <item h="1" x="20528"/>
        <item h="1" x="20529"/>
        <item h="1" x="20530"/>
        <item h="1" x="20531"/>
        <item h="1" x="20532"/>
        <item h="1" x="20533"/>
        <item h="1" x="20534"/>
        <item h="1" x="20535"/>
        <item h="1" x="20536"/>
        <item h="1" x="20537"/>
        <item h="1" x="20538"/>
        <item h="1" x="20539"/>
        <item h="1" x="20540"/>
        <item h="1" x="20541"/>
        <item h="1" x="20542"/>
        <item h="1" x="20543"/>
        <item h="1" x="20544"/>
        <item h="1" x="20545"/>
        <item h="1" x="20546"/>
        <item h="1" x="20547"/>
        <item h="1" x="20548"/>
        <item h="1" x="20549"/>
        <item h="1" x="20550"/>
        <item h="1" x="20551"/>
        <item h="1" x="20552"/>
        <item h="1" x="20553"/>
        <item h="1" x="20554"/>
        <item h="1" x="20555"/>
        <item h="1" x="20556"/>
        <item h="1" x="20557"/>
        <item h="1" x="20558"/>
        <item h="1" x="20559"/>
        <item h="1" x="20560"/>
        <item h="1" x="20561"/>
        <item h="1" x="20562"/>
        <item h="1" x="20563"/>
        <item h="1" x="20564"/>
        <item h="1" x="20565"/>
        <item h="1" x="20566"/>
        <item h="1" x="20567"/>
        <item h="1" x="20568"/>
        <item h="1" x="20569"/>
        <item h="1" x="20570"/>
        <item h="1" x="20571"/>
        <item h="1" x="20572"/>
        <item h="1" x="20573"/>
        <item h="1" x="20574"/>
        <item h="1" x="20575"/>
        <item h="1" x="20576"/>
        <item h="1" x="20577"/>
        <item h="1" x="20578"/>
        <item h="1" x="20579"/>
        <item h="1" x="20580"/>
        <item h="1" x="20581"/>
        <item h="1" x="20582"/>
        <item h="1" x="20583"/>
        <item h="1" x="20584"/>
        <item h="1" x="20585"/>
        <item h="1" x="20586"/>
        <item h="1" x="20587"/>
        <item h="1" x="20588"/>
        <item h="1" x="20589"/>
        <item h="1" x="20590"/>
        <item h="1" x="20591"/>
        <item h="1" x="20592"/>
        <item h="1" x="20593"/>
        <item h="1" x="20594"/>
        <item h="1" x="20595"/>
        <item h="1" x="20596"/>
        <item h="1" x="20597"/>
        <item h="1" x="20598"/>
        <item h="1" x="20599"/>
        <item h="1" x="20600"/>
        <item h="1" x="20601"/>
        <item h="1" x="20602"/>
        <item h="1" x="20603"/>
        <item h="1" x="20604"/>
        <item h="1" x="20605"/>
        <item h="1" x="20606"/>
        <item h="1" x="20607"/>
        <item h="1" x="20608"/>
        <item h="1" x="20609"/>
        <item h="1" x="20610"/>
        <item h="1" x="20611"/>
        <item h="1" x="20612"/>
        <item h="1" x="20613"/>
        <item h="1" x="20614"/>
        <item h="1" x="20615"/>
        <item h="1" x="20616"/>
        <item h="1" x="20617"/>
        <item h="1" x="20618"/>
        <item h="1" x="20619"/>
        <item h="1" x="20620"/>
        <item h="1" x="20621"/>
        <item h="1" x="20622"/>
        <item h="1" x="20623"/>
        <item h="1" x="20624"/>
        <item h="1" x="20625"/>
        <item h="1" x="20626"/>
        <item h="1" x="20627"/>
        <item h="1" x="20628"/>
        <item h="1" x="20629"/>
        <item h="1" x="20630"/>
        <item h="1" x="20631"/>
        <item h="1" x="20632"/>
        <item h="1" x="20633"/>
        <item h="1" x="20634"/>
        <item h="1" x="20635"/>
        <item h="1" x="20636"/>
        <item h="1" x="20637"/>
        <item h="1" x="20638"/>
        <item h="1" x="20639"/>
        <item h="1" x="20640"/>
        <item h="1" x="20641"/>
        <item h="1" x="20642"/>
        <item h="1" x="20643"/>
        <item h="1" x="20644"/>
        <item h="1" x="20645"/>
        <item h="1" x="20646"/>
        <item h="1" x="20647"/>
        <item h="1" x="20648"/>
        <item h="1" x="20649"/>
        <item h="1" x="20650"/>
        <item h="1" x="20651"/>
        <item h="1" x="20652"/>
        <item h="1" x="20653"/>
        <item h="1" x="20654"/>
        <item h="1" x="20655"/>
        <item h="1" x="20656"/>
        <item h="1" x="20657"/>
        <item h="1" x="20658"/>
        <item h="1" x="20659"/>
        <item h="1" x="20660"/>
        <item h="1" x="20661"/>
        <item h="1" x="20662"/>
        <item h="1" x="20663"/>
        <item h="1" x="20664"/>
        <item h="1" x="20665"/>
        <item h="1" x="20666"/>
        <item h="1" x="20667"/>
        <item h="1" x="20668"/>
        <item h="1" x="20669"/>
        <item h="1" x="20670"/>
        <item h="1" x="20671"/>
        <item h="1" x="20672"/>
        <item h="1" x="20673"/>
        <item h="1" x="20674"/>
        <item h="1" x="20675"/>
        <item h="1" x="20676"/>
        <item h="1" x="20677"/>
        <item h="1" x="20678"/>
        <item h="1" x="20679"/>
        <item h="1" x="20680"/>
        <item h="1" x="20681"/>
        <item h="1" x="20682"/>
        <item h="1" x="20683"/>
        <item h="1" x="20684"/>
        <item h="1" x="20685"/>
        <item h="1" x="20686"/>
        <item h="1" x="20687"/>
        <item h="1" x="20688"/>
        <item h="1" x="20689"/>
        <item h="1" x="20690"/>
        <item h="1" x="20691"/>
        <item h="1" x="20692"/>
        <item h="1" x="20693"/>
        <item h="1" x="20694"/>
        <item h="1" x="20695"/>
        <item h="1" x="20696"/>
        <item h="1" x="20697"/>
        <item h="1" x="20698"/>
        <item h="1" x="20699"/>
        <item h="1" x="20700"/>
        <item h="1" x="20701"/>
        <item h="1" x="20702"/>
        <item h="1" x="20703"/>
        <item h="1" x="20704"/>
        <item h="1" x="20705"/>
        <item h="1" x="20706"/>
        <item h="1" x="20707"/>
        <item h="1" x="20708"/>
        <item h="1" x="20709"/>
        <item h="1" x="20710"/>
        <item h="1" x="20711"/>
        <item h="1" x="20712"/>
        <item h="1" x="20713"/>
        <item h="1" x="20714"/>
        <item h="1" x="20715"/>
        <item h="1" x="20716"/>
        <item h="1" x="20717"/>
        <item h="1" x="20718"/>
        <item h="1" x="20719"/>
        <item h="1" x="20720"/>
        <item h="1" x="20721"/>
        <item h="1" x="20722"/>
        <item h="1" x="20723"/>
        <item h="1" x="20724"/>
        <item h="1" x="20725"/>
        <item h="1" x="20726"/>
        <item h="1" x="20727"/>
        <item h="1" x="20728"/>
        <item h="1" x="20729"/>
        <item h="1" x="20730"/>
        <item h="1" x="20731"/>
        <item h="1" x="20732"/>
        <item h="1" x="20733"/>
        <item h="1" x="20734"/>
        <item h="1" x="20735"/>
        <item h="1" x="20736"/>
        <item h="1" x="20737"/>
        <item h="1" x="20738"/>
        <item h="1" x="20739"/>
        <item h="1" x="20740"/>
        <item h="1" x="20741"/>
        <item h="1" x="20742"/>
        <item h="1" x="20743"/>
        <item h="1" x="20744"/>
        <item h="1" x="20745"/>
        <item h="1" x="20746"/>
        <item h="1" x="20747"/>
        <item h="1" x="20748"/>
        <item h="1" x="20749"/>
        <item h="1" x="20750"/>
        <item h="1" x="20751"/>
        <item h="1" x="20752"/>
        <item h="1" x="20753"/>
        <item h="1" x="20754"/>
        <item h="1" x="20755"/>
        <item h="1" x="20756"/>
        <item h="1" x="20757"/>
        <item h="1" x="20758"/>
        <item h="1" x="20759"/>
        <item h="1" x="20760"/>
        <item h="1" x="20761"/>
        <item h="1" x="20762"/>
        <item h="1" x="20763"/>
        <item h="1" x="20764"/>
        <item h="1" x="20765"/>
        <item h="1" x="20766"/>
        <item h="1" x="20767"/>
        <item h="1" x="20768"/>
        <item h="1" x="20769"/>
        <item h="1" x="20770"/>
        <item h="1" x="20771"/>
        <item h="1" x="20772"/>
        <item h="1" x="20773"/>
        <item h="1" x="20774"/>
        <item h="1" x="20775"/>
        <item h="1" x="20776"/>
        <item h="1" x="20777"/>
        <item h="1" x="20778"/>
        <item h="1" x="20779"/>
        <item h="1" x="20780"/>
        <item h="1" x="20781"/>
        <item h="1" x="20782"/>
        <item h="1" x="20783"/>
        <item h="1" x="20784"/>
        <item h="1" x="20785"/>
        <item h="1" x="20786"/>
        <item h="1" x="20787"/>
        <item h="1" x="20788"/>
        <item h="1" x="20789"/>
        <item h="1" x="20790"/>
        <item h="1" x="20791"/>
        <item h="1" x="20792"/>
        <item h="1" x="20793"/>
        <item h="1" x="20794"/>
        <item h="1" x="20795"/>
        <item h="1" x="20796"/>
        <item h="1" x="20797"/>
        <item h="1" x="20798"/>
        <item h="1" x="20799"/>
        <item h="1" x="20800"/>
        <item h="1" x="20801"/>
        <item h="1" x="20802"/>
        <item h="1" x="20803"/>
        <item h="1" x="20804"/>
        <item h="1" x="20805"/>
        <item h="1" x="20806"/>
        <item h="1" x="20807"/>
        <item h="1" x="20808"/>
        <item h="1" x="20809"/>
        <item h="1" x="20810"/>
        <item h="1" x="20811"/>
        <item h="1" x="20812"/>
        <item h="1" x="20813"/>
        <item h="1" x="20814"/>
        <item h="1" x="20815"/>
        <item h="1" x="20816"/>
        <item h="1" x="20817"/>
        <item h="1" x="20818"/>
        <item h="1" x="20819"/>
        <item h="1" x="20820"/>
        <item h="1" x="20821"/>
        <item h="1" x="20822"/>
        <item h="1" x="20823"/>
        <item h="1" x="20824"/>
        <item h="1" x="20825"/>
        <item h="1" x="20826"/>
        <item h="1" x="20827"/>
        <item h="1" x="20828"/>
        <item h="1" x="20829"/>
        <item h="1" x="20830"/>
        <item h="1" x="20831"/>
        <item h="1" x="20832"/>
        <item h="1" x="20833"/>
        <item h="1" x="20834"/>
        <item h="1" x="20835"/>
        <item h="1" x="20836"/>
        <item h="1" x="20837"/>
        <item h="1" x="20838"/>
        <item h="1" x="20839"/>
        <item h="1" x="20840"/>
        <item h="1" x="20841"/>
        <item h="1" x="20842"/>
        <item h="1" x="20843"/>
        <item h="1" x="20844"/>
        <item h="1" x="20845"/>
        <item h="1" x="20846"/>
        <item h="1" x="20847"/>
        <item h="1" x="20848"/>
        <item h="1" x="20849"/>
        <item h="1" x="20850"/>
        <item h="1" x="20851"/>
        <item h="1" x="20852"/>
        <item h="1" x="20853"/>
        <item h="1" x="20854"/>
        <item h="1" x="20855"/>
        <item h="1" x="20856"/>
        <item h="1" x="20857"/>
        <item h="1" x="20858"/>
        <item h="1" x="20859"/>
        <item h="1" x="20860"/>
        <item h="1" x="20861"/>
        <item h="1" x="20862"/>
        <item h="1" x="20863"/>
        <item h="1" x="20864"/>
        <item h="1" x="20865"/>
        <item h="1" x="20866"/>
        <item h="1" x="20867"/>
        <item h="1" x="20868"/>
        <item h="1" x="20869"/>
        <item h="1" x="20870"/>
        <item h="1" x="20871"/>
        <item h="1" x="20872"/>
        <item h="1" x="20873"/>
        <item h="1" x="20874"/>
        <item h="1" x="20875"/>
        <item h="1" x="20876"/>
        <item h="1" x="20877"/>
        <item h="1" x="20878"/>
        <item h="1" x="20879"/>
        <item h="1" x="20880"/>
        <item h="1" x="20881"/>
        <item h="1" x="20882"/>
        <item h="1" x="20883"/>
        <item h="1" x="20884"/>
        <item h="1" x="20885"/>
        <item h="1" x="20886"/>
        <item h="1" x="20887"/>
        <item h="1" x="20888"/>
        <item h="1" x="20889"/>
        <item h="1" x="20890"/>
        <item h="1" x="20891"/>
        <item h="1" x="20892"/>
        <item h="1" x="20893"/>
        <item h="1" x="20894"/>
        <item h="1" x="20895"/>
        <item h="1" x="20896"/>
        <item h="1" x="20897"/>
        <item h="1" x="20898"/>
        <item h="1" x="20899"/>
        <item h="1" x="20900"/>
        <item h="1" x="20901"/>
        <item h="1" x="20902"/>
        <item h="1" x="20903"/>
        <item h="1" x="20904"/>
        <item h="1" x="20905"/>
        <item h="1" x="20906"/>
        <item h="1" x="20907"/>
        <item h="1" x="20908"/>
        <item h="1" x="20909"/>
        <item h="1" x="20910"/>
        <item h="1" x="20911"/>
        <item h="1" x="20912"/>
        <item h="1" x="20913"/>
        <item h="1" x="20914"/>
        <item h="1" x="20915"/>
        <item h="1" x="20916"/>
        <item h="1" x="20917"/>
        <item h="1" x="20918"/>
        <item h="1" x="20919"/>
        <item h="1" x="20920"/>
        <item h="1" x="20921"/>
        <item h="1" x="20922"/>
        <item h="1" x="20923"/>
        <item h="1" x="20924"/>
        <item h="1" x="20925"/>
        <item h="1" x="20926"/>
        <item h="1" x="20927"/>
        <item h="1" x="20928"/>
        <item h="1" x="20929"/>
        <item h="1" x="20930"/>
        <item h="1" x="20931"/>
        <item h="1" x="20932"/>
        <item h="1" x="20933"/>
        <item h="1" x="20934"/>
        <item h="1" x="20935"/>
        <item h="1" x="20936"/>
        <item h="1" x="20937"/>
        <item h="1" x="20938"/>
        <item h="1" x="20939"/>
        <item h="1" x="20940"/>
        <item h="1" x="20941"/>
        <item h="1" x="20942"/>
        <item h="1" x="20943"/>
        <item h="1" x="20944"/>
        <item h="1" x="20945"/>
        <item h="1" x="20946"/>
        <item h="1" x="20947"/>
        <item h="1" x="20948"/>
        <item h="1" x="20949"/>
        <item h="1" x="20950"/>
        <item h="1" x="20951"/>
        <item h="1" x="20952"/>
        <item h="1" x="20953"/>
        <item h="1" x="20954"/>
        <item h="1" x="20955"/>
        <item h="1" x="20956"/>
        <item h="1" x="20957"/>
        <item h="1" x="20958"/>
        <item h="1" x="20959"/>
        <item h="1" x="20960"/>
        <item h="1" x="20961"/>
        <item h="1" x="20962"/>
        <item h="1" x="20963"/>
        <item h="1" x="20964"/>
        <item h="1" x="20965"/>
        <item h="1" x="20966"/>
        <item h="1" x="20967"/>
        <item h="1" x="20968"/>
        <item h="1" x="20969"/>
        <item h="1" x="20970"/>
        <item h="1" x="20971"/>
        <item h="1" x="20972"/>
        <item h="1" x="20973"/>
        <item h="1" x="20974"/>
        <item h="1" x="20975"/>
        <item h="1" x="20976"/>
        <item h="1" x="20977"/>
        <item h="1" x="20978"/>
        <item h="1" x="20979"/>
        <item h="1" x="20980"/>
        <item h="1" x="20981"/>
        <item h="1" x="20982"/>
        <item h="1" x="20983"/>
        <item h="1" x="20984"/>
        <item h="1" x="20985"/>
        <item h="1" x="20986"/>
        <item h="1" x="20987"/>
        <item h="1" x="20988"/>
        <item h="1" x="20989"/>
        <item h="1" x="20990"/>
        <item h="1" x="20991"/>
        <item h="1" x="20992"/>
        <item h="1" x="20993"/>
        <item h="1" x="20994"/>
        <item h="1" x="20995"/>
        <item h="1" x="20996"/>
        <item h="1" x="20997"/>
        <item h="1" x="20998"/>
        <item h="1" x="20999"/>
        <item h="1" x="21000"/>
        <item h="1" x="21001"/>
        <item h="1" x="21002"/>
        <item h="1" x="21003"/>
        <item h="1" x="21004"/>
        <item h="1" x="21005"/>
        <item h="1" x="21006"/>
        <item h="1" x="21007"/>
        <item h="1" x="21008"/>
        <item h="1" x="21009"/>
        <item h="1" x="21010"/>
        <item h="1" x="21011"/>
        <item h="1" x="21012"/>
        <item h="1" x="21013"/>
        <item h="1" x="21014"/>
        <item h="1" x="21015"/>
        <item h="1" x="21016"/>
        <item h="1" x="21017"/>
        <item h="1" x="21018"/>
        <item h="1" x="21019"/>
        <item h="1" x="21020"/>
        <item h="1" x="21021"/>
        <item h="1" x="21022"/>
        <item h="1" x="21023"/>
        <item h="1" x="21024"/>
        <item h="1" x="21025"/>
        <item h="1" x="21026"/>
        <item h="1" x="21027"/>
        <item h="1" x="21028"/>
        <item h="1" x="21029"/>
        <item h="1" x="21030"/>
        <item h="1" x="21031"/>
        <item h="1" x="21032"/>
        <item h="1" x="21033"/>
        <item h="1" x="21034"/>
        <item h="1" x="21035"/>
        <item h="1" x="21036"/>
        <item h="1" x="21037"/>
        <item h="1" x="21038"/>
        <item h="1" x="21039"/>
        <item h="1" x="21040"/>
        <item h="1" x="21041"/>
        <item h="1" x="21042"/>
        <item h="1" x="21043"/>
        <item h="1" x="21044"/>
        <item h="1" x="21045"/>
        <item h="1" x="21046"/>
        <item h="1" x="21047"/>
        <item h="1" x="21048"/>
        <item h="1" x="21049"/>
        <item h="1" x="21050"/>
        <item h="1" x="21051"/>
        <item h="1" x="21052"/>
        <item h="1" x="21053"/>
        <item h="1" x="21054"/>
        <item h="1" x="21055"/>
        <item h="1" x="21056"/>
        <item h="1" x="21057"/>
        <item h="1" x="21058"/>
        <item h="1" x="21059"/>
        <item h="1" x="21060"/>
        <item h="1" x="21061"/>
        <item h="1" x="21062"/>
        <item h="1" x="21063"/>
        <item h="1" x="21064"/>
        <item h="1" x="21065"/>
        <item h="1" x="21066"/>
        <item h="1" x="21067"/>
        <item h="1" x="21068"/>
        <item h="1" x="21069"/>
        <item h="1" x="21070"/>
        <item h="1" x="21071"/>
        <item h="1" x="21072"/>
        <item h="1" x="21073"/>
        <item h="1" x="21074"/>
        <item h="1" x="21075"/>
        <item h="1" x="21076"/>
        <item h="1" x="21077"/>
        <item h="1" x="21078"/>
        <item h="1" x="21079"/>
        <item h="1" x="21080"/>
        <item h="1" x="21081"/>
        <item h="1" x="21082"/>
        <item h="1" x="21083"/>
        <item h="1" x="21084"/>
        <item h="1" x="21085"/>
        <item h="1" x="21086"/>
        <item h="1" x="21087"/>
        <item h="1" x="21088"/>
        <item h="1" x="21089"/>
        <item h="1" x="21090"/>
        <item h="1" x="21091"/>
        <item h="1" x="21092"/>
        <item h="1" x="21093"/>
        <item h="1" x="21094"/>
        <item h="1" x="21095"/>
        <item h="1" x="21096"/>
        <item h="1" x="21097"/>
        <item h="1" x="21098"/>
        <item h="1" x="21099"/>
        <item h="1" x="21100"/>
        <item h="1" x="21101"/>
        <item h="1" x="21102"/>
        <item h="1" x="21103"/>
        <item h="1" x="21104"/>
        <item h="1" x="21105"/>
        <item h="1" x="21106"/>
        <item h="1" x="21107"/>
        <item h="1" x="21108"/>
        <item h="1" x="21109"/>
        <item h="1" x="21110"/>
        <item h="1" x="21111"/>
        <item h="1" x="21112"/>
        <item h="1" x="21113"/>
        <item h="1" x="21114"/>
        <item h="1" x="21115"/>
        <item h="1" x="21116"/>
        <item h="1" x="21117"/>
        <item h="1" x="21118"/>
        <item h="1" x="21119"/>
        <item h="1" x="21120"/>
        <item h="1" x="21121"/>
        <item h="1" x="21122"/>
        <item h="1" x="21123"/>
        <item h="1" x="21124"/>
        <item h="1" x="21125"/>
        <item h="1" x="21126"/>
        <item h="1" x="21127"/>
        <item h="1" x="21128"/>
        <item h="1" x="21129"/>
        <item h="1" x="21130"/>
        <item h="1" x="21131"/>
        <item h="1" x="21132"/>
        <item h="1" x="21133"/>
        <item h="1" x="21134"/>
        <item h="1" x="21135"/>
        <item h="1" x="21136"/>
        <item h="1" x="21137"/>
        <item h="1" x="21138"/>
        <item h="1" x="21139"/>
        <item h="1" x="21140"/>
        <item h="1" x="21141"/>
        <item h="1" x="21142"/>
        <item h="1" x="21143"/>
        <item h="1" x="21144"/>
        <item h="1" x="21145"/>
        <item h="1" x="21146"/>
        <item h="1" x="21147"/>
        <item h="1" x="21148"/>
        <item h="1" x="21149"/>
        <item h="1" x="21150"/>
        <item h="1" x="21151"/>
        <item h="1" x="21152"/>
        <item h="1" x="21153"/>
        <item h="1" x="21154"/>
        <item h="1" x="21155"/>
        <item h="1" x="21156"/>
        <item h="1" x="21157"/>
        <item h="1" x="21158"/>
        <item h="1" x="21159"/>
        <item h="1" x="21160"/>
        <item h="1" x="21161"/>
        <item h="1" x="21162"/>
        <item h="1" x="21163"/>
        <item h="1" x="21164"/>
        <item h="1" x="21165"/>
        <item h="1" x="21166"/>
        <item h="1" x="21167"/>
        <item h="1" x="21168"/>
        <item h="1" x="21169"/>
        <item h="1" x="21170"/>
        <item h="1" x="21171"/>
        <item h="1" x="21172"/>
        <item h="1" x="21173"/>
        <item h="1" x="21174"/>
        <item h="1" x="21175"/>
        <item h="1" x="21176"/>
        <item h="1" x="21177"/>
        <item h="1" x="21178"/>
        <item h="1" x="21179"/>
        <item h="1" x="21180"/>
        <item h="1" x="21181"/>
        <item h="1" x="21182"/>
        <item h="1" x="21183"/>
        <item h="1" x="21184"/>
        <item h="1" x="21185"/>
        <item h="1" x="21186"/>
        <item h="1" x="21187"/>
        <item h="1" x="21188"/>
        <item h="1" x="21189"/>
        <item h="1" x="21190"/>
        <item h="1" x="21191"/>
        <item h="1" x="21192"/>
        <item h="1" x="21193"/>
        <item h="1" x="21194"/>
        <item h="1" x="21195"/>
        <item h="1" x="21196"/>
        <item h="1" x="21197"/>
        <item h="1" x="21198"/>
        <item h="1" x="21199"/>
        <item h="1" x="21200"/>
        <item h="1" x="21201"/>
        <item h="1" x="21202"/>
        <item h="1" x="21203"/>
        <item h="1" x="21204"/>
        <item h="1" x="21205"/>
        <item h="1" x="21206"/>
        <item h="1" x="21207"/>
        <item h="1" x="21208"/>
        <item h="1" x="21209"/>
        <item h="1" x="21210"/>
        <item h="1" x="21211"/>
        <item h="1" x="21212"/>
        <item h="1" x="21213"/>
        <item h="1" x="21214"/>
        <item h="1" x="21215"/>
        <item h="1" x="21216"/>
        <item h="1" x="21217"/>
        <item h="1" x="21218"/>
        <item h="1" x="21219"/>
        <item h="1" x="21220"/>
        <item h="1" x="21221"/>
        <item h="1" x="21222"/>
        <item h="1" x="21223"/>
        <item h="1" x="21224"/>
        <item h="1" x="21225"/>
        <item h="1" x="21226"/>
        <item h="1" x="21227"/>
        <item h="1" x="21228"/>
        <item h="1" x="21229"/>
        <item h="1" x="21230"/>
        <item h="1" x="21231"/>
        <item h="1" x="21232"/>
        <item h="1" x="21233"/>
        <item h="1" x="21234"/>
        <item h="1" x="21235"/>
        <item h="1" x="21236"/>
        <item h="1" x="21237"/>
        <item h="1" x="21238"/>
        <item h="1" x="21239"/>
        <item h="1" x="21240"/>
        <item h="1" x="21241"/>
        <item h="1" x="21242"/>
        <item h="1" x="21243"/>
        <item h="1" x="21244"/>
        <item h="1" x="21245"/>
        <item h="1" x="21246"/>
        <item h="1" x="21247"/>
        <item h="1" x="21248"/>
        <item h="1" x="21249"/>
        <item h="1" x="21250"/>
        <item h="1" x="21251"/>
        <item h="1" x="21252"/>
        <item h="1" x="21253"/>
        <item h="1" x="21254"/>
        <item h="1" x="21255"/>
        <item h="1" x="21256"/>
        <item h="1" x="21257"/>
        <item h="1" x="21258"/>
        <item h="1" x="21259"/>
        <item h="1" x="21260"/>
        <item h="1" x="21261"/>
        <item h="1" x="21262"/>
        <item h="1" x="21263"/>
        <item h="1" x="21264"/>
        <item h="1" x="21265"/>
        <item h="1" x="21266"/>
        <item h="1" x="21267"/>
        <item h="1" x="21268"/>
        <item h="1" x="21269"/>
        <item h="1" x="21270"/>
        <item h="1" x="21271"/>
        <item h="1" x="21272"/>
        <item h="1" x="21273"/>
        <item h="1" x="21274"/>
        <item h="1" x="21275"/>
        <item h="1" x="21276"/>
        <item h="1" x="21277"/>
        <item h="1" x="21278"/>
        <item h="1" x="21279"/>
        <item h="1" x="21280"/>
        <item h="1" x="21281"/>
        <item h="1" x="21282"/>
        <item h="1" x="21283"/>
        <item h="1" x="21284"/>
        <item h="1" x="21285"/>
        <item h="1" x="21286"/>
        <item h="1" x="21287"/>
        <item h="1" x="21288"/>
        <item h="1" x="21289"/>
        <item h="1" x="21290"/>
        <item h="1" x="21291"/>
        <item h="1" x="21292"/>
        <item h="1" x="21293"/>
        <item h="1" x="21294"/>
        <item h="1" x="21295"/>
        <item h="1" x="21296"/>
        <item h="1" x="21297"/>
        <item h="1" x="21298"/>
        <item h="1" x="21299"/>
        <item h="1" x="21300"/>
        <item h="1" x="21301"/>
        <item h="1" x="21302"/>
        <item h="1" x="21303"/>
        <item h="1" x="21304"/>
        <item h="1" x="21305"/>
        <item h="1" x="21306"/>
        <item h="1" x="21307"/>
        <item h="1" x="21308"/>
        <item h="1" x="21309"/>
        <item h="1" x="21310"/>
        <item h="1" x="21311"/>
        <item h="1" x="21312"/>
        <item h="1" x="21313"/>
        <item h="1" x="21314"/>
        <item h="1" x="21315"/>
        <item h="1" x="21316"/>
        <item h="1" x="21317"/>
        <item h="1" x="21318"/>
        <item h="1" x="21319"/>
        <item h="1" x="21320"/>
        <item h="1" x="21321"/>
        <item h="1" x="21322"/>
        <item h="1" x="21323"/>
        <item h="1" x="21324"/>
        <item h="1" x="21325"/>
        <item h="1" x="21326"/>
        <item h="1" x="21327"/>
        <item h="1" x="21328"/>
        <item h="1" x="21329"/>
        <item h="1" x="21330"/>
        <item h="1" x="21331"/>
        <item h="1" x="21332"/>
        <item h="1" x="21333"/>
        <item h="1" x="21334"/>
        <item h="1" x="21335"/>
        <item h="1" x="21336"/>
        <item h="1" x="21337"/>
        <item h="1" x="21338"/>
        <item h="1" x="21339"/>
        <item h="1" x="21340"/>
        <item h="1" x="21341"/>
        <item h="1" x="21342"/>
        <item h="1" x="21343"/>
        <item h="1" x="21344"/>
        <item h="1" x="21345"/>
        <item h="1" x="21346"/>
        <item h="1" x="21347"/>
        <item h="1" x="21348"/>
        <item h="1" x="21349"/>
        <item h="1" x="21350"/>
        <item h="1" x="21351"/>
        <item h="1" x="21352"/>
        <item h="1" x="21353"/>
        <item h="1" x="21354"/>
        <item h="1" x="21355"/>
        <item h="1" x="21356"/>
        <item h="1" x="21357"/>
        <item h="1" x="21358"/>
        <item h="1" x="21359"/>
        <item h="1" x="21360"/>
        <item h="1" x="21361"/>
        <item h="1" x="21362"/>
        <item h="1" x="21363"/>
        <item h="1" x="21364"/>
        <item h="1" x="21365"/>
        <item h="1" x="21366"/>
        <item h="1" x="21367"/>
        <item h="1" x="21368"/>
        <item h="1" x="21369"/>
        <item h="1" x="21370"/>
        <item h="1" x="21371"/>
        <item h="1" x="21372"/>
        <item h="1" x="21373"/>
        <item h="1" x="21374"/>
        <item h="1" x="21375"/>
        <item h="1" x="21376"/>
        <item h="1" x="21377"/>
        <item h="1" x="21378"/>
        <item h="1" x="21379"/>
        <item h="1" x="21380"/>
        <item h="1" x="21381"/>
        <item h="1" x="21382"/>
        <item h="1" x="21383"/>
        <item h="1" x="21384"/>
        <item h="1" x="21385"/>
        <item h="1" x="21386"/>
        <item h="1" x="21387"/>
        <item h="1" x="21388"/>
        <item h="1" x="21389"/>
        <item h="1" x="21390"/>
        <item h="1" x="21391"/>
        <item h="1" x="21392"/>
        <item h="1" x="21393"/>
        <item h="1" x="21394"/>
        <item h="1" x="21395"/>
        <item h="1" x="21396"/>
        <item h="1" x="21397"/>
        <item h="1" x="21398"/>
        <item h="1" x="21399"/>
        <item h="1" x="21400"/>
        <item h="1" x="21401"/>
        <item h="1" x="21402"/>
        <item h="1" x="21403"/>
        <item h="1" x="21404"/>
        <item h="1" x="21405"/>
        <item h="1" x="21406"/>
        <item h="1" x="21407"/>
        <item h="1" x="21408"/>
        <item h="1" x="21409"/>
        <item h="1" x="21410"/>
        <item h="1" x="21411"/>
        <item h="1" x="21412"/>
        <item h="1" x="21413"/>
        <item h="1" x="21414"/>
        <item h="1" x="21415"/>
        <item h="1" x="21416"/>
        <item h="1" x="21417"/>
        <item h="1" x="21418"/>
        <item h="1" x="21419"/>
        <item h="1" x="21420"/>
        <item h="1" x="21421"/>
        <item h="1" x="21422"/>
        <item h="1" x="21423"/>
        <item h="1" x="21424"/>
        <item h="1" x="21425"/>
        <item h="1" x="21426"/>
        <item h="1" x="21427"/>
        <item h="1" x="21428"/>
        <item h="1" x="21429"/>
        <item h="1" x="21430"/>
        <item h="1" x="21431"/>
        <item h="1" x="21432"/>
        <item h="1" x="21433"/>
        <item h="1" x="21434"/>
        <item h="1" x="21435"/>
        <item h="1" x="21436"/>
        <item h="1" x="21437"/>
        <item h="1" x="21438"/>
        <item h="1" x="21439"/>
        <item h="1" x="21440"/>
        <item h="1" x="21441"/>
        <item h="1" x="21442"/>
        <item h="1" x="21443"/>
        <item h="1" x="21444"/>
        <item h="1" x="21445"/>
        <item h="1" x="21446"/>
        <item h="1" x="21447"/>
        <item h="1" x="21448"/>
        <item h="1" x="21449"/>
        <item h="1" x="21450"/>
        <item h="1" x="21451"/>
        <item h="1" x="21452"/>
        <item h="1" x="21453"/>
        <item h="1" x="21454"/>
        <item h="1" x="21455"/>
        <item h="1" x="21456"/>
        <item h="1" x="21457"/>
        <item h="1" x="21458"/>
        <item h="1" x="21459"/>
        <item h="1" x="21460"/>
        <item h="1" x="21461"/>
        <item h="1" x="21462"/>
        <item h="1" x="21463"/>
        <item h="1" x="21464"/>
        <item h="1" x="21465"/>
        <item h="1" x="21466"/>
        <item h="1" x="21467"/>
        <item h="1" x="21468"/>
        <item h="1" x="21469"/>
        <item h="1" x="21470"/>
        <item h="1" x="21471"/>
        <item h="1" x="21472"/>
        <item h="1" x="21473"/>
        <item h="1" x="21474"/>
        <item h="1" x="21475"/>
        <item h="1" x="21476"/>
        <item h="1" x="21477"/>
        <item h="1" x="21478"/>
        <item h="1" x="21479"/>
        <item h="1" x="21480"/>
        <item h="1" x="21481"/>
        <item h="1" x="21482"/>
        <item h="1" x="21483"/>
        <item h="1" x="21484"/>
        <item h="1" x="21485"/>
        <item h="1" x="21486"/>
        <item h="1" x="21487"/>
        <item h="1" x="21488"/>
        <item h="1" x="21489"/>
        <item h="1" x="21490"/>
        <item h="1" x="21491"/>
        <item h="1" x="21492"/>
        <item h="1" x="21493"/>
        <item h="1" x="21494"/>
        <item h="1" x="21495"/>
        <item h="1" x="21496"/>
        <item h="1" x="21497"/>
        <item h="1" x="21498"/>
        <item h="1" x="21499"/>
        <item h="1" x="21500"/>
        <item h="1" x="21501"/>
        <item h="1" x="21502"/>
        <item h="1" x="21503"/>
        <item h="1" x="21504"/>
        <item h="1" x="21505"/>
        <item h="1" x="21506"/>
        <item h="1" x="21507"/>
        <item h="1" x="21508"/>
        <item h="1" x="21509"/>
        <item h="1" x="21510"/>
        <item h="1" x="21511"/>
        <item h="1" x="21512"/>
        <item h="1" x="21513"/>
        <item h="1" x="21514"/>
        <item h="1" x="21515"/>
        <item h="1" x="21516"/>
        <item h="1" x="21517"/>
        <item h="1" x="21518"/>
        <item h="1" x="21519"/>
        <item h="1" x="21520"/>
        <item h="1" x="21521"/>
        <item h="1" x="21522"/>
        <item h="1" x="21523"/>
        <item h="1" x="21524"/>
        <item h="1" x="21525"/>
        <item h="1" x="21526"/>
        <item h="1" x="21527"/>
        <item h="1" x="21528"/>
        <item h="1" x="21529"/>
        <item h="1" x="21530"/>
        <item h="1" x="21531"/>
        <item h="1" x="21532"/>
        <item h="1" x="21533"/>
        <item h="1" x="21534"/>
        <item h="1" x="21535"/>
        <item h="1" x="21536"/>
        <item h="1" x="21537"/>
        <item h="1" x="21538"/>
        <item h="1" x="21539"/>
        <item h="1" x="21540"/>
        <item h="1" x="21541"/>
        <item h="1" x="21542"/>
        <item h="1" x="21543"/>
        <item h="1" x="21544"/>
        <item h="1" x="21545"/>
        <item h="1" x="21546"/>
        <item h="1" x="21547"/>
        <item h="1" x="21548"/>
        <item h="1" x="21549"/>
        <item h="1" x="21550"/>
        <item h="1" x="21551"/>
        <item h="1" x="21552"/>
        <item h="1" x="21553"/>
        <item h="1" x="21554"/>
        <item h="1" x="21555"/>
        <item h="1" x="21556"/>
        <item h="1" x="21557"/>
        <item h="1" x="21558"/>
        <item h="1" x="21559"/>
        <item h="1" x="21560"/>
        <item h="1" x="21561"/>
        <item h="1" x="21562"/>
        <item h="1" x="21563"/>
        <item h="1" x="21564"/>
        <item h="1" x="21565"/>
        <item h="1" x="21566"/>
        <item h="1" x="21567"/>
        <item h="1" x="21568"/>
        <item h="1" x="21569"/>
        <item h="1" x="21570"/>
        <item h="1" x="21571"/>
        <item h="1" x="21572"/>
        <item h="1" x="21573"/>
        <item h="1" x="21574"/>
        <item h="1" x="21575"/>
        <item h="1" x="21576"/>
        <item h="1" x="21577"/>
        <item h="1" x="21578"/>
        <item h="1" x="21579"/>
        <item h="1" x="21580"/>
        <item h="1" x="21581"/>
        <item h="1" x="21582"/>
        <item h="1" x="21583"/>
        <item h="1" x="21584"/>
        <item h="1" x="21585"/>
        <item h="1" x="21586"/>
        <item h="1" x="21587"/>
        <item h="1" x="21588"/>
        <item h="1" x="21589"/>
        <item h="1" x="21590"/>
        <item h="1" x="21591"/>
        <item h="1" x="21592"/>
        <item h="1" x="21593"/>
        <item h="1" x="21594"/>
        <item h="1" x="21595"/>
        <item h="1" x="21596"/>
        <item h="1" x="21597"/>
        <item h="1" x="21598"/>
        <item h="1" x="21599"/>
        <item h="1" x="21600"/>
        <item h="1" x="21601"/>
        <item h="1" x="21602"/>
        <item h="1" x="21603"/>
        <item h="1" x="21604"/>
        <item h="1" x="21605"/>
        <item h="1" x="21606"/>
        <item h="1" x="21607"/>
        <item h="1" x="21608"/>
        <item h="1" x="21609"/>
        <item h="1" x="21610"/>
        <item h="1" x="21611"/>
        <item h="1" x="21612"/>
        <item h="1" x="21613"/>
        <item h="1" x="21614"/>
        <item h="1" x="21615"/>
        <item h="1" x="21616"/>
        <item h="1" x="21617"/>
        <item h="1" x="21618"/>
        <item h="1" x="21619"/>
        <item h="1" x="21620"/>
        <item h="1" x="21621"/>
        <item h="1" x="21622"/>
        <item h="1" x="21623"/>
        <item h="1" x="21624"/>
        <item h="1" x="21625"/>
        <item h="1" x="21626"/>
        <item h="1" x="21627"/>
        <item h="1" x="21628"/>
        <item h="1" x="21629"/>
        <item h="1" x="21630"/>
        <item h="1" x="21631"/>
        <item h="1" x="21632"/>
        <item h="1" x="21633"/>
        <item h="1" x="21634"/>
        <item h="1" x="21635"/>
        <item h="1" x="21636"/>
        <item h="1" x="21637"/>
        <item h="1" x="21638"/>
        <item h="1" x="21639"/>
        <item h="1" x="21640"/>
        <item h="1" x="21641"/>
        <item h="1" x="21642"/>
        <item h="1" x="21643"/>
        <item h="1" x="21644"/>
        <item h="1" x="21645"/>
        <item h="1" x="21646"/>
        <item h="1" x="21647"/>
        <item h="1" x="21648"/>
        <item h="1" x="21649"/>
        <item h="1" x="21650"/>
        <item h="1" x="21651"/>
        <item h="1" x="21652"/>
        <item h="1" x="21653"/>
        <item h="1" x="21654"/>
        <item h="1" x="21655"/>
        <item h="1" x="21656"/>
        <item h="1" x="21657"/>
        <item h="1" x="21658"/>
        <item h="1" x="21659"/>
        <item h="1" x="21660"/>
        <item h="1" x="21661"/>
        <item h="1" x="21662"/>
        <item h="1" x="21663"/>
        <item h="1" x="21664"/>
        <item h="1" x="21665"/>
        <item h="1" x="21666"/>
        <item h="1" x="21667"/>
        <item h="1" x="21668"/>
        <item h="1" x="21669"/>
        <item h="1" x="21670"/>
        <item h="1" x="21671"/>
        <item h="1" x="21672"/>
        <item h="1" x="21673"/>
        <item h="1" x="21674"/>
        <item h="1" x="21675"/>
        <item h="1" x="21676"/>
        <item h="1" x="21677"/>
        <item h="1" x="21678"/>
        <item h="1" x="21679"/>
        <item h="1" x="21680"/>
        <item h="1" x="21681"/>
        <item h="1" x="21682"/>
        <item h="1" x="21683"/>
        <item h="1" x="21684"/>
        <item h="1" x="21685"/>
        <item h="1" x="21686"/>
        <item h="1" x="21687"/>
        <item h="1" x="21688"/>
        <item h="1" x="21689"/>
        <item h="1" x="21690"/>
        <item h="1" x="21691"/>
        <item h="1" x="21692"/>
        <item h="1" x="21693"/>
        <item h="1" x="21694"/>
        <item h="1" x="21695"/>
        <item h="1" x="21696"/>
        <item h="1" x="21697"/>
        <item h="1" x="21698"/>
        <item h="1" x="21699"/>
        <item h="1" x="21700"/>
        <item h="1" x="21701"/>
        <item h="1" x="21702"/>
        <item h="1" x="21703"/>
        <item h="1" x="21704"/>
        <item h="1" x="21705"/>
        <item h="1" x="21706"/>
        <item h="1" x="21707"/>
        <item h="1" x="21708"/>
        <item h="1" x="21709"/>
        <item h="1" x="21710"/>
        <item h="1" x="21711"/>
        <item h="1" x="21712"/>
        <item h="1" x="21713"/>
        <item h="1" x="21714"/>
        <item h="1" x="21715"/>
        <item h="1" x="21716"/>
        <item h="1" x="21717"/>
        <item h="1" x="21718"/>
        <item h="1" x="21719"/>
        <item h="1" x="21720"/>
        <item h="1" x="21721"/>
        <item h="1" x="21722"/>
        <item h="1" x="21723"/>
        <item h="1" x="21724"/>
        <item h="1" x="21725"/>
        <item h="1" x="21726"/>
        <item h="1" x="21727"/>
        <item h="1" x="21728"/>
        <item h="1" x="21729"/>
        <item h="1" x="21730"/>
        <item h="1" x="21731"/>
        <item h="1" x="21732"/>
        <item h="1" x="21733"/>
        <item h="1" x="21734"/>
        <item h="1" x="21735"/>
        <item h="1" x="21736"/>
        <item h="1" x="21737"/>
        <item h="1" x="21738"/>
        <item h="1" x="21739"/>
        <item h="1" x="21740"/>
        <item h="1" x="21741"/>
        <item h="1" x="21742"/>
        <item h="1" x="21743"/>
        <item h="1" x="21744"/>
        <item h="1" x="21745"/>
        <item h="1" x="21746"/>
        <item h="1" x="21747"/>
        <item h="1" x="21748"/>
        <item h="1" x="21749"/>
        <item h="1" x="21750"/>
        <item h="1" x="21751"/>
        <item h="1" x="21752"/>
        <item h="1" x="21753"/>
        <item h="1" x="21754"/>
        <item h="1" x="21755"/>
        <item h="1" x="21756"/>
        <item h="1" x="21757"/>
        <item h="1" x="21758"/>
        <item h="1" x="21759"/>
        <item h="1" x="21760"/>
        <item h="1" x="21761"/>
        <item h="1" x="21762"/>
        <item h="1" x="21763"/>
        <item h="1" x="21764"/>
        <item h="1" x="21765"/>
        <item h="1" x="21766"/>
        <item h="1" x="21767"/>
        <item h="1" x="21768"/>
        <item h="1" x="21769"/>
        <item h="1" x="21770"/>
        <item h="1" x="21771"/>
        <item h="1" x="21772"/>
        <item h="1" x="21773"/>
        <item h="1" x="21774"/>
        <item h="1" x="21775"/>
        <item h="1" x="21776"/>
        <item h="1" x="21777"/>
        <item h="1" x="21778"/>
        <item h="1" x="21779"/>
        <item h="1" x="21780"/>
        <item h="1" x="21781"/>
        <item h="1" x="21782"/>
        <item h="1" x="21783"/>
        <item h="1" x="21784"/>
        <item h="1" x="21785"/>
        <item h="1" x="21786"/>
        <item h="1" x="21787"/>
        <item h="1" x="21788"/>
        <item h="1" x="21789"/>
        <item h="1" x="21790"/>
        <item h="1" x="21791"/>
        <item h="1" x="21792"/>
        <item h="1" x="21793"/>
        <item h="1" x="21794"/>
        <item h="1" x="21795"/>
        <item h="1" x="21796"/>
        <item h="1" x="21797"/>
        <item h="1" x="21798"/>
        <item h="1" x="21799"/>
        <item h="1" x="21800"/>
        <item h="1" x="21801"/>
        <item h="1" x="21802"/>
        <item h="1" x="21803"/>
        <item h="1" x="21804"/>
        <item h="1" x="21805"/>
        <item h="1" x="21806"/>
        <item h="1" x="21807"/>
        <item h="1" x="21808"/>
        <item h="1" x="21809"/>
        <item h="1" x="21810"/>
        <item h="1" x="21811"/>
        <item h="1" x="21812"/>
        <item h="1" x="21813"/>
        <item h="1" x="21814"/>
        <item h="1" x="21815"/>
        <item h="1" x="21816"/>
        <item h="1" x="21817"/>
        <item h="1" x="21818"/>
        <item h="1" x="21819"/>
        <item h="1" x="21820"/>
        <item h="1" x="21821"/>
        <item h="1" x="21822"/>
        <item h="1" x="21823"/>
        <item h="1" x="21824"/>
        <item h="1" x="21825"/>
        <item h="1" x="21826"/>
        <item h="1" x="21827"/>
        <item h="1" x="21828"/>
        <item h="1" x="21829"/>
        <item h="1" x="21830"/>
        <item h="1" x="21831"/>
        <item h="1" x="21832"/>
        <item h="1" x="21833"/>
        <item h="1" x="21834"/>
        <item h="1" x="21835"/>
        <item h="1" x="21836"/>
        <item h="1" x="21837"/>
        <item h="1" x="21838"/>
        <item h="1" x="21839"/>
        <item h="1" x="21840"/>
        <item h="1" x="21841"/>
        <item h="1" x="21842"/>
        <item h="1" x="21843"/>
        <item h="1" x="21844"/>
        <item h="1" x="21845"/>
        <item h="1" x="21846"/>
        <item h="1" x="21847"/>
        <item h="1" x="21848"/>
        <item h="1" x="21849"/>
        <item h="1" x="21850"/>
        <item h="1" x="21851"/>
        <item h="1" x="21852"/>
        <item h="1" x="21853"/>
        <item h="1" x="21854"/>
        <item h="1" x="21855"/>
        <item h="1" x="21856"/>
        <item h="1" x="21857"/>
        <item h="1" x="21858"/>
        <item h="1" x="21859"/>
        <item h="1" x="21860"/>
        <item h="1" x="21861"/>
        <item h="1" x="21862"/>
        <item h="1" x="21863"/>
        <item h="1" x="21864"/>
        <item h="1" x="21865"/>
        <item h="1" x="21866"/>
        <item h="1" x="21867"/>
        <item h="1" x="21868"/>
        <item h="1" x="21869"/>
        <item h="1" x="21870"/>
        <item h="1" x="21871"/>
        <item h="1" x="21872"/>
        <item h="1" x="21873"/>
        <item h="1" x="21874"/>
        <item h="1" x="21875"/>
        <item h="1" x="21876"/>
        <item h="1" x="21877"/>
        <item h="1" x="21878"/>
        <item h="1" x="21879"/>
        <item h="1" x="21880"/>
        <item h="1" x="21881"/>
        <item h="1" x="21882"/>
        <item h="1" x="21883"/>
        <item h="1" x="21884"/>
        <item h="1" x="21885"/>
        <item h="1" x="21886"/>
        <item h="1" x="21887"/>
        <item h="1" x="21888"/>
        <item h="1" x="21889"/>
        <item h="1" x="21890"/>
        <item h="1" x="21891"/>
        <item h="1" x="21892"/>
        <item h="1" x="21893"/>
        <item h="1" x="21894"/>
        <item h="1" x="21895"/>
        <item h="1" x="21896"/>
        <item h="1" x="21897"/>
        <item h="1" x="21898"/>
        <item h="1" x="21899"/>
        <item h="1" x="21900"/>
        <item h="1" x="21901"/>
        <item h="1" x="21902"/>
        <item h="1" x="21903"/>
        <item h="1" x="21904"/>
        <item h="1" x="21905"/>
        <item h="1" x="21906"/>
        <item h="1" x="21907"/>
        <item h="1" x="21908"/>
        <item h="1" x="21909"/>
        <item h="1" x="21910"/>
        <item h="1" x="21911"/>
        <item h="1" x="21912"/>
        <item h="1" x="21913"/>
        <item h="1" x="21914"/>
        <item h="1" x="21915"/>
        <item h="1" x="21916"/>
        <item h="1" x="21917"/>
        <item h="1" x="21918"/>
        <item h="1" x="21919"/>
        <item h="1" x="21920"/>
        <item h="1" x="21921"/>
        <item h="1" x="21922"/>
        <item h="1" x="21923"/>
        <item h="1" x="21924"/>
        <item h="1" x="21925"/>
        <item h="1" x="21926"/>
        <item h="1" x="21927"/>
        <item h="1" x="21928"/>
        <item h="1" x="21929"/>
        <item h="1" x="21930"/>
        <item h="1" x="21931"/>
        <item h="1" x="21932"/>
        <item h="1" x="21933"/>
        <item h="1" x="21934"/>
        <item h="1" x="21935"/>
        <item h="1" x="21936"/>
        <item h="1" x="21937"/>
        <item h="1" x="21938"/>
        <item h="1" x="21939"/>
        <item h="1" x="21940"/>
        <item h="1" x="21941"/>
        <item h="1" x="21942"/>
        <item h="1" x="21943"/>
        <item h="1" x="21944"/>
        <item h="1" x="21945"/>
        <item h="1" x="21946"/>
        <item h="1" x="21947"/>
        <item h="1" x="21948"/>
        <item h="1" x="21949"/>
        <item h="1" x="21950"/>
        <item h="1" x="21951"/>
        <item h="1" x="21952"/>
        <item h="1" x="21953"/>
        <item h="1" x="21954"/>
        <item h="1" x="21955"/>
        <item h="1" x="21956"/>
        <item h="1" x="21957"/>
        <item h="1" x="21958"/>
        <item h="1" x="21959"/>
        <item h="1" x="21960"/>
        <item h="1" x="21961"/>
        <item h="1" x="21962"/>
        <item h="1" x="21963"/>
        <item h="1" x="21964"/>
        <item h="1" x="21965"/>
        <item h="1" x="21966"/>
        <item h="1" x="21967"/>
        <item h="1" x="21968"/>
        <item h="1" x="21969"/>
        <item h="1" x="21970"/>
        <item h="1" x="21971"/>
        <item h="1" x="21972"/>
        <item h="1" x="21973"/>
        <item h="1" x="21974"/>
        <item h="1" x="21975"/>
        <item h="1" x="21976"/>
        <item h="1" x="21977"/>
        <item h="1" x="21978"/>
        <item h="1" x="21979"/>
        <item h="1" x="21980"/>
        <item h="1" x="21981"/>
        <item h="1" x="21982"/>
        <item h="1" x="21983"/>
        <item h="1" x="21984"/>
        <item h="1" x="21985"/>
        <item h="1" x="21986"/>
        <item h="1" x="21987"/>
        <item h="1" x="21988"/>
        <item h="1" x="21989"/>
        <item h="1" x="21990"/>
        <item h="1" x="21991"/>
        <item h="1" x="21992"/>
        <item h="1" x="21993"/>
        <item h="1" x="21994"/>
        <item h="1" x="21995"/>
        <item h="1" x="21996"/>
        <item h="1" x="21997"/>
        <item h="1" x="21998"/>
        <item h="1" x="21999"/>
        <item h="1" x="22000"/>
        <item h="1" x="22001"/>
        <item h="1" x="22002"/>
        <item h="1" x="22003"/>
        <item h="1" x="22004"/>
        <item h="1" x="22005"/>
        <item h="1" x="22006"/>
        <item h="1" x="22007"/>
        <item h="1" x="22008"/>
        <item h="1" x="22009"/>
        <item h="1" x="22010"/>
        <item h="1" x="22011"/>
        <item h="1" x="22012"/>
        <item h="1" x="22013"/>
        <item h="1" x="22014"/>
        <item h="1" x="22015"/>
        <item h="1" x="22016"/>
        <item h="1" x="22017"/>
        <item h="1" x="22018"/>
        <item h="1" x="22019"/>
        <item h="1" x="22020"/>
        <item h="1" x="22021"/>
        <item h="1" x="22022"/>
        <item h="1" x="22023"/>
        <item h="1" x="22024"/>
        <item h="1" x="22025"/>
        <item h="1" x="22026"/>
        <item h="1" x="22027"/>
        <item h="1" x="22028"/>
        <item h="1" x="22029"/>
        <item h="1" x="22030"/>
        <item h="1" x="22031"/>
        <item h="1" x="22032"/>
        <item h="1" x="22033"/>
        <item h="1" x="22034"/>
        <item h="1" x="22035"/>
        <item h="1" x="22036"/>
        <item h="1" x="22037"/>
        <item h="1" x="22038"/>
        <item h="1" x="22039"/>
        <item h="1" x="22040"/>
        <item h="1" x="22041"/>
        <item h="1" x="22042"/>
        <item h="1" x="22043"/>
        <item h="1" x="22044"/>
        <item h="1" x="22045"/>
        <item h="1" x="22046"/>
        <item h="1" x="22047"/>
        <item h="1" x="22048"/>
        <item h="1" x="22049"/>
        <item h="1" x="22050"/>
        <item h="1" x="22051"/>
        <item h="1" x="22052"/>
        <item h="1" x="22053"/>
        <item h="1" x="22054"/>
        <item h="1" x="22055"/>
        <item h="1" x="22056"/>
        <item h="1" x="22057"/>
        <item h="1" x="22058"/>
        <item h="1" x="22059"/>
        <item h="1" x="22060"/>
        <item h="1" x="22061"/>
        <item h="1" x="22062"/>
        <item h="1" x="22063"/>
        <item h="1" x="22064"/>
        <item h="1" x="22065"/>
        <item h="1" x="22066"/>
        <item h="1" x="22067"/>
        <item h="1" x="22068"/>
        <item h="1" x="22069"/>
        <item h="1" x="22070"/>
        <item h="1" x="22071"/>
        <item h="1" x="22072"/>
        <item h="1" x="22073"/>
        <item h="1" x="22074"/>
        <item h="1" x="22075"/>
        <item h="1" x="22076"/>
        <item h="1" x="22077"/>
        <item h="1" x="22078"/>
        <item h="1" x="22079"/>
        <item h="1" x="22080"/>
        <item h="1" x="22081"/>
        <item h="1" x="22082"/>
        <item h="1" x="22083"/>
        <item h="1" x="22084"/>
        <item h="1" x="22085"/>
        <item h="1" x="22086"/>
        <item h="1" x="22087"/>
        <item h="1" x="22088"/>
        <item h="1" x="22089"/>
        <item h="1" x="22090"/>
        <item h="1" x="22091"/>
        <item h="1" x="22092"/>
        <item h="1" x="22093"/>
        <item h="1" x="22094"/>
        <item h="1" x="22095"/>
        <item h="1" x="22096"/>
        <item h="1" x="22097"/>
        <item h="1" x="22098"/>
        <item h="1" x="22099"/>
        <item h="1" x="22100"/>
        <item h="1" x="22101"/>
        <item h="1" x="22102"/>
        <item h="1" x="22103"/>
        <item h="1" x="22104"/>
        <item h="1" x="22105"/>
        <item h="1" x="22106"/>
        <item h="1" x="22107"/>
        <item h="1" x="22108"/>
        <item h="1" x="22109"/>
        <item h="1" x="22110"/>
        <item h="1" x="22111"/>
        <item h="1" x="22112"/>
        <item h="1" x="22113"/>
        <item h="1" x="22114"/>
        <item h="1" x="22115"/>
        <item h="1" x="22116"/>
        <item h="1" x="22117"/>
        <item h="1" x="22118"/>
        <item h="1" x="22119"/>
        <item h="1" x="22120"/>
        <item h="1" x="22121"/>
        <item h="1" x="22122"/>
        <item h="1" x="22123"/>
        <item h="1" x="22124"/>
        <item h="1" x="22125"/>
        <item h="1" x="22126"/>
        <item h="1" x="22127"/>
        <item h="1" x="22128"/>
        <item h="1" x="22129"/>
        <item h="1" x="22130"/>
        <item h="1" x="22131"/>
        <item h="1" x="22132"/>
        <item h="1" x="22133"/>
        <item h="1" x="22134"/>
        <item h="1" x="22135"/>
        <item h="1" x="22136"/>
        <item h="1" x="22137"/>
        <item h="1" x="22138"/>
        <item h="1" x="22139"/>
        <item h="1" x="22140"/>
        <item h="1" x="22141"/>
        <item h="1" x="22142"/>
        <item h="1" x="22143"/>
        <item h="1" x="22144"/>
        <item h="1" x="22145"/>
        <item h="1" x="22146"/>
        <item h="1" x="22147"/>
        <item h="1" x="22148"/>
        <item h="1" x="22149"/>
        <item h="1" x="22150"/>
        <item h="1" x="22151"/>
        <item h="1" x="22152"/>
        <item h="1" x="22153"/>
        <item h="1" x="22154"/>
        <item h="1" x="22155"/>
        <item h="1" x="22156"/>
        <item h="1" x="22157"/>
        <item h="1" x="22158"/>
        <item h="1" x="22159"/>
        <item h="1" x="22160"/>
        <item h="1" x="22161"/>
        <item h="1" x="22162"/>
        <item h="1" x="22163"/>
        <item h="1" x="22164"/>
        <item h="1" x="22165"/>
        <item h="1" x="22166"/>
        <item h="1" x="22167"/>
        <item h="1" x="22168"/>
        <item h="1" x="22169"/>
        <item h="1" x="22170"/>
        <item h="1" x="22171"/>
        <item h="1" x="22172"/>
        <item h="1" x="22173"/>
        <item h="1" x="22174"/>
        <item h="1" x="22175"/>
        <item h="1" x="22176"/>
        <item h="1" x="22177"/>
        <item h="1" x="22178"/>
        <item h="1" x="22179"/>
        <item h="1" x="22180"/>
        <item h="1" x="22181"/>
        <item h="1" x="22182"/>
        <item h="1" x="22183"/>
        <item h="1" x="22184"/>
        <item h="1" x="22185"/>
        <item h="1" x="22186"/>
        <item h="1" x="22187"/>
        <item h="1" x="22188"/>
        <item h="1" x="22189"/>
        <item h="1" x="22190"/>
        <item h="1" x="22191"/>
        <item h="1" x="22192"/>
        <item h="1" x="22193"/>
        <item h="1" x="22194"/>
        <item h="1" x="22195"/>
        <item h="1" x="22196"/>
        <item h="1" x="22197"/>
        <item h="1" x="22198"/>
        <item h="1" x="22199"/>
        <item h="1" x="22200"/>
        <item h="1" x="22201"/>
        <item h="1" x="22202"/>
        <item h="1" x="22203"/>
        <item h="1" x="22204"/>
        <item h="1" x="22205"/>
        <item h="1" x="22206"/>
        <item h="1" x="22207"/>
        <item h="1" x="22208"/>
        <item h="1" x="22209"/>
        <item h="1" x="22210"/>
        <item h="1" x="22211"/>
        <item h="1" x="22212"/>
        <item h="1" x="22213"/>
        <item h="1" x="22214"/>
        <item h="1" x="22215"/>
        <item h="1" x="22216"/>
        <item h="1" x="22217"/>
        <item h="1" x="22218"/>
        <item h="1" x="22219"/>
        <item h="1" x="22220"/>
        <item h="1" x="22221"/>
        <item h="1" x="22222"/>
        <item h="1" x="22223"/>
        <item h="1" x="22224"/>
        <item h="1" x="22225"/>
        <item h="1" x="22226"/>
        <item h="1" x="22227"/>
        <item h="1" x="22228"/>
        <item h="1" x="22229"/>
        <item h="1" x="22230"/>
        <item h="1" x="22231"/>
        <item h="1" x="22232"/>
        <item h="1" x="22233"/>
        <item h="1" x="22234"/>
        <item h="1" x="22235"/>
        <item h="1" x="22236"/>
        <item h="1" x="22237"/>
        <item h="1" x="22238"/>
        <item h="1" x="22239"/>
        <item h="1" x="22240"/>
        <item h="1" x="22241"/>
        <item h="1" x="22242"/>
        <item h="1" x="22243"/>
        <item h="1" x="22244"/>
        <item h="1" x="22245"/>
        <item h="1" x="22246"/>
        <item h="1" x="22247"/>
        <item h="1" x="22248"/>
        <item h="1" x="22249"/>
        <item h="1" x="22250"/>
        <item h="1" x="22251"/>
        <item h="1" x="22252"/>
        <item h="1" x="22253"/>
        <item h="1" x="22254"/>
        <item h="1" x="22255"/>
        <item h="1" x="22256"/>
        <item h="1" x="22257"/>
        <item h="1" x="22258"/>
        <item h="1" x="22259"/>
        <item h="1" x="22260"/>
        <item h="1" x="22261"/>
        <item h="1" x="22262"/>
        <item h="1" x="22263"/>
        <item h="1" x="22264"/>
        <item h="1" x="22265"/>
        <item h="1" x="22266"/>
        <item h="1" x="22267"/>
        <item h="1" x="22268"/>
        <item h="1" x="22269"/>
        <item h="1" x="22270"/>
        <item h="1" x="22271"/>
        <item h="1" x="22272"/>
        <item h="1" x="22273"/>
        <item h="1" x="22274"/>
        <item h="1" x="22275"/>
        <item h="1" x="22276"/>
        <item h="1" x="22277"/>
        <item h="1" x="22278"/>
        <item h="1" x="22279"/>
        <item h="1" x="22280"/>
        <item h="1" x="22281"/>
        <item h="1" x="22282"/>
        <item h="1" x="22283"/>
        <item h="1" x="22284"/>
        <item h="1" x="22285"/>
        <item h="1" x="22286"/>
        <item h="1" x="22287"/>
        <item h="1" x="22288"/>
        <item h="1" x="22289"/>
        <item h="1" x="22290"/>
        <item h="1" x="22291"/>
        <item h="1" x="22292"/>
        <item h="1" x="22293"/>
        <item h="1" x="22294"/>
        <item h="1" x="22295"/>
        <item h="1" x="22296"/>
        <item h="1" x="22297"/>
        <item h="1" x="22298"/>
        <item h="1" x="22299"/>
        <item h="1" x="22300"/>
        <item h="1" x="22301"/>
        <item h="1" x="22302"/>
        <item h="1" x="22303"/>
        <item h="1" x="22304"/>
        <item h="1" x="22305"/>
        <item h="1" x="22306"/>
        <item h="1" x="22307"/>
        <item h="1" x="22308"/>
        <item h="1" x="22309"/>
        <item h="1" x="22310"/>
        <item h="1" x="22311"/>
        <item h="1" x="22312"/>
        <item h="1" x="22313"/>
        <item h="1" x="22314"/>
        <item h="1" x="22315"/>
        <item h="1" x="22316"/>
        <item h="1" x="22317"/>
        <item h="1" x="22318"/>
        <item h="1" x="22319"/>
        <item h="1" x="22320"/>
        <item h="1" x="22321"/>
        <item h="1" x="22322"/>
        <item h="1" x="22323"/>
        <item h="1" x="22324"/>
        <item h="1" x="22325"/>
        <item h="1" x="22326"/>
        <item h="1" x="22327"/>
        <item h="1" x="22328"/>
        <item h="1" x="22329"/>
        <item h="1" x="22330"/>
        <item h="1" x="22331"/>
        <item h="1" x="22332"/>
        <item h="1" x="22333"/>
        <item h="1" x="22334"/>
        <item h="1" x="22335"/>
        <item h="1" x="22336"/>
        <item h="1" x="22337"/>
        <item h="1" x="22338"/>
        <item h="1" x="22339"/>
        <item h="1" x="22340"/>
        <item h="1" x="22341"/>
        <item h="1" x="22342"/>
        <item h="1" x="22343"/>
        <item h="1" x="22344"/>
        <item h="1" x="22345"/>
        <item h="1" x="22346"/>
        <item h="1" x="22347"/>
        <item h="1" x="22348"/>
        <item h="1" x="22349"/>
        <item h="1" x="22350"/>
        <item h="1" x="22351"/>
        <item h="1" x="22352"/>
        <item h="1" x="22353"/>
        <item h="1" x="22354"/>
        <item h="1" x="22355"/>
        <item h="1" x="22356"/>
        <item h="1" x="22357"/>
        <item h="1" x="22358"/>
        <item h="1" x="22359"/>
        <item h="1" x="22360"/>
        <item h="1" x="22361"/>
        <item h="1" x="22362"/>
        <item h="1" x="22363"/>
        <item h="1" x="22364"/>
        <item h="1" x="22365"/>
        <item h="1" x="22366"/>
        <item h="1" x="22367"/>
        <item h="1" x="22368"/>
        <item h="1" x="22369"/>
        <item h="1" x="22370"/>
        <item h="1" x="22371"/>
        <item h="1" x="22372"/>
        <item h="1" x="22373"/>
        <item h="1" x="22374"/>
        <item h="1" x="22375"/>
        <item h="1" x="22376"/>
        <item h="1" x="22377"/>
        <item h="1" x="22378"/>
        <item h="1" x="22379"/>
        <item h="1" x="22380"/>
        <item h="1" x="22381"/>
        <item h="1" x="22382"/>
        <item h="1" x="22383"/>
        <item h="1" x="22384"/>
        <item h="1" x="22385"/>
        <item h="1" x="22386"/>
        <item h="1" x="22387"/>
        <item h="1" x="22388"/>
        <item h="1" x="22389"/>
        <item h="1" x="22390"/>
        <item h="1" x="22391"/>
        <item h="1" x="22392"/>
        <item h="1" x="22393"/>
        <item h="1" x="22394"/>
        <item h="1" x="22395"/>
        <item h="1" x="22396"/>
        <item h="1" x="22397"/>
        <item h="1" x="22398"/>
        <item h="1" x="22399"/>
        <item h="1" x="22400"/>
        <item h="1" x="22401"/>
        <item h="1" x="22402"/>
        <item h="1" x="22403"/>
        <item h="1" x="22404"/>
        <item h="1" x="22405"/>
        <item h="1" x="22406"/>
        <item h="1" x="22407"/>
        <item h="1" x="22408"/>
        <item h="1" x="22409"/>
        <item h="1" x="22410"/>
        <item h="1" x="22411"/>
        <item h="1" x="22412"/>
        <item h="1" x="22413"/>
        <item h="1" x="22414"/>
        <item h="1" x="22415"/>
        <item h="1" x="22416"/>
        <item h="1" x="22417"/>
        <item h="1" x="22418"/>
        <item h="1" x="22419"/>
        <item h="1" x="22420"/>
        <item h="1" x="22421"/>
        <item h="1" x="22422"/>
        <item h="1" x="22423"/>
        <item h="1" x="22424"/>
        <item h="1" x="22425"/>
        <item h="1" x="22426"/>
        <item h="1" x="22427"/>
        <item h="1" x="22428"/>
        <item h="1" x="22429"/>
        <item h="1" x="22430"/>
        <item h="1" x="22431"/>
        <item h="1" x="22432"/>
        <item h="1" x="22433"/>
        <item h="1" x="22434"/>
        <item h="1" x="22435"/>
        <item h="1" x="22436"/>
        <item h="1" x="22437"/>
        <item h="1" x="22438"/>
        <item h="1" x="22439"/>
        <item h="1" x="22440"/>
        <item h="1" x="22441"/>
        <item h="1" x="22442"/>
        <item h="1" x="22443"/>
        <item h="1" x="22444"/>
        <item h="1" x="22445"/>
        <item h="1" x="22446"/>
        <item h="1" x="22447"/>
        <item h="1" x="22448"/>
        <item h="1" x="22449"/>
        <item h="1" x="22450"/>
        <item h="1" x="22451"/>
        <item h="1" x="22452"/>
        <item h="1" x="22453"/>
        <item h="1" x="22454"/>
        <item h="1" x="22455"/>
        <item h="1" x="22456"/>
        <item h="1" x="22457"/>
        <item h="1" x="22458"/>
        <item h="1" x="22459"/>
        <item h="1" x="22460"/>
        <item h="1" x="22461"/>
        <item h="1" x="22462"/>
        <item h="1" x="22463"/>
        <item h="1" x="22464"/>
        <item h="1" x="22465"/>
        <item h="1" x="22466"/>
        <item h="1" x="22467"/>
        <item h="1" x="22468"/>
        <item h="1" x="22469"/>
        <item h="1" x="22470"/>
        <item h="1" x="22471"/>
        <item h="1" x="22472"/>
        <item h="1" x="22473"/>
        <item h="1" x="22474"/>
        <item h="1" x="22475"/>
        <item h="1" x="22476"/>
        <item h="1" x="22477"/>
        <item h="1" x="22478"/>
        <item h="1" x="22479"/>
        <item h="1" x="22480"/>
        <item h="1" x="22481"/>
        <item h="1" x="22482"/>
        <item h="1" x="22483"/>
        <item h="1" x="22484"/>
        <item h="1" x="22485"/>
        <item h="1" x="22486"/>
        <item h="1" x="22487"/>
        <item h="1" x="22488"/>
        <item h="1" x="22489"/>
        <item h="1" x="22490"/>
        <item h="1" x="22491"/>
        <item h="1" x="22492"/>
        <item h="1" x="22493"/>
        <item h="1" x="22494"/>
        <item h="1" x="22495"/>
        <item h="1" x="22496"/>
        <item h="1" x="22497"/>
        <item h="1" x="22498"/>
        <item h="1" x="22499"/>
        <item h="1" x="22500"/>
        <item h="1" x="22501"/>
        <item h="1" x="22502"/>
        <item h="1" x="22503"/>
        <item h="1" x="22504"/>
        <item h="1" x="22505"/>
        <item h="1" x="22506"/>
        <item h="1" x="22507"/>
        <item h="1" x="22508"/>
        <item h="1" x="22509"/>
        <item h="1" x="22510"/>
        <item h="1" x="22511"/>
        <item h="1" x="22512"/>
        <item h="1" x="22513"/>
        <item h="1" x="22514"/>
        <item h="1" x="22515"/>
        <item h="1" x="22516"/>
        <item h="1" x="22517"/>
        <item h="1" x="22518"/>
        <item h="1" x="22519"/>
        <item h="1" x="22520"/>
        <item h="1" x="22521"/>
        <item h="1" x="22522"/>
        <item h="1" x="22523"/>
        <item h="1" x="22524"/>
        <item h="1" x="22525"/>
        <item h="1" x="22526"/>
        <item h="1" x="22527"/>
        <item h="1" x="22528"/>
        <item h="1" x="22529"/>
        <item h="1" x="22530"/>
        <item h="1" x="22531"/>
        <item h="1" x="22532"/>
        <item h="1" x="22533"/>
        <item h="1" x="22534"/>
        <item h="1" x="22535"/>
        <item h="1" x="22536"/>
        <item h="1" x="22537"/>
        <item h="1" x="22538"/>
        <item h="1" x="22539"/>
        <item h="1" x="22540"/>
        <item h="1" x="22541"/>
        <item h="1" x="22542"/>
        <item h="1" x="22543"/>
        <item h="1" x="22544"/>
        <item h="1" x="22545"/>
        <item h="1" x="22546"/>
        <item h="1" x="22547"/>
        <item h="1" x="22548"/>
        <item h="1" x="22549"/>
        <item h="1" x="22550"/>
        <item h="1" x="22551"/>
        <item h="1" x="22552"/>
        <item h="1" x="22553"/>
        <item h="1" x="22554"/>
        <item h="1" x="22555"/>
        <item h="1" x="22556"/>
        <item h="1" x="22557"/>
        <item h="1" x="22558"/>
        <item h="1" x="22559"/>
        <item h="1" x="22560"/>
        <item h="1" x="22561"/>
        <item h="1" x="22562"/>
        <item h="1" x="22563"/>
        <item h="1" x="22564"/>
        <item h="1" x="22565"/>
        <item h="1" x="22566"/>
        <item h="1" x="22567"/>
        <item h="1" x="22568"/>
        <item h="1" x="22569"/>
        <item h="1" x="22570"/>
        <item h="1" x="22571"/>
        <item h="1" x="22572"/>
        <item h="1" x="22573"/>
        <item h="1" x="22574"/>
        <item h="1" x="22575"/>
        <item h="1" x="22576"/>
        <item h="1" x="22577"/>
        <item h="1" x="22578"/>
        <item h="1" x="22579"/>
        <item h="1" x="22580"/>
        <item h="1" x="22581"/>
        <item h="1" x="22582"/>
        <item h="1" x="22583"/>
        <item h="1" x="22584"/>
        <item h="1" x="22585"/>
        <item h="1" x="22586"/>
        <item h="1" x="22587"/>
        <item h="1" x="22588"/>
        <item h="1" x="22589"/>
        <item h="1" x="22590"/>
        <item h="1" x="22591"/>
        <item h="1" x="22592"/>
        <item h="1" x="22593"/>
        <item h="1" x="22594"/>
        <item h="1" x="22595"/>
        <item h="1" x="22596"/>
        <item h="1" x="22597"/>
        <item h="1" x="22598"/>
        <item h="1" x="22599"/>
        <item h="1" x="22600"/>
        <item h="1" x="22601"/>
        <item h="1" x="22602"/>
        <item h="1" x="22603"/>
        <item h="1" x="22604"/>
        <item h="1" x="22605"/>
        <item h="1" x="22606"/>
        <item h="1" x="22607"/>
        <item h="1" x="22608"/>
        <item h="1" x="22609"/>
        <item h="1" x="22610"/>
        <item h="1" x="22611"/>
        <item h="1" x="22612"/>
        <item h="1" x="22613"/>
        <item h="1" x="22614"/>
        <item h="1" x="22615"/>
        <item h="1" x="22616"/>
        <item h="1" x="22617"/>
        <item h="1" x="22618"/>
        <item h="1" x="22619"/>
        <item h="1" x="22620"/>
        <item h="1" x="22621"/>
        <item h="1" x="22622"/>
        <item h="1" x="22623"/>
        <item h="1" x="22624"/>
        <item h="1" x="22625"/>
        <item h="1" x="22626"/>
        <item h="1" x="22627"/>
        <item h="1" x="22628"/>
        <item h="1" x="22629"/>
        <item h="1" x="22630"/>
        <item h="1" x="22631"/>
        <item h="1" x="22632"/>
        <item h="1" x="22633"/>
        <item h="1" x="22634"/>
        <item h="1" x="22635"/>
        <item h="1" x="22636"/>
        <item h="1" x="22637"/>
        <item h="1" x="22638"/>
        <item h="1" x="22639"/>
        <item h="1" x="22640"/>
        <item h="1" x="22641"/>
        <item h="1" x="22642"/>
        <item h="1" x="22643"/>
        <item h="1" x="22644"/>
        <item h="1" x="22645"/>
        <item h="1" x="22646"/>
        <item h="1" x="22647"/>
        <item h="1" x="22648"/>
        <item h="1" x="22649"/>
        <item h="1" x="22650"/>
        <item h="1" x="22651"/>
        <item h="1" x="22652"/>
        <item h="1" x="22653"/>
        <item h="1" x="22654"/>
        <item h="1" x="22655"/>
        <item h="1" x="22656"/>
        <item h="1" x="22657"/>
        <item h="1" x="22658"/>
        <item h="1" x="22659"/>
        <item h="1" x="22660"/>
        <item h="1" x="22661"/>
        <item h="1" x="22662"/>
        <item h="1" x="22663"/>
        <item h="1" x="22664"/>
        <item h="1" x="22665"/>
        <item h="1" x="22666"/>
        <item h="1" x="22667"/>
        <item h="1" x="22668"/>
        <item h="1" x="22669"/>
        <item h="1" x="22670"/>
        <item h="1" x="22671"/>
        <item h="1" x="22672"/>
        <item h="1" x="22673"/>
        <item h="1" x="22674"/>
        <item h="1" x="22675"/>
        <item h="1" x="22676"/>
        <item h="1" x="22677"/>
        <item h="1" x="22678"/>
        <item h="1" x="22679"/>
        <item h="1" x="22680"/>
        <item h="1" x="22681"/>
        <item h="1" x="22682"/>
        <item h="1" x="22683"/>
        <item h="1" x="22684"/>
        <item h="1" x="22685"/>
        <item h="1" x="22686"/>
        <item h="1" x="22687"/>
        <item h="1" x="22688"/>
        <item h="1" x="22689"/>
        <item h="1" x="22690"/>
        <item h="1" x="22691"/>
        <item h="1" x="22692"/>
        <item h="1" x="22693"/>
        <item h="1" x="22694"/>
        <item h="1" x="22695"/>
        <item h="1" x="22696"/>
        <item h="1" x="22697"/>
        <item h="1" x="22698"/>
        <item h="1" x="22699"/>
        <item h="1" x="22700"/>
        <item h="1" x="22701"/>
        <item h="1" x="22702"/>
        <item h="1" x="22703"/>
        <item h="1" x="22704"/>
        <item h="1" x="22705"/>
        <item h="1" x="22706"/>
        <item h="1" x="22707"/>
        <item h="1" x="22708"/>
        <item h="1" x="22709"/>
        <item h="1" x="22710"/>
        <item h="1" x="22711"/>
        <item h="1" x="22712"/>
        <item h="1" x="22713"/>
        <item h="1" x="22714"/>
        <item h="1" x="22715"/>
        <item h="1" x="22716"/>
        <item h="1" x="22717"/>
        <item h="1" x="22718"/>
        <item h="1" x="22719"/>
        <item h="1" x="22720"/>
        <item h="1" x="22721"/>
        <item h="1" x="22722"/>
        <item h="1" x="22723"/>
        <item h="1" x="22724"/>
        <item h="1" x="22725"/>
        <item h="1" x="22726"/>
        <item h="1" x="22727"/>
        <item h="1" x="22728"/>
        <item h="1" x="22729"/>
        <item h="1" x="22730"/>
        <item h="1" x="22731"/>
        <item h="1" x="22732"/>
        <item h="1" x="22733"/>
        <item h="1" x="22734"/>
        <item h="1" x="22735"/>
        <item h="1" x="22736"/>
        <item h="1" x="22737"/>
        <item h="1" x="22738"/>
        <item h="1" x="22739"/>
        <item h="1" x="22740"/>
        <item h="1" x="22741"/>
        <item h="1" x="22742"/>
        <item h="1" x="22743"/>
        <item h="1" x="22744"/>
        <item h="1" x="22745"/>
        <item h="1" x="22746"/>
        <item h="1" x="22747"/>
        <item h="1" x="22748"/>
        <item h="1" x="22749"/>
        <item h="1" x="22750"/>
        <item h="1" x="22751"/>
        <item h="1" x="22752"/>
        <item h="1" x="22753"/>
        <item h="1" x="22754"/>
        <item h="1" x="22755"/>
        <item h="1" x="22756"/>
        <item h="1" x="22757"/>
        <item h="1" x="22758"/>
        <item h="1" x="22759"/>
        <item h="1" x="22760"/>
        <item h="1" x="22761"/>
        <item h="1" x="22762"/>
        <item h="1" x="22763"/>
        <item h="1" x="22764"/>
        <item h="1" x="22765"/>
        <item h="1" x="22766"/>
        <item h="1" x="22767"/>
        <item h="1" x="22768"/>
        <item h="1" x="22769"/>
        <item h="1" x="22770"/>
        <item h="1" x="22771"/>
        <item h="1" x="22772"/>
        <item h="1" x="22773"/>
        <item h="1" x="22774"/>
        <item h="1" x="22775"/>
        <item h="1" x="22776"/>
        <item h="1" x="22777"/>
        <item h="1" x="22778"/>
        <item h="1" x="22779"/>
        <item h="1" x="22780"/>
        <item h="1" x="22781"/>
        <item h="1" x="22782"/>
        <item h="1" x="22783"/>
        <item h="1" x="22784"/>
        <item h="1" x="22785"/>
        <item h="1" x="22786"/>
        <item h="1" x="22787"/>
        <item h="1" x="22788"/>
        <item h="1" x="22789"/>
        <item h="1" x="22790"/>
        <item h="1" x="22791"/>
        <item h="1" x="22792"/>
        <item h="1" x="22793"/>
        <item h="1" x="22794"/>
        <item h="1" x="22795"/>
        <item h="1" x="22796"/>
        <item h="1" x="22797"/>
        <item h="1" x="22798"/>
        <item h="1" x="22799"/>
        <item h="1" x="22800"/>
        <item h="1" x="22801"/>
        <item h="1" x="22802"/>
        <item h="1" x="22803"/>
        <item h="1" x="22804"/>
        <item h="1" x="22805"/>
        <item h="1" x="22806"/>
        <item h="1" x="22807"/>
        <item h="1" x="22808"/>
        <item h="1" x="22809"/>
        <item h="1" x="22810"/>
        <item h="1" x="22811"/>
        <item h="1" x="22812"/>
        <item h="1" x="22813"/>
        <item h="1" x="22814"/>
        <item h="1" x="22815"/>
        <item h="1" x="22816"/>
        <item h="1" x="22817"/>
        <item h="1" x="22818"/>
        <item h="1" x="22819"/>
        <item h="1" x="22820"/>
        <item h="1" x="22821"/>
        <item h="1" x="22822"/>
        <item h="1" x="22823"/>
        <item h="1" x="22824"/>
        <item h="1" x="22825"/>
        <item h="1" x="22826"/>
        <item h="1" x="22827"/>
        <item h="1" x="22828"/>
        <item h="1" x="22829"/>
        <item h="1" x="22830"/>
        <item h="1" x="22831"/>
        <item h="1" x="22832"/>
        <item h="1" x="22833"/>
        <item h="1" x="22834"/>
        <item h="1" x="22835"/>
        <item h="1" x="22836"/>
        <item h="1" x="22837"/>
        <item h="1" x="22838"/>
        <item h="1" x="22839"/>
        <item h="1" x="22840"/>
        <item h="1" x="22841"/>
        <item h="1" x="22842"/>
        <item h="1" x="22843"/>
        <item h="1" x="22844"/>
        <item h="1" x="22845"/>
        <item h="1" x="22846"/>
        <item h="1" x="22847"/>
        <item h="1" x="22848"/>
        <item h="1" x="22849"/>
        <item h="1" x="22850"/>
        <item h="1" x="22851"/>
        <item h="1" x="22852"/>
        <item h="1" x="22853"/>
        <item h="1" x="22854"/>
        <item h="1" x="22855"/>
        <item h="1" x="22856"/>
        <item h="1" x="22857"/>
        <item h="1" x="22858"/>
        <item h="1" x="22859"/>
        <item h="1" x="22860"/>
        <item h="1" x="22861"/>
        <item h="1" x="22862"/>
        <item h="1" x="22863"/>
        <item h="1" x="22864"/>
        <item h="1" x="22865"/>
        <item h="1" x="22866"/>
        <item h="1" x="22867"/>
        <item h="1" x="22868"/>
        <item h="1" x="22869"/>
        <item h="1" x="22870"/>
        <item h="1" x="22871"/>
        <item h="1" x="22872"/>
        <item h="1" x="22873"/>
        <item h="1" x="22874"/>
        <item h="1" x="22875"/>
        <item h="1" x="22876"/>
        <item h="1" x="22877"/>
        <item h="1" x="22878"/>
        <item h="1" x="22879"/>
        <item h="1" x="22880"/>
        <item h="1" x="22881"/>
        <item h="1" x="22882"/>
        <item h="1" x="22883"/>
        <item h="1" x="22884"/>
        <item h="1" x="22885"/>
        <item h="1" x="22886"/>
        <item h="1" x="22887"/>
        <item h="1" x="22888"/>
        <item h="1" x="22889"/>
        <item h="1" x="22890"/>
        <item h="1" x="22891"/>
        <item h="1" x="22892"/>
        <item h="1" x="22893"/>
        <item h="1" x="22894"/>
        <item h="1" x="22895"/>
        <item h="1" x="22896"/>
        <item h="1" x="22897"/>
        <item h="1" x="22898"/>
        <item h="1" x="22899"/>
        <item h="1" x="22900"/>
        <item h="1" x="22901"/>
        <item h="1" x="22902"/>
        <item h="1" x="22903"/>
        <item h="1" x="22904"/>
        <item h="1" x="22905"/>
        <item h="1" x="22906"/>
        <item h="1" x="22907"/>
        <item h="1" x="22908"/>
        <item h="1" x="22909"/>
        <item h="1" x="22910"/>
        <item h="1" x="22911"/>
        <item h="1" x="22912"/>
        <item h="1" x="22913"/>
        <item h="1" x="22914"/>
        <item h="1" x="22915"/>
        <item h="1" x="22916"/>
        <item h="1" x="22917"/>
        <item h="1" x="22918"/>
        <item h="1" x="22919"/>
        <item h="1" x="22920"/>
        <item h="1" x="22921"/>
        <item h="1" x="22922"/>
        <item h="1" x="22923"/>
        <item h="1" x="22924"/>
        <item h="1" x="22925"/>
        <item h="1" x="22926"/>
        <item h="1" x="22927"/>
        <item h="1" x="22928"/>
        <item h="1" x="22929"/>
        <item h="1" x="22930"/>
        <item h="1" x="22931"/>
        <item h="1" x="22932"/>
        <item h="1" x="22933"/>
        <item h="1" x="22934"/>
        <item h="1" x="22935"/>
        <item h="1" x="22936"/>
        <item h="1" x="22937"/>
        <item h="1" x="22938"/>
        <item h="1" x="22939"/>
        <item h="1" x="22940"/>
        <item h="1" x="22941"/>
        <item h="1" x="22942"/>
        <item h="1" x="22943"/>
        <item h="1" x="22944"/>
        <item h="1" x="22945"/>
        <item h="1" x="22946"/>
        <item h="1" x="22947"/>
        <item h="1" x="22948"/>
        <item h="1" x="22949"/>
        <item h="1" x="22950"/>
        <item h="1" x="22951"/>
        <item h="1" x="22952"/>
        <item h="1" x="22953"/>
        <item h="1" x="22954"/>
        <item h="1" x="22955"/>
        <item h="1" x="22956"/>
        <item h="1" x="22957"/>
        <item h="1" x="22958"/>
        <item h="1" x="22959"/>
        <item h="1" x="22960"/>
        <item h="1" x="22961"/>
        <item h="1" x="22962"/>
        <item h="1" x="22963"/>
        <item h="1" x="22964"/>
        <item h="1" x="22965"/>
        <item h="1" x="22966"/>
        <item h="1" x="22967"/>
        <item h="1" x="22968"/>
        <item h="1" x="22969"/>
        <item h="1" x="22970"/>
        <item h="1" x="22971"/>
        <item h="1" x="22972"/>
        <item h="1" x="22973"/>
        <item h="1" x="22974"/>
        <item h="1" x="22975"/>
        <item h="1" x="22976"/>
        <item h="1" x="22977"/>
        <item h="1" x="22978"/>
        <item h="1" x="22979"/>
        <item h="1" x="22980"/>
        <item h="1" x="22981"/>
        <item h="1" x="22982"/>
        <item h="1" x="22983"/>
        <item h="1" x="22984"/>
        <item h="1" x="22985"/>
        <item h="1" x="22986"/>
        <item h="1" x="22987"/>
        <item h="1" x="22988"/>
        <item h="1" x="22989"/>
        <item h="1" x="22990"/>
        <item h="1" x="22991"/>
        <item h="1" x="22992"/>
        <item h="1" x="22993"/>
        <item h="1" x="22994"/>
        <item h="1" x="22995"/>
        <item h="1" x="22996"/>
        <item h="1" x="22997"/>
        <item h="1" x="22998"/>
        <item h="1" x="22999"/>
        <item h="1" x="23000"/>
        <item h="1" x="23001"/>
        <item h="1" x="23002"/>
        <item h="1" x="23003"/>
        <item h="1" x="23004"/>
        <item h="1" x="23005"/>
        <item h="1" x="23006"/>
        <item h="1" x="23007"/>
        <item h="1" x="23008"/>
        <item h="1" x="23009"/>
        <item h="1" x="23010"/>
        <item h="1" x="23011"/>
        <item h="1" x="23012"/>
        <item h="1" x="23013"/>
        <item h="1" x="23014"/>
        <item h="1" x="23015"/>
        <item h="1" x="23016"/>
        <item h="1" x="23017"/>
        <item h="1" x="23018"/>
        <item h="1" x="23019"/>
        <item h="1" x="23020"/>
        <item h="1" x="23021"/>
        <item h="1" x="23022"/>
        <item h="1" x="23023"/>
        <item h="1" x="23024"/>
        <item h="1" x="23025"/>
        <item h="1" x="23026"/>
        <item h="1" x="23027"/>
        <item h="1" x="23028"/>
        <item h="1" x="23029"/>
        <item h="1" x="23030"/>
        <item h="1" x="23031"/>
        <item h="1" x="23032"/>
        <item h="1" x="23033"/>
        <item h="1" x="23034"/>
        <item h="1" x="23035"/>
        <item h="1" x="23036"/>
        <item h="1" x="23037"/>
        <item h="1" x="23038"/>
        <item h="1" x="23039"/>
        <item h="1" x="23040"/>
        <item h="1" x="23041"/>
        <item h="1" x="23042"/>
        <item h="1" x="23043"/>
        <item h="1" x="23044"/>
        <item h="1" x="23045"/>
        <item h="1" x="23046"/>
        <item h="1" x="23047"/>
        <item h="1" x="23048"/>
        <item h="1" x="23049"/>
        <item h="1" x="23050"/>
        <item h="1" x="23051"/>
        <item h="1" x="23052"/>
        <item h="1" x="23053"/>
        <item h="1" x="23054"/>
        <item h="1" x="23055"/>
        <item h="1" x="23056"/>
        <item h="1" x="23057"/>
        <item h="1" x="23058"/>
        <item h="1" x="23059"/>
        <item h="1" x="23060"/>
        <item h="1" x="23061"/>
        <item h="1" x="23062"/>
        <item h="1" x="23063"/>
        <item h="1" x="23064"/>
        <item h="1" x="23065"/>
        <item h="1" x="23066"/>
        <item h="1" x="23067"/>
        <item h="1" x="23068"/>
        <item h="1" x="23069"/>
        <item h="1" x="23070"/>
        <item h="1" x="23071"/>
        <item h="1" x="23072"/>
        <item h="1" x="23073"/>
        <item h="1" x="23074"/>
        <item h="1" x="23075"/>
        <item h="1" x="23076"/>
        <item h="1" x="23077"/>
        <item h="1" x="23078"/>
        <item h="1" x="23079"/>
        <item h="1" x="23080"/>
        <item h="1" x="23081"/>
        <item h="1" x="23082"/>
        <item h="1" x="23083"/>
        <item h="1" x="23084"/>
        <item h="1" x="23085"/>
        <item h="1" x="23086"/>
        <item h="1" x="23087"/>
        <item h="1" x="23088"/>
        <item h="1" x="23089"/>
        <item h="1" x="23090"/>
        <item h="1" x="23091"/>
        <item h="1" x="23092"/>
        <item h="1" x="23093"/>
        <item h="1" x="23094"/>
        <item h="1" x="23095"/>
        <item h="1" x="23096"/>
        <item h="1" x="23097"/>
        <item h="1" x="23098"/>
        <item h="1" x="23099"/>
        <item h="1" x="23100"/>
        <item h="1" x="23101"/>
        <item h="1" x="23102"/>
        <item h="1" x="23103"/>
        <item h="1" x="23104"/>
        <item h="1" x="23105"/>
        <item h="1" x="23106"/>
        <item h="1" x="23107"/>
        <item h="1" x="23108"/>
        <item h="1" x="23109"/>
        <item h="1" x="23110"/>
        <item h="1" x="23111"/>
        <item h="1" x="23112"/>
        <item h="1" x="23113"/>
        <item h="1" x="23114"/>
        <item h="1" x="23115"/>
        <item h="1" x="23116"/>
        <item h="1" x="23117"/>
        <item h="1" x="23118"/>
        <item h="1" x="23119"/>
        <item h="1" x="23120"/>
        <item h="1" x="23121"/>
        <item h="1" x="23122"/>
        <item h="1" x="23123"/>
        <item h="1" x="23124"/>
        <item h="1" x="23125"/>
        <item h="1" x="23126"/>
        <item h="1" x="23127"/>
        <item h="1" x="23128"/>
        <item h="1" x="23129"/>
        <item h="1" x="23130"/>
        <item h="1" x="23131"/>
        <item h="1" x="23132"/>
        <item h="1" x="23133"/>
        <item h="1" x="23134"/>
        <item h="1" x="23135"/>
        <item h="1" x="23136"/>
        <item h="1" x="23137"/>
        <item h="1" x="23138"/>
        <item h="1" x="23139"/>
        <item h="1" x="23140"/>
        <item h="1" x="23141"/>
        <item h="1" x="23142"/>
        <item h="1" x="23143"/>
        <item h="1" x="23144"/>
        <item h="1" x="23145"/>
        <item h="1" x="23146"/>
        <item h="1" x="23147"/>
        <item h="1" x="23148"/>
        <item h="1" x="23149"/>
        <item h="1" x="23150"/>
        <item h="1" x="23151"/>
        <item h="1" x="23152"/>
        <item h="1" x="23153"/>
        <item h="1" x="23154"/>
        <item h="1" x="23155"/>
        <item h="1" x="23156"/>
        <item h="1" x="23157"/>
        <item h="1" x="23158"/>
        <item h="1" x="23159"/>
        <item h="1" x="23160"/>
        <item h="1" x="23161"/>
        <item h="1" x="23162"/>
        <item h="1" x="23163"/>
        <item h="1" x="23164"/>
        <item h="1" x="23165"/>
        <item h="1" x="23166"/>
        <item h="1" x="23167"/>
        <item h="1" x="23168"/>
        <item h="1" x="23169"/>
        <item h="1" x="23170"/>
        <item h="1" x="23171"/>
        <item h="1" x="23172"/>
        <item h="1" x="23173"/>
        <item h="1" x="23174"/>
        <item h="1" x="23175"/>
        <item h="1" x="23176"/>
        <item h="1" x="23177"/>
        <item h="1" x="23178"/>
        <item h="1" x="23179"/>
        <item h="1" x="23180"/>
        <item h="1" x="23181"/>
        <item h="1" x="23182"/>
        <item h="1" x="23183"/>
        <item h="1" x="23184"/>
        <item h="1" x="23185"/>
        <item h="1" x="23186"/>
        <item h="1" x="23187"/>
        <item h="1" x="23188"/>
        <item h="1" x="23189"/>
        <item h="1" x="23190"/>
        <item h="1" x="23191"/>
        <item h="1" x="23192"/>
        <item h="1" x="23193"/>
        <item h="1" x="23194"/>
        <item h="1" x="23195"/>
        <item h="1" x="23196"/>
        <item h="1" x="23197"/>
        <item h="1" x="23198"/>
        <item h="1" x="23199"/>
        <item h="1" x="23200"/>
        <item h="1" x="23201"/>
        <item h="1" x="23202"/>
        <item h="1" x="23203"/>
        <item h="1" x="23204"/>
        <item h="1" x="23205"/>
        <item h="1" x="23206"/>
        <item h="1" x="23207"/>
        <item h="1" x="23208"/>
        <item h="1" x="23209"/>
        <item h="1" x="23210"/>
        <item h="1" x="23211"/>
        <item h="1" x="23212"/>
        <item h="1" x="23213"/>
        <item h="1" x="23214"/>
        <item h="1" x="23215"/>
        <item h="1" x="23216"/>
        <item h="1" x="23217"/>
        <item h="1" x="23218"/>
        <item h="1" x="23219"/>
        <item h="1" x="23220"/>
        <item h="1" x="23221"/>
        <item h="1" x="23222"/>
        <item h="1" x="23223"/>
        <item h="1" x="23224"/>
        <item h="1" x="23225"/>
        <item h="1" x="23226"/>
        <item h="1" x="23227"/>
        <item h="1" x="23228"/>
        <item h="1" x="23229"/>
        <item h="1" x="23230"/>
        <item h="1" x="23231"/>
        <item h="1" x="23232"/>
        <item h="1" x="23233"/>
        <item h="1" x="23234"/>
        <item h="1" x="23235"/>
        <item h="1" x="23236"/>
        <item h="1" x="23237"/>
        <item h="1" x="23238"/>
        <item h="1" x="23239"/>
        <item h="1" x="23240"/>
        <item h="1" x="23241"/>
        <item h="1" x="23242"/>
        <item h="1" x="23243"/>
        <item h="1" x="23244"/>
        <item h="1" x="23245"/>
        <item h="1" x="23246"/>
        <item h="1" x="23247"/>
        <item h="1" x="23248"/>
        <item h="1" x="23249"/>
        <item h="1" x="23250"/>
        <item h="1" x="23251"/>
        <item h="1" x="23252"/>
        <item h="1" x="23253"/>
        <item h="1" x="23254"/>
        <item h="1" x="23255"/>
        <item h="1" x="23256"/>
        <item h="1" x="23257"/>
        <item h="1" x="23258"/>
        <item h="1" x="23259"/>
        <item h="1" x="23260"/>
        <item h="1" x="23261"/>
        <item h="1" x="23262"/>
        <item h="1" x="23263"/>
        <item h="1" x="23264"/>
        <item h="1" x="23265"/>
        <item h="1" x="23266"/>
        <item h="1" x="23267"/>
        <item h="1" x="23268"/>
        <item h="1" x="23269"/>
        <item h="1" x="23270"/>
        <item h="1" x="23271"/>
        <item h="1" x="23272"/>
        <item h="1" x="23273"/>
        <item h="1" x="23274"/>
        <item h="1" x="23275"/>
        <item h="1" x="23276"/>
        <item h="1" x="23277"/>
        <item h="1" x="23278"/>
        <item h="1" x="23279"/>
        <item h="1" x="23280"/>
        <item h="1" x="23281"/>
        <item h="1" x="23282"/>
        <item h="1" x="23283"/>
        <item h="1" x="23284"/>
        <item h="1" x="23285"/>
        <item h="1" x="23286"/>
        <item h="1" x="23287"/>
        <item h="1" x="23288"/>
        <item h="1" x="23289"/>
        <item h="1" x="23290"/>
        <item h="1" x="23291"/>
        <item h="1" x="23292"/>
        <item h="1" x="23293"/>
        <item h="1" x="23294"/>
        <item h="1" x="23295"/>
        <item h="1" x="23296"/>
        <item h="1" x="23297"/>
        <item h="1" x="23298"/>
        <item h="1" x="23299"/>
        <item h="1" x="23300"/>
        <item h="1" x="23301"/>
        <item h="1" x="23302"/>
        <item h="1" x="23303"/>
        <item h="1" x="23304"/>
        <item h="1" x="23305"/>
        <item h="1" x="23306"/>
        <item h="1" x="23307"/>
        <item h="1" x="23308"/>
        <item h="1" x="23309"/>
        <item h="1" x="23310"/>
        <item h="1" x="23311"/>
        <item h="1" x="23312"/>
        <item h="1" x="23313"/>
        <item h="1" x="23314"/>
        <item h="1" x="23315"/>
        <item h="1" x="23316"/>
        <item h="1" x="23317"/>
        <item h="1" x="23318"/>
        <item h="1" x="23319"/>
        <item h="1" x="23320"/>
        <item h="1" x="23321"/>
        <item h="1" x="23322"/>
        <item h="1" x="23323"/>
        <item h="1" x="23324"/>
        <item h="1" x="23325"/>
        <item h="1" x="23326"/>
        <item h="1" x="23327"/>
        <item h="1" x="23328"/>
        <item h="1" x="23329"/>
        <item h="1" x="23330"/>
        <item h="1" x="23331"/>
        <item h="1" x="23332"/>
        <item h="1" x="23333"/>
        <item h="1" x="23334"/>
        <item h="1" x="23335"/>
        <item h="1" x="23336"/>
        <item h="1" x="23337"/>
        <item h="1" x="23338"/>
        <item h="1" x="23339"/>
        <item h="1" x="23340"/>
        <item h="1" x="23341"/>
        <item h="1" x="23342"/>
        <item h="1" x="23343"/>
        <item h="1" x="23344"/>
        <item h="1" x="23345"/>
        <item h="1" x="23346"/>
        <item h="1" x="23347"/>
        <item h="1" x="23348"/>
        <item h="1" x="23349"/>
        <item h="1" x="23350"/>
        <item h="1" x="23351"/>
        <item h="1" x="23352"/>
        <item h="1" x="23353"/>
        <item h="1" x="23354"/>
        <item h="1" x="23355"/>
        <item h="1" x="23356"/>
        <item h="1" x="23357"/>
        <item h="1" x="23358"/>
        <item h="1" x="23359"/>
        <item h="1" x="23360"/>
        <item h="1" x="23361"/>
        <item h="1" x="23362"/>
        <item h="1" x="23363"/>
        <item h="1" x="23364"/>
        <item h="1" x="23365"/>
        <item h="1" x="23366"/>
        <item h="1" x="23367"/>
        <item h="1" x="23368"/>
        <item h="1" x="23369"/>
        <item h="1" x="23370"/>
        <item h="1" x="23371"/>
        <item h="1" x="23372"/>
        <item h="1" x="23373"/>
        <item h="1" x="23374"/>
        <item h="1" x="23375"/>
        <item h="1" x="23376"/>
        <item h="1" x="23377"/>
        <item h="1" x="23378"/>
        <item h="1" x="23379"/>
        <item h="1" x="23380"/>
        <item h="1" x="23381"/>
        <item h="1" x="23382"/>
        <item h="1" x="23383"/>
        <item h="1" x="23384"/>
        <item h="1" x="23385"/>
        <item h="1" x="23386"/>
        <item h="1" x="23387"/>
        <item h="1" x="23388"/>
        <item h="1" x="23389"/>
        <item h="1" x="23390"/>
        <item h="1" x="23391"/>
        <item h="1" x="23392"/>
        <item h="1" x="23393"/>
        <item h="1" x="23394"/>
        <item h="1" x="23395"/>
        <item h="1" x="23396"/>
        <item h="1" x="23397"/>
        <item h="1" x="23398"/>
        <item h="1" x="23399"/>
        <item h="1" x="23400"/>
        <item h="1" x="23401"/>
        <item h="1" x="23402"/>
        <item h="1" x="23403"/>
        <item h="1" x="23404"/>
        <item h="1" x="23405"/>
        <item h="1" x="23406"/>
        <item h="1" x="23407"/>
        <item h="1" x="23408"/>
        <item h="1" x="23409"/>
        <item h="1" x="23410"/>
        <item h="1" x="23411"/>
        <item h="1" x="23412"/>
        <item h="1" x="23413"/>
        <item h="1" x="23414"/>
        <item h="1" x="23415"/>
        <item h="1" x="23416"/>
        <item h="1" x="23417"/>
        <item h="1" x="23418"/>
        <item h="1" x="23419"/>
        <item h="1" x="23420"/>
        <item h="1" x="23421"/>
        <item h="1" x="23422"/>
        <item h="1" x="23423"/>
        <item h="1" x="23424"/>
        <item h="1" x="23425"/>
        <item h="1" x="23426"/>
        <item h="1" x="23427"/>
        <item h="1" x="23428"/>
        <item h="1" x="23429"/>
        <item h="1" x="23430"/>
        <item h="1" x="23431"/>
        <item h="1" x="23432"/>
        <item h="1" x="23433"/>
        <item h="1" x="23434"/>
        <item h="1" x="23435"/>
        <item h="1" x="23436"/>
        <item h="1" x="23437"/>
        <item h="1" x="23438"/>
        <item h="1" x="23439"/>
        <item h="1" x="23440"/>
        <item h="1" x="23441"/>
        <item h="1" x="23442"/>
        <item h="1" x="23443"/>
        <item h="1" x="23444"/>
        <item h="1" x="23445"/>
        <item h="1" x="23446"/>
        <item h="1" x="23447"/>
        <item h="1" x="23448"/>
        <item h="1" x="23449"/>
        <item h="1" x="23450"/>
        <item h="1" x="23451"/>
        <item h="1" x="23452"/>
        <item h="1" x="23453"/>
        <item h="1" x="23454"/>
        <item h="1" x="23455"/>
        <item h="1" x="23456"/>
        <item h="1" x="23457"/>
        <item h="1" x="23458"/>
        <item h="1" x="23459"/>
        <item h="1" x="23460"/>
        <item h="1" x="23461"/>
        <item h="1" x="23462"/>
        <item h="1" x="23463"/>
        <item h="1" x="23464"/>
        <item h="1" x="23465"/>
        <item h="1" x="23466"/>
        <item h="1" x="23467"/>
        <item h="1" x="23468"/>
        <item h="1" x="23469"/>
        <item h="1" x="23470"/>
        <item h="1" x="23471"/>
        <item h="1" x="23472"/>
        <item h="1" x="23473"/>
        <item h="1" x="23474"/>
        <item h="1" x="23475"/>
        <item h="1" x="23476"/>
        <item h="1" x="23477"/>
        <item h="1" x="23478"/>
        <item h="1" x="23479"/>
        <item h="1" x="23480"/>
        <item h="1" x="23481"/>
        <item h="1" x="23482"/>
        <item h="1" x="23483"/>
        <item h="1" x="23484"/>
        <item h="1" x="23485"/>
        <item h="1" x="23486"/>
        <item h="1" x="23487"/>
        <item h="1" x="23488"/>
        <item h="1" x="23489"/>
        <item h="1" x="23490"/>
        <item h="1" x="23491"/>
        <item h="1" x="23492"/>
        <item h="1" x="23493"/>
        <item h="1" x="23494"/>
        <item h="1" x="23495"/>
        <item h="1" x="23496"/>
        <item h="1" x="23497"/>
        <item h="1" x="23498"/>
        <item h="1" x="23499"/>
        <item h="1" x="23500"/>
        <item h="1" x="23501"/>
        <item h="1" x="23502"/>
        <item h="1" x="23503"/>
        <item h="1" x="23504"/>
        <item h="1" x="23505"/>
        <item h="1" x="23506"/>
        <item h="1" x="23507"/>
        <item h="1" x="23508"/>
        <item h="1" x="23509"/>
        <item h="1" x="23510"/>
        <item h="1" x="23511"/>
        <item h="1" x="23512"/>
        <item h="1" x="23513"/>
        <item h="1" x="23514"/>
        <item h="1" x="23515"/>
        <item h="1" x="23516"/>
        <item h="1" x="23517"/>
        <item h="1" x="23518"/>
        <item h="1" x="23519"/>
        <item h="1" x="23520"/>
        <item h="1" x="23521"/>
        <item h="1" x="23522"/>
        <item h="1" x="23523"/>
        <item h="1" x="23524"/>
        <item h="1" x="23525"/>
        <item h="1" x="23526"/>
        <item h="1" x="23527"/>
        <item h="1" x="23528"/>
        <item h="1" x="23529"/>
        <item h="1" x="23530"/>
        <item h="1" x="23531"/>
        <item h="1" x="23532"/>
        <item h="1" x="23533"/>
        <item h="1" x="23534"/>
        <item h="1" x="23535"/>
        <item h="1" x="23536"/>
        <item h="1" x="23537"/>
        <item h="1" x="23538"/>
        <item h="1" x="23539"/>
        <item h="1" x="23540"/>
        <item h="1" x="23541"/>
        <item h="1" x="23542"/>
        <item h="1" x="23543"/>
        <item h="1" x="23544"/>
        <item h="1" x="23545"/>
        <item h="1" x="23546"/>
        <item h="1" x="23547"/>
        <item h="1" x="23548"/>
        <item h="1" x="23549"/>
        <item h="1" x="23550"/>
        <item h="1" x="23551"/>
        <item h="1" x="23552"/>
        <item h="1" x="23553"/>
        <item h="1" x="23554"/>
        <item h="1" x="23555"/>
        <item h="1" x="23556"/>
        <item h="1" x="23557"/>
        <item h="1" x="23558"/>
        <item h="1" x="23559"/>
        <item h="1" x="23560"/>
        <item h="1" x="23561"/>
        <item h="1" x="23562"/>
        <item h="1" x="23563"/>
        <item h="1" x="23564"/>
        <item h="1" x="23565"/>
        <item h="1" x="23566"/>
        <item h="1" x="23567"/>
        <item h="1" x="23568"/>
        <item h="1" x="23569"/>
        <item h="1" x="23570"/>
        <item h="1" x="23571"/>
        <item h="1" x="23572"/>
        <item h="1" x="23573"/>
        <item h="1" x="23574"/>
        <item h="1" x="23575"/>
        <item h="1" x="23576"/>
        <item h="1" x="23577"/>
        <item h="1" x="23578"/>
        <item h="1" x="23579"/>
        <item h="1" x="23580"/>
        <item h="1" x="23581"/>
        <item h="1" x="23582"/>
        <item h="1" x="23583"/>
        <item h="1" x="23584"/>
        <item h="1" x="23585"/>
        <item h="1" x="23586"/>
        <item h="1" x="23587"/>
        <item h="1" x="23588"/>
        <item h="1" x="23589"/>
        <item h="1" x="23590"/>
        <item h="1" x="23591"/>
        <item h="1" x="23592"/>
        <item h="1" x="23593"/>
        <item h="1" x="23594"/>
        <item h="1" x="23595"/>
        <item h="1" x="23596"/>
        <item h="1" x="23597"/>
        <item h="1" x="23598"/>
        <item h="1" x="23599"/>
        <item h="1" x="23600"/>
        <item h="1" x="23601"/>
        <item h="1" x="23602"/>
        <item h="1" x="23603"/>
        <item h="1" x="23604"/>
        <item h="1" x="23605"/>
        <item h="1" x="23606"/>
        <item h="1" x="23607"/>
        <item h="1" x="23608"/>
        <item h="1" x="23609"/>
        <item h="1" x="23610"/>
        <item h="1" x="23611"/>
        <item h="1" x="23612"/>
        <item h="1" x="23613"/>
        <item h="1" x="23614"/>
        <item h="1" x="23615"/>
        <item h="1" x="23616"/>
        <item h="1" x="23617"/>
        <item h="1" x="23618"/>
        <item h="1" x="23619"/>
        <item h="1" x="23620"/>
        <item h="1" x="23621"/>
        <item h="1" x="23622"/>
        <item h="1" x="23623"/>
        <item h="1" x="23624"/>
        <item h="1" x="23625"/>
        <item h="1" x="23626"/>
        <item h="1" x="23627"/>
        <item h="1" x="23628"/>
        <item h="1" x="23629"/>
        <item h="1" x="23630"/>
        <item h="1" x="23631"/>
        <item h="1" x="23632"/>
        <item h="1" x="23633"/>
        <item h="1" x="23634"/>
        <item h="1" x="23635"/>
        <item h="1" x="23636"/>
        <item h="1" x="23637"/>
        <item h="1" x="23638"/>
        <item h="1" x="23639"/>
        <item h="1" x="23640"/>
        <item h="1" x="23641"/>
        <item h="1" x="23642"/>
        <item h="1" x="23643"/>
        <item h="1" x="23644"/>
        <item h="1" x="23645"/>
        <item h="1" x="23646"/>
        <item h="1" x="23647"/>
        <item h="1" x="23648"/>
        <item h="1" x="23649"/>
        <item h="1" x="23650"/>
        <item h="1" x="23651"/>
        <item h="1" x="23652"/>
        <item h="1" x="23653"/>
        <item h="1" x="23654"/>
        <item h="1" x="23655"/>
        <item h="1" x="23656"/>
        <item h="1" x="23657"/>
        <item h="1" x="23658"/>
        <item h="1" x="23659"/>
        <item h="1" x="23660"/>
        <item h="1" x="23661"/>
        <item h="1" x="23662"/>
        <item h="1" x="23663"/>
        <item h="1" x="23664"/>
        <item h="1" x="23665"/>
        <item h="1" x="23666"/>
        <item h="1" x="23667"/>
        <item h="1" x="23668"/>
        <item h="1" x="23669"/>
        <item h="1" x="23670"/>
        <item h="1" x="23671"/>
        <item h="1" x="23672"/>
        <item h="1" x="23673"/>
        <item h="1" x="23674"/>
        <item h="1" x="23675"/>
        <item h="1" x="23676"/>
        <item h="1" x="23677"/>
        <item h="1" x="23678"/>
        <item h="1" x="23679"/>
        <item h="1" x="23680"/>
        <item h="1" x="23681"/>
        <item h="1" x="23682"/>
        <item h="1" x="23683"/>
        <item h="1" x="23684"/>
        <item h="1" x="23685"/>
        <item h="1" x="23686"/>
        <item h="1" x="23687"/>
        <item h="1" x="23688"/>
        <item h="1" x="23689"/>
        <item h="1" x="23690"/>
        <item h="1" x="23691"/>
        <item h="1" x="23692"/>
        <item h="1" x="23693"/>
        <item h="1" x="23694"/>
        <item h="1" x="23695"/>
        <item h="1" x="23696"/>
        <item h="1" x="23697"/>
        <item h="1" x="23698"/>
        <item h="1" x="23699"/>
        <item h="1" x="23700"/>
        <item h="1" x="23701"/>
        <item h="1" x="23702"/>
        <item h="1" x="23703"/>
        <item h="1" x="23704"/>
        <item h="1" x="23705"/>
        <item h="1" x="23706"/>
        <item h="1" x="23707"/>
        <item h="1" x="23708"/>
        <item h="1" x="23709"/>
        <item h="1" x="23710"/>
        <item h="1" x="23711"/>
        <item h="1" x="23712"/>
        <item h="1" x="23713"/>
        <item h="1" x="23714"/>
        <item h="1" x="23715"/>
        <item h="1" x="23716"/>
        <item h="1" x="23717"/>
        <item h="1" x="23718"/>
        <item h="1" x="23719"/>
        <item h="1" x="23720"/>
        <item h="1" x="23721"/>
        <item h="1" x="23722"/>
        <item h="1" x="23723"/>
        <item h="1" x="23724"/>
        <item h="1" x="23725"/>
        <item h="1" x="23726"/>
        <item h="1" x="23727"/>
        <item h="1" x="23728"/>
        <item h="1" x="23729"/>
        <item h="1" x="23730"/>
        <item h="1" x="23731"/>
        <item h="1" x="23732"/>
        <item h="1" x="23733"/>
        <item h="1" x="23734"/>
        <item h="1" x="23735"/>
        <item h="1" x="23736"/>
        <item h="1" x="23737"/>
        <item h="1" x="23738"/>
        <item h="1" x="23739"/>
        <item h="1" x="23740"/>
        <item h="1" x="23741"/>
        <item h="1" x="23742"/>
        <item h="1" x="23743"/>
        <item h="1" x="23744"/>
        <item h="1" x="23745"/>
        <item h="1" x="23746"/>
        <item h="1" x="23747"/>
        <item h="1" x="23748"/>
        <item h="1" x="23749"/>
        <item h="1" x="23750"/>
        <item h="1" x="23751"/>
        <item h="1" x="23752"/>
        <item h="1" x="23753"/>
        <item h="1" x="23754"/>
        <item h="1" x="23755"/>
        <item h="1" x="23756"/>
        <item h="1" x="23757"/>
        <item h="1" x="23758"/>
        <item h="1" x="23759"/>
        <item h="1" x="23760"/>
        <item h="1" x="23761"/>
        <item h="1" x="23762"/>
        <item h="1" x="23763"/>
        <item h="1" x="23764"/>
        <item h="1" x="23765"/>
        <item h="1" x="23766"/>
        <item h="1" x="23767"/>
        <item h="1" x="23768"/>
        <item h="1" x="23769"/>
        <item h="1" x="23770"/>
        <item h="1" x="23771"/>
        <item h="1" x="23772"/>
        <item h="1" x="23773"/>
        <item h="1" x="23774"/>
        <item h="1" x="23775"/>
        <item h="1" x="23776"/>
        <item h="1" x="23777"/>
        <item h="1" x="23778"/>
        <item h="1" x="23779"/>
        <item h="1" x="23780"/>
        <item h="1" x="23781"/>
        <item h="1" x="23782"/>
        <item h="1" x="23783"/>
        <item h="1" x="23784"/>
        <item h="1" x="23785"/>
        <item h="1" x="23786"/>
        <item h="1" x="23787"/>
        <item h="1" x="23788"/>
        <item h="1" x="23789"/>
        <item h="1" x="23790"/>
        <item h="1" x="23791"/>
        <item h="1" x="23792"/>
        <item h="1" x="23793"/>
        <item h="1" x="23794"/>
        <item h="1" x="23795"/>
        <item h="1" x="23796"/>
        <item h="1" x="23797"/>
        <item h="1" x="23798"/>
        <item h="1" x="23799"/>
        <item h="1" x="23800"/>
        <item h="1" x="23801"/>
        <item h="1" x="23802"/>
        <item h="1" x="23803"/>
        <item h="1" x="23804"/>
        <item h="1" x="23805"/>
        <item h="1" x="23806"/>
        <item h="1" x="23807"/>
        <item h="1" x="23808"/>
        <item h="1" x="23809"/>
        <item h="1" x="23810"/>
        <item h="1" x="23811"/>
        <item h="1" x="23812"/>
        <item h="1" x="23813"/>
        <item h="1" x="23814"/>
        <item h="1" x="23815"/>
        <item h="1" x="23816"/>
        <item h="1" x="23817"/>
        <item h="1" x="23818"/>
        <item h="1" x="23819"/>
        <item h="1" x="23820"/>
        <item h="1" x="23821"/>
        <item h="1" x="23822"/>
        <item h="1" x="23823"/>
        <item h="1" x="23824"/>
        <item h="1" x="23825"/>
        <item h="1" x="23826"/>
        <item h="1" x="23827"/>
        <item h="1" x="23828"/>
        <item h="1" x="23829"/>
        <item h="1" x="23830"/>
        <item h="1" x="23831"/>
        <item h="1" x="23832"/>
        <item h="1" x="23833"/>
        <item h="1" x="23834"/>
        <item h="1" x="23835"/>
        <item h="1" x="23836"/>
        <item h="1" x="23837"/>
        <item h="1" x="23838"/>
        <item h="1" x="23839"/>
        <item h="1" x="23840"/>
        <item h="1" x="23841"/>
        <item h="1" x="23842"/>
        <item h="1" x="23843"/>
        <item h="1" x="23844"/>
        <item h="1" x="23845"/>
        <item h="1" x="23846"/>
        <item h="1" x="23847"/>
        <item h="1" x="23848"/>
        <item h="1" x="23849"/>
        <item h="1" x="23850"/>
        <item h="1" x="23851"/>
        <item h="1" x="23852"/>
        <item h="1" x="23853"/>
        <item h="1" x="23854"/>
        <item h="1" x="23855"/>
        <item h="1" x="23856"/>
        <item h="1" x="23857"/>
        <item h="1" x="23858"/>
        <item h="1" x="23859"/>
        <item h="1" x="23860"/>
        <item h="1" x="23861"/>
        <item h="1" x="23862"/>
        <item h="1" x="23863"/>
        <item h="1" x="23864"/>
        <item h="1" x="23865"/>
        <item h="1" x="23866"/>
        <item h="1" x="23867"/>
        <item h="1" x="23868"/>
        <item h="1" x="23869"/>
        <item h="1" x="23870"/>
        <item h="1" x="23871"/>
        <item h="1" x="23872"/>
        <item h="1" x="23873"/>
        <item h="1" x="23874"/>
        <item h="1" x="23875"/>
        <item h="1" x="23876"/>
        <item h="1" x="23877"/>
        <item h="1" x="23878"/>
        <item h="1" x="23879"/>
        <item h="1" x="23880"/>
        <item h="1" x="23881"/>
        <item h="1" x="23882"/>
        <item h="1" x="23883"/>
        <item h="1" x="23884"/>
        <item h="1" x="23885"/>
        <item h="1" x="23886"/>
        <item h="1" x="23887"/>
        <item h="1" x="23888"/>
        <item h="1" x="23889"/>
        <item h="1" x="23890"/>
        <item h="1" x="23891"/>
        <item h="1" x="23892"/>
        <item h="1" x="23893"/>
        <item h="1" x="23894"/>
        <item h="1" x="23895"/>
        <item h="1" x="23896"/>
        <item h="1" x="23897"/>
        <item h="1" x="23898"/>
        <item h="1" x="23899"/>
        <item h="1" x="23900"/>
        <item h="1" x="23901"/>
        <item h="1" x="23902"/>
        <item h="1" x="23903"/>
        <item h="1" x="23904"/>
        <item h="1" x="23905"/>
        <item h="1" x="23906"/>
        <item h="1" x="23907"/>
        <item h="1" x="23908"/>
        <item h="1" x="23909"/>
        <item h="1" x="23910"/>
        <item h="1" x="23911"/>
        <item h="1" x="23912"/>
        <item h="1" x="23913"/>
        <item h="1" x="23914"/>
        <item h="1" x="23915"/>
        <item h="1" x="23916"/>
        <item h="1" x="23917"/>
        <item h="1" x="23918"/>
        <item h="1" x="23919"/>
        <item h="1" x="23920"/>
        <item h="1" x="23921"/>
        <item h="1" x="23922"/>
        <item h="1" x="23923"/>
        <item h="1" x="23924"/>
        <item h="1" x="23925"/>
        <item h="1" x="23926"/>
        <item h="1" x="23927"/>
        <item h="1" x="23928"/>
        <item h="1" x="23929"/>
        <item h="1" x="23930"/>
        <item h="1" x="23931"/>
        <item h="1" x="23932"/>
        <item h="1" x="23933"/>
        <item h="1" x="23934"/>
        <item h="1" x="23935"/>
        <item h="1" x="23936"/>
        <item h="1" x="23937"/>
        <item h="1" x="23938"/>
        <item h="1" x="23939"/>
        <item h="1" x="23940"/>
        <item h="1" x="23941"/>
        <item h="1" x="23942"/>
        <item h="1" x="23943"/>
        <item h="1" x="23944"/>
        <item h="1" x="23945"/>
        <item h="1" x="23946"/>
        <item h="1" x="23947"/>
        <item h="1" x="23948"/>
        <item h="1" x="23949"/>
        <item h="1" x="23950"/>
        <item h="1" x="23951"/>
        <item h="1" x="23952"/>
        <item h="1" x="23953"/>
        <item h="1" x="23954"/>
        <item h="1" x="23955"/>
        <item h="1" x="23956"/>
        <item h="1" x="23957"/>
        <item h="1" x="23958"/>
        <item h="1" x="23959"/>
        <item h="1" x="23960"/>
        <item h="1" x="23961"/>
        <item h="1" x="23962"/>
        <item h="1" x="23963"/>
        <item h="1" x="23964"/>
        <item h="1" x="23965"/>
        <item h="1" x="23966"/>
        <item h="1" x="23967"/>
        <item h="1" x="23968"/>
        <item h="1" x="23969"/>
        <item h="1" x="23970"/>
        <item h="1" x="23971"/>
        <item h="1" x="23972"/>
        <item h="1" x="23973"/>
        <item h="1" x="23974"/>
        <item h="1" x="23975"/>
        <item h="1" x="23976"/>
        <item h="1" x="23977"/>
        <item h="1" x="23978"/>
        <item h="1" x="23979"/>
        <item h="1" x="23980"/>
        <item h="1" x="23981"/>
        <item h="1" x="23982"/>
        <item h="1" x="23983"/>
        <item h="1" x="23984"/>
        <item h="1" x="23985"/>
        <item h="1" x="23986"/>
        <item h="1" x="23987"/>
        <item h="1" x="23988"/>
        <item h="1" x="23989"/>
        <item h="1" x="23990"/>
        <item h="1" x="23991"/>
        <item h="1" x="23992"/>
        <item h="1" x="23993"/>
        <item h="1" x="23994"/>
        <item h="1" x="23995"/>
        <item h="1" x="23996"/>
        <item h="1" x="23997"/>
        <item h="1" x="23998"/>
        <item h="1" x="23999"/>
        <item h="1" x="24000"/>
        <item h="1" x="24001"/>
        <item h="1" x="24002"/>
        <item h="1" x="24003"/>
        <item h="1" x="24004"/>
        <item h="1" x="24005"/>
        <item h="1" x="24006"/>
        <item h="1" x="24007"/>
        <item h="1" x="24008"/>
        <item h="1" x="24009"/>
        <item h="1" x="24010"/>
        <item h="1" x="24011"/>
        <item h="1" x="24012"/>
        <item h="1" x="24013"/>
        <item h="1" x="24014"/>
        <item h="1" x="24015"/>
        <item h="1" x="24016"/>
        <item h="1" x="24017"/>
        <item h="1" x="24018"/>
        <item h="1" x="24019"/>
        <item h="1" x="24020"/>
        <item h="1" x="24021"/>
        <item h="1" x="24022"/>
        <item h="1" x="24023"/>
        <item h="1" x="24024"/>
        <item h="1" x="24025"/>
        <item h="1" x="24026"/>
        <item h="1" x="24027"/>
        <item h="1" x="24028"/>
        <item h="1" x="24029"/>
        <item h="1" x="24030"/>
        <item h="1" x="24031"/>
        <item h="1" x="24032"/>
        <item h="1" x="24033"/>
        <item h="1" x="24034"/>
        <item h="1" x="24035"/>
        <item h="1" x="24036"/>
        <item h="1" x="24037"/>
        <item h="1" x="24038"/>
        <item h="1" x="24039"/>
        <item h="1" x="24040"/>
        <item h="1" x="24041"/>
        <item h="1" x="24042"/>
        <item h="1" x="24043"/>
        <item h="1" x="24044"/>
        <item h="1" x="24045"/>
        <item h="1" x="24046"/>
        <item h="1" x="24047"/>
        <item h="1" x="24048"/>
        <item h="1" x="24049"/>
        <item h="1" x="24050"/>
        <item h="1" x="24051"/>
        <item h="1" x="24052"/>
        <item h="1" x="24053"/>
        <item h="1" x="24054"/>
        <item h="1" x="24055"/>
        <item h="1" x="24056"/>
        <item h="1" x="24057"/>
        <item h="1" x="24058"/>
        <item h="1" x="24059"/>
        <item h="1" x="24060"/>
        <item h="1" x="24061"/>
        <item h="1" x="24062"/>
        <item h="1" x="24063"/>
        <item h="1" x="24064"/>
        <item h="1" x="24065"/>
        <item h="1" x="24066"/>
        <item h="1" x="24067"/>
        <item h="1" x="24068"/>
        <item h="1" x="24069"/>
        <item h="1" x="24070"/>
        <item h="1" x="24071"/>
        <item h="1" x="24072"/>
        <item h="1" x="24073"/>
        <item h="1" x="24074"/>
        <item h="1" x="24075"/>
        <item h="1" x="24076"/>
        <item h="1" x="24077"/>
        <item h="1" x="24078"/>
        <item h="1" x="24079"/>
        <item h="1" x="24080"/>
        <item h="1" x="24081"/>
        <item h="1" x="24082"/>
        <item h="1" x="24083"/>
        <item h="1" x="24084"/>
        <item h="1" x="24085"/>
        <item h="1" x="24086"/>
        <item h="1" x="24087"/>
        <item h="1" x="24088"/>
        <item h="1" x="24089"/>
        <item h="1" x="24090"/>
        <item h="1" x="24091"/>
        <item h="1" x="24092"/>
        <item h="1" x="24093"/>
        <item h="1" x="24094"/>
        <item h="1" x="24095"/>
        <item h="1" x="24096"/>
        <item h="1" x="24097"/>
        <item h="1" x="24098"/>
        <item h="1" x="24099"/>
        <item h="1" x="24100"/>
        <item h="1" x="24101"/>
        <item h="1" x="24102"/>
        <item h="1" x="24103"/>
        <item h="1" x="24104"/>
        <item h="1" x="24105"/>
        <item h="1" x="24106"/>
        <item h="1" x="24107"/>
        <item h="1" x="24108"/>
        <item h="1" x="24109"/>
        <item h="1" x="24110"/>
        <item h="1" x="24111"/>
        <item h="1" x="24112"/>
        <item h="1" x="24113"/>
        <item h="1" x="24114"/>
        <item h="1" x="24115"/>
        <item h="1" x="24116"/>
        <item h="1" x="24117"/>
        <item h="1" x="24118"/>
        <item h="1" x="24119"/>
        <item h="1" x="24120"/>
        <item h="1" x="24121"/>
        <item h="1" x="24122"/>
        <item h="1" x="24123"/>
        <item h="1" x="24124"/>
        <item h="1" x="24125"/>
        <item h="1" x="24126"/>
        <item h="1" x="24127"/>
        <item h="1" x="24128"/>
        <item h="1" x="24129"/>
        <item h="1" x="24130"/>
        <item h="1" x="24131"/>
        <item h="1" x="24132"/>
        <item h="1" x="24133"/>
        <item h="1" x="24134"/>
        <item h="1" x="24135"/>
        <item h="1" x="24136"/>
        <item h="1" x="24137"/>
        <item h="1" x="24138"/>
        <item h="1" x="24139"/>
        <item h="1" x="24140"/>
        <item h="1" x="24141"/>
        <item h="1" x="24142"/>
        <item h="1" x="24143"/>
        <item h="1" x="24144"/>
        <item h="1" x="24145"/>
        <item h="1" x="24146"/>
        <item h="1" x="24147"/>
        <item h="1" x="24148"/>
        <item h="1" x="24149"/>
        <item h="1" x="24150"/>
        <item h="1" x="24151"/>
        <item h="1" x="24152"/>
        <item h="1" x="24153"/>
        <item h="1" x="24154"/>
        <item h="1" x="24155"/>
        <item h="1" x="24156"/>
        <item h="1" x="24157"/>
        <item h="1" x="24158"/>
        <item h="1" x="24159"/>
        <item h="1" x="24160"/>
        <item h="1" x="24161"/>
        <item h="1" x="24162"/>
        <item h="1" x="24163"/>
        <item h="1" x="24164"/>
        <item h="1" x="24165"/>
        <item h="1" x="24166"/>
        <item h="1" x="24167"/>
        <item h="1" x="24168"/>
        <item h="1" x="24169"/>
        <item h="1" x="24170"/>
        <item h="1" x="24171"/>
        <item h="1" x="24172"/>
        <item h="1" x="24173"/>
        <item h="1" x="24174"/>
        <item h="1" x="24175"/>
        <item h="1" x="24176"/>
        <item h="1" x="24177"/>
        <item h="1" x="24178"/>
        <item h="1" x="24179"/>
        <item h="1" x="24180"/>
        <item h="1" x="24181"/>
        <item h="1" x="24182"/>
        <item h="1" x="24183"/>
        <item h="1" x="24184"/>
        <item h="1" x="24185"/>
        <item h="1" x="24186"/>
        <item h="1" x="24187"/>
        <item h="1" x="24188"/>
        <item h="1" x="24189"/>
        <item h="1" x="24190"/>
        <item h="1" x="24191"/>
        <item h="1" x="24192"/>
        <item h="1" x="24193"/>
        <item h="1" x="24194"/>
        <item h="1" x="24195"/>
        <item h="1" x="24196"/>
        <item h="1" x="24197"/>
        <item h="1" x="24198"/>
        <item h="1" x="24199"/>
        <item h="1" x="24200"/>
        <item h="1" x="24201"/>
        <item h="1" x="24202"/>
        <item h="1" x="24203"/>
        <item h="1" x="24204"/>
        <item h="1" x="24205"/>
        <item h="1" x="24206"/>
        <item h="1" x="24207"/>
        <item h="1" x="24208"/>
        <item h="1" x="24209"/>
        <item h="1" x="24210"/>
        <item h="1" x="24211"/>
        <item h="1" x="24212"/>
        <item h="1" x="24213"/>
        <item h="1" x="24214"/>
        <item h="1" x="24215"/>
        <item h="1" x="24216"/>
        <item h="1" x="24217"/>
        <item h="1" x="24218"/>
        <item h="1" x="24219"/>
        <item h="1" x="24220"/>
        <item h="1" x="24221"/>
        <item h="1" x="24222"/>
        <item h="1" x="24223"/>
        <item h="1" x="24224"/>
        <item h="1" x="24225"/>
        <item h="1" x="24226"/>
        <item h="1" x="24227"/>
        <item h="1" x="24228"/>
        <item h="1" x="24229"/>
        <item h="1" x="24230"/>
        <item h="1" x="24231"/>
        <item h="1" x="24232"/>
        <item h="1" x="24233"/>
        <item h="1" x="24234"/>
        <item h="1" x="24235"/>
        <item h="1" x="24236"/>
        <item h="1" x="24237"/>
        <item h="1" x="24238"/>
        <item h="1" x="24239"/>
        <item h="1" x="24240"/>
        <item h="1" x="24241"/>
        <item h="1" x="24242"/>
        <item h="1" x="24243"/>
        <item h="1" x="24244"/>
        <item h="1" x="24245"/>
        <item h="1" x="24246"/>
        <item h="1" x="24247"/>
        <item h="1" x="24248"/>
        <item h="1" x="24249"/>
        <item h="1" x="24250"/>
        <item h="1" x="24251"/>
        <item h="1" x="24252"/>
        <item h="1" x="24253"/>
        <item h="1" x="24254"/>
        <item h="1" x="24255"/>
        <item h="1" x="24256"/>
        <item h="1" x="24257"/>
        <item h="1" x="24258"/>
        <item h="1" x="24259"/>
        <item h="1" x="24260"/>
        <item h="1" x="24261"/>
        <item h="1" x="24262"/>
        <item h="1" x="24263"/>
        <item h="1" x="24264"/>
        <item h="1" x="24265"/>
        <item h="1" x="24266"/>
        <item h="1" x="24267"/>
        <item h="1" x="24268"/>
        <item h="1" x="24269"/>
        <item h="1" x="24270"/>
        <item h="1" x="24271"/>
        <item h="1" x="24272"/>
        <item h="1" x="24273"/>
        <item h="1" x="24274"/>
        <item h="1" x="24275"/>
        <item h="1" x="24276"/>
        <item h="1" x="24277"/>
        <item h="1" x="24278"/>
        <item h="1" x="24279"/>
        <item h="1" x="24280"/>
        <item h="1" x="24281"/>
        <item h="1" x="24282"/>
        <item h="1" x="24283"/>
        <item h="1" x="24284"/>
        <item h="1" x="24285"/>
        <item h="1" x="24286"/>
        <item h="1" x="24287"/>
        <item h="1" x="24288"/>
        <item h="1" x="24289"/>
        <item h="1" x="24290"/>
        <item h="1" x="24291"/>
        <item h="1" x="24292"/>
        <item h="1" x="24293"/>
        <item h="1" x="24294"/>
        <item h="1" x="24295"/>
        <item h="1" x="24296"/>
        <item h="1" x="24297"/>
        <item h="1" x="24298"/>
        <item h="1" x="24299"/>
        <item h="1" x="24300"/>
        <item h="1" x="24301"/>
        <item h="1" x="24302"/>
        <item h="1" x="24303"/>
        <item h="1" x="24304"/>
        <item h="1" x="24305"/>
        <item h="1" x="24306"/>
        <item h="1" x="24307"/>
        <item h="1" x="24308"/>
        <item h="1" x="24309"/>
        <item h="1" x="24310"/>
        <item h="1" x="24311"/>
        <item h="1" x="24312"/>
        <item h="1" x="24313"/>
        <item h="1" x="24314"/>
        <item h="1" x="24315"/>
        <item h="1" x="24316"/>
        <item h="1" x="24317"/>
        <item h="1" x="24318"/>
        <item h="1" x="24319"/>
        <item h="1" x="24320"/>
        <item h="1" x="24321"/>
        <item h="1" x="24322"/>
        <item h="1" x="24323"/>
        <item h="1" x="24324"/>
        <item h="1" x="24325"/>
        <item h="1" x="24326"/>
        <item h="1" x="24327"/>
        <item h="1" x="24328"/>
        <item h="1" x="24329"/>
        <item h="1" x="24330"/>
        <item h="1" x="24331"/>
        <item h="1" x="24332"/>
        <item h="1" x="24333"/>
        <item h="1" x="24334"/>
        <item h="1" x="24335"/>
        <item h="1" x="24336"/>
        <item h="1" x="24337"/>
        <item h="1" x="24338"/>
        <item h="1" x="24339"/>
        <item h="1" x="24340"/>
        <item h="1" x="24341"/>
        <item h="1" x="24342"/>
        <item h="1" x="24343"/>
        <item h="1" x="24344"/>
        <item h="1" x="24345"/>
        <item h="1" x="24346"/>
        <item h="1" x="24347"/>
        <item h="1" x="24348"/>
        <item h="1" x="24349"/>
        <item h="1" x="24350"/>
        <item h="1" x="24351"/>
        <item h="1" x="24352"/>
        <item h="1" x="24353"/>
        <item h="1" x="24354"/>
        <item h="1" x="24355"/>
        <item h="1" x="24356"/>
        <item h="1" x="24357"/>
        <item h="1" x="24358"/>
        <item h="1" x="24359"/>
        <item h="1" x="24360"/>
        <item h="1" x="24361"/>
        <item h="1" x="24362"/>
        <item h="1" x="24363"/>
        <item h="1" x="24364"/>
        <item h="1" x="24365"/>
        <item h="1" x="24366"/>
        <item h="1" x="24367"/>
        <item h="1" x="24368"/>
        <item h="1" x="24369"/>
        <item h="1" x="24370"/>
        <item h="1" x="24371"/>
        <item h="1" x="24372"/>
        <item h="1" x="24373"/>
        <item h="1" x="24374"/>
        <item h="1" x="24375"/>
        <item h="1" x="24376"/>
        <item h="1" x="24377"/>
        <item h="1" x="24378"/>
        <item h="1" x="24379"/>
        <item h="1" x="24380"/>
        <item h="1" x="24381"/>
        <item h="1" x="24382"/>
        <item h="1" x="24383"/>
        <item h="1" x="24384"/>
        <item h="1" x="24385"/>
        <item h="1" x="24386"/>
        <item h="1" x="24387"/>
        <item h="1" x="24388"/>
        <item h="1" x="24389"/>
        <item h="1" x="24390"/>
        <item h="1" x="24391"/>
        <item h="1" x="24392"/>
        <item h="1" x="24393"/>
        <item h="1" x="24394"/>
        <item h="1" x="24395"/>
        <item h="1" x="24396"/>
        <item h="1" x="24397"/>
        <item h="1" x="24398"/>
        <item h="1" x="24399"/>
        <item h="1" x="24400"/>
        <item h="1" x="24401"/>
        <item h="1" x="24402"/>
        <item h="1" x="24403"/>
        <item h="1" x="24404"/>
        <item h="1" x="24405"/>
        <item h="1" x="24406"/>
        <item h="1" x="24407"/>
        <item h="1" x="24408"/>
        <item h="1" x="24409"/>
        <item h="1" x="24410"/>
        <item h="1" x="24411"/>
        <item h="1" x="24412"/>
        <item h="1" x="24413"/>
        <item h="1" x="24414"/>
        <item h="1" x="24415"/>
        <item h="1" x="24416"/>
        <item h="1" x="24417"/>
        <item h="1" x="24418"/>
        <item h="1" x="24419"/>
        <item h="1" x="24420"/>
        <item h="1" x="24421"/>
        <item h="1" x="24422"/>
        <item h="1" x="24423"/>
        <item h="1" x="24424"/>
        <item h="1" x="24425"/>
        <item h="1" x="24426"/>
        <item h="1" x="24427"/>
        <item h="1" x="24428"/>
        <item h="1" x="24429"/>
        <item h="1" x="24430"/>
        <item h="1" x="24431"/>
        <item h="1" x="24432"/>
        <item h="1" x="24433"/>
        <item h="1" x="24434"/>
        <item h="1" x="24435"/>
        <item h="1" x="24436"/>
        <item h="1" x="24437"/>
        <item h="1" x="24438"/>
        <item h="1" x="24439"/>
        <item h="1" x="24440"/>
        <item h="1" x="24441"/>
        <item h="1" x="24442"/>
        <item h="1" x="24443"/>
        <item h="1" x="24444"/>
        <item h="1" x="24445"/>
        <item h="1" x="24446"/>
        <item h="1" x="24447"/>
        <item h="1" x="24448"/>
        <item h="1" x="24449"/>
        <item h="1" x="24450"/>
        <item h="1" x="24451"/>
        <item h="1" x="24452"/>
        <item h="1" x="24453"/>
        <item h="1" x="24454"/>
        <item h="1" x="24455"/>
        <item h="1" x="24456"/>
        <item h="1" x="24457"/>
        <item h="1" x="24458"/>
        <item h="1" x="24459"/>
        <item h="1" x="24460"/>
        <item h="1" x="24461"/>
        <item h="1" x="24462"/>
        <item h="1" x="24463"/>
        <item h="1" x="24464"/>
        <item h="1" x="24465"/>
        <item h="1" x="24466"/>
        <item h="1" x="24467"/>
        <item h="1" x="24468"/>
        <item h="1" x="24469"/>
        <item h="1" x="24470"/>
        <item h="1" x="24471"/>
        <item h="1" x="24472"/>
        <item h="1" x="24473"/>
        <item h="1" x="24474"/>
        <item h="1" x="24475"/>
        <item h="1" x="24476"/>
        <item h="1" x="24477"/>
        <item h="1" x="24478"/>
        <item h="1" x="24479"/>
        <item h="1" x="24480"/>
        <item h="1" x="24481"/>
        <item h="1" x="24482"/>
        <item h="1" x="24483"/>
        <item h="1" x="24484"/>
        <item h="1" x="24485"/>
        <item h="1" x="24486"/>
        <item h="1" x="24487"/>
        <item h="1" x="24488"/>
        <item h="1" x="24489"/>
        <item h="1" x="24490"/>
        <item h="1" x="24491"/>
        <item h="1" x="24492"/>
        <item h="1" x="24493"/>
        <item h="1" x="24494"/>
        <item h="1" x="24495"/>
        <item h="1" x="24496"/>
        <item h="1" x="24497"/>
        <item h="1" x="24498"/>
        <item h="1" x="24499"/>
        <item h="1" x="24500"/>
        <item h="1" x="24501"/>
        <item h="1" x="24502"/>
        <item h="1" x="24503"/>
        <item h="1" x="24504"/>
        <item h="1" x="24505"/>
        <item h="1" x="24506"/>
        <item h="1" x="24507"/>
        <item h="1" x="24508"/>
        <item h="1" x="24509"/>
        <item h="1" x="24510"/>
        <item h="1" x="24511"/>
        <item h="1" x="24512"/>
        <item h="1" x="24513"/>
        <item h="1" x="24514"/>
        <item h="1" x="24515"/>
        <item h="1" x="24516"/>
        <item h="1" x="24517"/>
        <item h="1" x="24518"/>
        <item h="1" x="24519"/>
        <item h="1" x="24520"/>
        <item h="1" x="24521"/>
        <item h="1" x="24522"/>
        <item h="1" x="24523"/>
        <item h="1" x="24524"/>
        <item h="1" x="24525"/>
        <item h="1" x="24526"/>
        <item h="1" x="24527"/>
        <item h="1" x="24528"/>
        <item h="1" x="24529"/>
        <item h="1" x="24530"/>
        <item h="1" x="24531"/>
        <item h="1" x="24532"/>
        <item h="1" x="24533"/>
        <item h="1" x="24534"/>
        <item h="1" x="24535"/>
        <item h="1" x="24536"/>
        <item h="1" x="24537"/>
        <item h="1" x="24538"/>
        <item h="1" x="24539"/>
        <item h="1" x="24540"/>
        <item h="1" x="24541"/>
        <item h="1" x="24542"/>
        <item h="1" x="24543"/>
        <item h="1" x="24544"/>
        <item h="1" x="24545"/>
        <item h="1" x="24546"/>
        <item h="1" x="24547"/>
        <item h="1" x="24548"/>
        <item h="1" x="24549"/>
        <item h="1" x="24550"/>
        <item h="1" x="24551"/>
        <item h="1" x="24552"/>
        <item h="1" x="24553"/>
        <item h="1" x="24554"/>
        <item h="1" x="24555"/>
        <item h="1" x="24556"/>
        <item h="1" x="24557"/>
        <item h="1" x="24558"/>
        <item h="1" x="24559"/>
        <item h="1" x="24560"/>
        <item h="1" x="24561"/>
        <item h="1" x="24562"/>
        <item h="1" x="24563"/>
        <item h="1" x="24564"/>
        <item h="1" x="24565"/>
        <item h="1" x="24566"/>
        <item h="1" x="24567"/>
        <item h="1" x="24568"/>
        <item h="1" x="24569"/>
        <item h="1" x="24570"/>
        <item h="1" x="24571"/>
        <item h="1" x="24572"/>
        <item h="1" x="24573"/>
        <item h="1" x="24574"/>
        <item h="1" x="24575"/>
        <item h="1" x="24576"/>
        <item h="1" x="24577"/>
        <item h="1" x="24578"/>
        <item h="1" x="24579"/>
        <item h="1" x="24580"/>
        <item h="1" x="24581"/>
        <item h="1" x="24582"/>
        <item h="1" x="24583"/>
        <item h="1" x="24584"/>
        <item h="1" x="24585"/>
        <item h="1" x="24586"/>
        <item h="1" x="24587"/>
        <item h="1" x="24588"/>
        <item h="1" x="24589"/>
        <item h="1" x="24590"/>
        <item h="1" x="24591"/>
        <item h="1" x="24592"/>
        <item h="1" x="24593"/>
        <item h="1" x="24594"/>
        <item h="1" x="24595"/>
        <item h="1" x="24596"/>
        <item h="1" x="24597"/>
        <item h="1" x="24598"/>
        <item h="1" x="24599"/>
        <item h="1" x="24600"/>
        <item h="1" x="24601"/>
        <item h="1" x="24602"/>
        <item h="1" x="24603"/>
        <item h="1" x="24604"/>
        <item h="1" x="24605"/>
        <item h="1" x="24606"/>
        <item h="1" x="24607"/>
        <item h="1" x="24608"/>
        <item h="1" x="24609"/>
        <item h="1" x="24610"/>
        <item h="1" x="24611"/>
        <item h="1" x="24612"/>
        <item h="1" x="24613"/>
        <item h="1" x="24614"/>
        <item h="1" x="24615"/>
        <item h="1" x="24616"/>
        <item h="1" x="24617"/>
        <item h="1" x="24618"/>
        <item h="1" x="24619"/>
        <item h="1" x="24620"/>
        <item h="1" x="24621"/>
        <item h="1" x="24622"/>
        <item h="1" x="24623"/>
        <item h="1" x="24624"/>
        <item h="1" x="24625"/>
        <item h="1" x="24626"/>
        <item h="1" x="24627"/>
        <item h="1" x="24628"/>
        <item h="1" x="24629"/>
        <item h="1" x="24630"/>
        <item h="1" x="24631"/>
        <item h="1" x="24632"/>
        <item h="1" x="24633"/>
        <item h="1" x="24634"/>
        <item h="1" x="24635"/>
        <item h="1" x="24636"/>
        <item h="1" x="24637"/>
        <item h="1" x="24638"/>
        <item h="1" x="24639"/>
        <item h="1" x="24640"/>
        <item h="1" x="24641"/>
        <item h="1" x="24642"/>
        <item h="1" x="24643"/>
        <item h="1" x="24644"/>
        <item h="1" x="24645"/>
        <item h="1" x="24646"/>
        <item h="1" x="24647"/>
        <item h="1" x="24648"/>
        <item h="1" x="24649"/>
        <item h="1" x="24650"/>
        <item h="1" x="24651"/>
        <item h="1" x="24652"/>
        <item h="1" x="24653"/>
        <item h="1" x="24654"/>
        <item h="1" x="24655"/>
        <item h="1" x="24656"/>
        <item h="1" x="24657"/>
        <item h="1" x="24658"/>
        <item h="1" x="24659"/>
        <item h="1" x="24660"/>
        <item h="1" x="24661"/>
        <item h="1" x="24662"/>
        <item h="1" x="24663"/>
        <item h="1" x="24664"/>
        <item h="1" x="24665"/>
        <item h="1" x="24666"/>
        <item h="1" x="24667"/>
        <item h="1" x="24668"/>
        <item h="1" x="24669"/>
        <item h="1" x="24670"/>
        <item h="1" x="24671"/>
        <item h="1" x="24672"/>
        <item h="1" x="24673"/>
        <item h="1" x="24674"/>
        <item h="1" x="24675"/>
        <item h="1" x="24676"/>
        <item h="1" x="24677"/>
        <item h="1" x="24678"/>
        <item h="1" x="24679"/>
        <item h="1" x="24680"/>
        <item h="1" x="24681"/>
        <item h="1" x="24682"/>
        <item h="1" x="24683"/>
        <item h="1" x="24684"/>
        <item h="1" x="24685"/>
        <item h="1" x="24686"/>
        <item h="1" x="24687"/>
        <item h="1" x="24688"/>
        <item h="1" x="24689"/>
        <item h="1" x="24690"/>
        <item h="1" x="24691"/>
        <item h="1" x="24692"/>
        <item h="1" x="24693"/>
        <item h="1" x="24694"/>
        <item h="1" x="24695"/>
        <item h="1" x="24696"/>
        <item h="1" x="24697"/>
        <item h="1" x="24698"/>
        <item h="1" x="24699"/>
        <item h="1" x="24700"/>
        <item h="1" x="24701"/>
        <item h="1" x="24702"/>
        <item h="1" x="24703"/>
        <item h="1" x="24704"/>
        <item h="1" x="24705"/>
        <item h="1" x="24706"/>
        <item h="1" x="24707"/>
        <item h="1" x="24708"/>
        <item h="1" x="24709"/>
        <item h="1" x="24710"/>
        <item h="1" x="24711"/>
        <item h="1" x="24712"/>
        <item h="1" x="24713"/>
        <item h="1" x="24714"/>
        <item h="1" x="24715"/>
        <item h="1" x="24716"/>
        <item h="1" x="24717"/>
        <item h="1" x="24718"/>
        <item h="1" x="24719"/>
        <item h="1" x="24720"/>
        <item h="1" x="24721"/>
        <item h="1" x="24722"/>
        <item h="1" x="24723"/>
        <item h="1" x="24724"/>
        <item h="1" x="24725"/>
        <item h="1" x="24726"/>
        <item h="1" x="24727"/>
        <item h="1" x="24728"/>
        <item h="1" x="24729"/>
        <item h="1" x="24730"/>
        <item h="1" x="24731"/>
        <item h="1" x="24732"/>
        <item h="1" x="24733"/>
        <item t="default"/>
      </items>
    </pivotField>
  </pivotFields>
  <rowFields count="2">
    <field x="6"/>
    <field x="0"/>
  </rowFields>
  <rowItems count="5">
    <i>
      <x/>
    </i>
    <i>
      <x v="2"/>
    </i>
    <i>
      <x v="4"/>
    </i>
    <i>
      <x v="7"/>
    </i>
    <i t="grand">
      <x/>
    </i>
  </rowItems>
  <colItems count="1">
    <i/>
  </colItems>
  <pageFields count="1">
    <pageField fld="4" hier="-1"/>
  </pageFields>
  <dataFields count="1">
    <dataField name="Candidate Count" fld="2" subtotal="count" baseField="0" baseItem="0"/>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99D8890D-5A16-4117-92BF-22474C6F4CE1}" autoFormatId="16" applyNumberFormats="0" applyBorderFormats="0" applyFontFormats="0" applyPatternFormats="0" applyAlignmentFormats="0" applyWidthHeightFormats="0">
  <queryTableRefresh nextId="8">
    <queryTableFields count="7">
      <queryTableField id="1" name="Job Code" tableColumnId="1"/>
      <queryTableField id="2" name="Job Specification" tableColumnId="2"/>
      <queryTableField id="3" name="Type Of  Contract" tableColumnId="3"/>
      <queryTableField id="4" name="Mode of Work" tableColumnId="4"/>
      <queryTableField id="5" name="Location" tableColumnId="5"/>
      <queryTableField id="6" name="Salary Range" tableColumnId="6"/>
      <queryTableField id="7" name="Status "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Date" xr10:uid="{0216414E-2669-47F2-8D69-D55F0CA665E8}" sourceName="Days (Date)">
  <pivotTables>
    <pivotTable tabId="4" name="PivotTable1"/>
    <pivotTable tabId="7" name="PivotTable1"/>
    <pivotTable tabId="7" name="Funnel table"/>
  </pivotTables>
  <data>
    <tabular pivotCacheId="900613289">
      <items count="24734">
        <i x="9"/>
        <i x="10"/>
        <i x="11"/>
        <i x="12"/>
        <i x="13"/>
        <i x="14"/>
        <i x="15"/>
        <i x="16"/>
        <i x="17" s="1"/>
        <i x="0" nd="1"/>
        <i x="24733" nd="1"/>
        <i x="1" nd="1"/>
        <i x="2" nd="1"/>
        <i x="3" nd="1"/>
        <i x="4" nd="1"/>
        <i x="5" nd="1"/>
        <i x="6" nd="1"/>
        <i x="7" nd="1"/>
        <i x="8"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6" nd="1"/>
        <i x="117" nd="1"/>
        <i x="118" nd="1"/>
        <i x="119" nd="1"/>
        <i x="120" nd="1"/>
        <i x="121" nd="1"/>
        <i x="122" nd="1"/>
        <i x="123"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5" nd="1"/>
        <i x="156" nd="1"/>
        <i x="157" nd="1"/>
        <i x="158"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3" nd="1"/>
        <i x="214" nd="1"/>
        <i x="215" nd="1"/>
        <i x="216" nd="1"/>
        <i x="217" nd="1"/>
        <i x="218" nd="1"/>
        <i x="219" nd="1"/>
        <i x="220" nd="1"/>
        <i x="221" nd="1"/>
        <i x="222" nd="1"/>
        <i x="223" nd="1"/>
        <i x="224" nd="1"/>
        <i x="225" nd="1"/>
        <i x="226" nd="1"/>
        <i x="227" nd="1"/>
        <i x="228" nd="1"/>
        <i x="229" nd="1"/>
        <i x="230" nd="1"/>
        <i x="231" nd="1"/>
        <i x="232" nd="1"/>
        <i x="233" nd="1"/>
        <i x="234" nd="1"/>
        <i x="235" nd="1"/>
        <i x="236" nd="1"/>
        <i x="237" nd="1"/>
        <i x="238" nd="1"/>
        <i x="239" nd="1"/>
        <i x="240" nd="1"/>
        <i x="241" nd="1"/>
        <i x="242" nd="1"/>
        <i x="243" nd="1"/>
        <i x="244" nd="1"/>
        <i x="245" nd="1"/>
        <i x="246" nd="1"/>
        <i x="247" nd="1"/>
        <i x="248" nd="1"/>
        <i x="249" nd="1"/>
        <i x="250" nd="1"/>
        <i x="251" nd="1"/>
        <i x="252" nd="1"/>
        <i x="253" nd="1"/>
        <i x="254" nd="1"/>
        <i x="255" nd="1"/>
        <i x="256" nd="1"/>
        <i x="257" nd="1"/>
        <i x="258" nd="1"/>
        <i x="259" nd="1"/>
        <i x="260" nd="1"/>
        <i x="261" nd="1"/>
        <i x="262" nd="1"/>
        <i x="263" nd="1"/>
        <i x="264" nd="1"/>
        <i x="265" nd="1"/>
        <i x="266" nd="1"/>
        <i x="267" nd="1"/>
        <i x="268" nd="1"/>
        <i x="269" nd="1"/>
        <i x="270" nd="1"/>
        <i x="271" nd="1"/>
        <i x="272" nd="1"/>
        <i x="273" nd="1"/>
        <i x="274" nd="1"/>
        <i x="275" nd="1"/>
        <i x="276" nd="1"/>
        <i x="277" nd="1"/>
        <i x="278" nd="1"/>
        <i x="279" nd="1"/>
        <i x="280" nd="1"/>
        <i x="281" nd="1"/>
        <i x="282" nd="1"/>
        <i x="283" nd="1"/>
        <i x="284" nd="1"/>
        <i x="285" nd="1"/>
        <i x="286" nd="1"/>
        <i x="287" nd="1"/>
        <i x="288" nd="1"/>
        <i x="289" nd="1"/>
        <i x="290" nd="1"/>
        <i x="291" nd="1"/>
        <i x="292" nd="1"/>
        <i x="293" nd="1"/>
        <i x="294" nd="1"/>
        <i x="295" nd="1"/>
        <i x="296" nd="1"/>
        <i x="297" nd="1"/>
        <i x="298" nd="1"/>
        <i x="299" nd="1"/>
        <i x="300" nd="1"/>
        <i x="301" nd="1"/>
        <i x="302" nd="1"/>
        <i x="303" nd="1"/>
        <i x="304" nd="1"/>
        <i x="305" nd="1"/>
        <i x="306" nd="1"/>
        <i x="307" nd="1"/>
        <i x="308" nd="1"/>
        <i x="309" nd="1"/>
        <i x="310" nd="1"/>
        <i x="311" nd="1"/>
        <i x="312" nd="1"/>
        <i x="313" nd="1"/>
        <i x="314" nd="1"/>
        <i x="315" nd="1"/>
        <i x="316" nd="1"/>
        <i x="317" nd="1"/>
        <i x="318" nd="1"/>
        <i x="319" nd="1"/>
        <i x="320" nd="1"/>
        <i x="321" nd="1"/>
        <i x="322" nd="1"/>
        <i x="323" nd="1"/>
        <i x="324" nd="1"/>
        <i x="325" nd="1"/>
        <i x="326" nd="1"/>
        <i x="327" nd="1"/>
        <i x="328" nd="1"/>
        <i x="329" nd="1"/>
        <i x="330" nd="1"/>
        <i x="331" nd="1"/>
        <i x="332" nd="1"/>
        <i x="333" nd="1"/>
        <i x="334" nd="1"/>
        <i x="335" nd="1"/>
        <i x="336" nd="1"/>
        <i x="337" nd="1"/>
        <i x="338" nd="1"/>
        <i x="339" nd="1"/>
        <i x="340" nd="1"/>
        <i x="341" nd="1"/>
        <i x="342" nd="1"/>
        <i x="343" nd="1"/>
        <i x="344" nd="1"/>
        <i x="345" nd="1"/>
        <i x="346" nd="1"/>
        <i x="347" nd="1"/>
        <i x="348" nd="1"/>
        <i x="349" nd="1"/>
        <i x="350" nd="1"/>
        <i x="351" nd="1"/>
        <i x="352" nd="1"/>
        <i x="353" nd="1"/>
        <i x="354" nd="1"/>
        <i x="355" nd="1"/>
        <i x="356" nd="1"/>
        <i x="357" nd="1"/>
        <i x="358" nd="1"/>
        <i x="359" nd="1"/>
        <i x="360" nd="1"/>
        <i x="361" nd="1"/>
        <i x="362" nd="1"/>
        <i x="363" nd="1"/>
        <i x="364" nd="1"/>
        <i x="365" nd="1"/>
        <i x="366" nd="1"/>
        <i x="367" nd="1"/>
        <i x="368" nd="1"/>
        <i x="369" nd="1"/>
        <i x="370" nd="1"/>
        <i x="371" nd="1"/>
        <i x="372" nd="1"/>
        <i x="373" nd="1"/>
        <i x="374" nd="1"/>
        <i x="375" nd="1"/>
        <i x="376" nd="1"/>
        <i x="377" nd="1"/>
        <i x="378" nd="1"/>
        <i x="379" nd="1"/>
        <i x="380" nd="1"/>
        <i x="381" nd="1"/>
        <i x="382" nd="1"/>
        <i x="383" nd="1"/>
        <i x="384" nd="1"/>
        <i x="385" nd="1"/>
        <i x="386" nd="1"/>
        <i x="387" nd="1"/>
        <i x="388" nd="1"/>
        <i x="389" nd="1"/>
        <i x="390" nd="1"/>
        <i x="391" nd="1"/>
        <i x="392" nd="1"/>
        <i x="393" nd="1"/>
        <i x="394" nd="1"/>
        <i x="395" nd="1"/>
        <i x="396" nd="1"/>
        <i x="397" nd="1"/>
        <i x="398" nd="1"/>
        <i x="399" nd="1"/>
        <i x="400" nd="1"/>
        <i x="401" nd="1"/>
        <i x="402" nd="1"/>
        <i x="403" nd="1"/>
        <i x="404" nd="1"/>
        <i x="405" nd="1"/>
        <i x="406" nd="1"/>
        <i x="407" nd="1"/>
        <i x="408" nd="1"/>
        <i x="409" nd="1"/>
        <i x="410" nd="1"/>
        <i x="411" nd="1"/>
        <i x="412" nd="1"/>
        <i x="413" nd="1"/>
        <i x="414" nd="1"/>
        <i x="415" nd="1"/>
        <i x="416" nd="1"/>
        <i x="417" nd="1"/>
        <i x="418" nd="1"/>
        <i x="419" nd="1"/>
        <i x="420" nd="1"/>
        <i x="421" nd="1"/>
        <i x="422" nd="1"/>
        <i x="423" nd="1"/>
        <i x="424" nd="1"/>
        <i x="425" nd="1"/>
        <i x="426" nd="1"/>
        <i x="427" nd="1"/>
        <i x="428" nd="1"/>
        <i x="429" nd="1"/>
        <i x="430" nd="1"/>
        <i x="431" nd="1"/>
        <i x="432" nd="1"/>
        <i x="433" nd="1"/>
        <i x="434" nd="1"/>
        <i x="435" nd="1"/>
        <i x="436" nd="1"/>
        <i x="437" nd="1"/>
        <i x="438" nd="1"/>
        <i x="439" nd="1"/>
        <i x="440" nd="1"/>
        <i x="441" nd="1"/>
        <i x="442" nd="1"/>
        <i x="443" nd="1"/>
        <i x="444" nd="1"/>
        <i x="445" nd="1"/>
        <i x="446" nd="1"/>
        <i x="447" nd="1"/>
        <i x="448" nd="1"/>
        <i x="449" nd="1"/>
        <i x="450" nd="1"/>
        <i x="451" nd="1"/>
        <i x="452" nd="1"/>
        <i x="453" nd="1"/>
        <i x="454" nd="1"/>
        <i x="455" nd="1"/>
        <i x="456" nd="1"/>
        <i x="457" nd="1"/>
        <i x="458" nd="1"/>
        <i x="459" nd="1"/>
        <i x="460" nd="1"/>
        <i x="461" nd="1"/>
        <i x="462" nd="1"/>
        <i x="463" nd="1"/>
        <i x="464" nd="1"/>
        <i x="465" nd="1"/>
        <i x="466" nd="1"/>
        <i x="467" nd="1"/>
        <i x="468" nd="1"/>
        <i x="469" nd="1"/>
        <i x="470" nd="1"/>
        <i x="471" nd="1"/>
        <i x="472" nd="1"/>
        <i x="473" nd="1"/>
        <i x="474" nd="1"/>
        <i x="475" nd="1"/>
        <i x="476" nd="1"/>
        <i x="477" nd="1"/>
        <i x="478" nd="1"/>
        <i x="479" nd="1"/>
        <i x="480" nd="1"/>
        <i x="481" nd="1"/>
        <i x="482" nd="1"/>
        <i x="483" nd="1"/>
        <i x="484" nd="1"/>
        <i x="485" nd="1"/>
        <i x="486" nd="1"/>
        <i x="487" nd="1"/>
        <i x="488" nd="1"/>
        <i x="489" nd="1"/>
        <i x="490" nd="1"/>
        <i x="491" nd="1"/>
        <i x="492" nd="1"/>
        <i x="493" nd="1"/>
        <i x="494" nd="1"/>
        <i x="495" nd="1"/>
        <i x="496" nd="1"/>
        <i x="497" nd="1"/>
        <i x="498" nd="1"/>
        <i x="499" nd="1"/>
        <i x="500" nd="1"/>
        <i x="501" nd="1"/>
        <i x="502" nd="1"/>
        <i x="503" nd="1"/>
        <i x="504" nd="1"/>
        <i x="505" nd="1"/>
        <i x="506" nd="1"/>
        <i x="507" nd="1"/>
        <i x="508" nd="1"/>
        <i x="509" nd="1"/>
        <i x="510" nd="1"/>
        <i x="511" nd="1"/>
        <i x="512" nd="1"/>
        <i x="513" nd="1"/>
        <i x="514" nd="1"/>
        <i x="515" nd="1"/>
        <i x="516" nd="1"/>
        <i x="517" nd="1"/>
        <i x="518" nd="1"/>
        <i x="519" nd="1"/>
        <i x="520" nd="1"/>
        <i x="521" nd="1"/>
        <i x="522" nd="1"/>
        <i x="523" nd="1"/>
        <i x="524" nd="1"/>
        <i x="525" nd="1"/>
        <i x="526" nd="1"/>
        <i x="527" nd="1"/>
        <i x="528" nd="1"/>
        <i x="529" nd="1"/>
        <i x="530" nd="1"/>
        <i x="531" nd="1"/>
        <i x="532" nd="1"/>
        <i x="533" nd="1"/>
        <i x="534" nd="1"/>
        <i x="535" nd="1"/>
        <i x="536" nd="1"/>
        <i x="537" nd="1"/>
        <i x="538" nd="1"/>
        <i x="539" nd="1"/>
        <i x="540" nd="1"/>
        <i x="541" nd="1"/>
        <i x="542" nd="1"/>
        <i x="543" nd="1"/>
        <i x="544" nd="1"/>
        <i x="545" nd="1"/>
        <i x="546" nd="1"/>
        <i x="547" nd="1"/>
        <i x="548" nd="1"/>
        <i x="549" nd="1"/>
        <i x="550" nd="1"/>
        <i x="551" nd="1"/>
        <i x="552" nd="1"/>
        <i x="553" nd="1"/>
        <i x="554" nd="1"/>
        <i x="555" nd="1"/>
        <i x="556" nd="1"/>
        <i x="557" nd="1"/>
        <i x="558" nd="1"/>
        <i x="559" nd="1"/>
        <i x="560" nd="1"/>
        <i x="561" nd="1"/>
        <i x="562" nd="1"/>
        <i x="563" nd="1"/>
        <i x="564" nd="1"/>
        <i x="565" nd="1"/>
        <i x="566" nd="1"/>
        <i x="567" nd="1"/>
        <i x="568" nd="1"/>
        <i x="569" nd="1"/>
        <i x="570" nd="1"/>
        <i x="571" nd="1"/>
        <i x="572" nd="1"/>
        <i x="573" nd="1"/>
        <i x="574" nd="1"/>
        <i x="575" nd="1"/>
        <i x="576" nd="1"/>
        <i x="577" nd="1"/>
        <i x="578" nd="1"/>
        <i x="579" nd="1"/>
        <i x="580" nd="1"/>
        <i x="581" nd="1"/>
        <i x="582" nd="1"/>
        <i x="583" nd="1"/>
        <i x="584" nd="1"/>
        <i x="585" nd="1"/>
        <i x="586" nd="1"/>
        <i x="587" nd="1"/>
        <i x="588" nd="1"/>
        <i x="589" nd="1"/>
        <i x="590" nd="1"/>
        <i x="591" nd="1"/>
        <i x="592" nd="1"/>
        <i x="593" nd="1"/>
        <i x="594" nd="1"/>
        <i x="595" nd="1"/>
        <i x="596" nd="1"/>
        <i x="597" nd="1"/>
        <i x="598" nd="1"/>
        <i x="599" nd="1"/>
        <i x="600" nd="1"/>
        <i x="601" nd="1"/>
        <i x="602" nd="1"/>
        <i x="603" nd="1"/>
        <i x="604" nd="1"/>
        <i x="605" nd="1"/>
        <i x="606" nd="1"/>
        <i x="607" nd="1"/>
        <i x="608" nd="1"/>
        <i x="609" nd="1"/>
        <i x="610" nd="1"/>
        <i x="611" nd="1"/>
        <i x="612" nd="1"/>
        <i x="613" nd="1"/>
        <i x="614" nd="1"/>
        <i x="615" nd="1"/>
        <i x="616" nd="1"/>
        <i x="617" nd="1"/>
        <i x="618" nd="1"/>
        <i x="619" nd="1"/>
        <i x="620" nd="1"/>
        <i x="621" nd="1"/>
        <i x="622" nd="1"/>
        <i x="623" nd="1"/>
        <i x="624" nd="1"/>
        <i x="625" nd="1"/>
        <i x="626" nd="1"/>
        <i x="627" nd="1"/>
        <i x="628" nd="1"/>
        <i x="629" nd="1"/>
        <i x="630" nd="1"/>
        <i x="631" nd="1"/>
        <i x="632" nd="1"/>
        <i x="633" nd="1"/>
        <i x="634" nd="1"/>
        <i x="635" nd="1"/>
        <i x="636" nd="1"/>
        <i x="637" nd="1"/>
        <i x="638" nd="1"/>
        <i x="639" nd="1"/>
        <i x="640" nd="1"/>
        <i x="641" nd="1"/>
        <i x="642" nd="1"/>
        <i x="643" nd="1"/>
        <i x="644" nd="1"/>
        <i x="645" nd="1"/>
        <i x="646" nd="1"/>
        <i x="647" nd="1"/>
        <i x="648" nd="1"/>
        <i x="649" nd="1"/>
        <i x="650" nd="1"/>
        <i x="651" nd="1"/>
        <i x="652" nd="1"/>
        <i x="653" nd="1"/>
        <i x="654" nd="1"/>
        <i x="655" nd="1"/>
        <i x="656" nd="1"/>
        <i x="657" nd="1"/>
        <i x="658" nd="1"/>
        <i x="659" nd="1"/>
        <i x="660" nd="1"/>
        <i x="661" nd="1"/>
        <i x="662" nd="1"/>
        <i x="663" nd="1"/>
        <i x="664" nd="1"/>
        <i x="665" nd="1"/>
        <i x="666" nd="1"/>
        <i x="667" nd="1"/>
        <i x="668" nd="1"/>
        <i x="669" nd="1"/>
        <i x="670" nd="1"/>
        <i x="671" nd="1"/>
        <i x="672" nd="1"/>
        <i x="673" nd="1"/>
        <i x="674" nd="1"/>
        <i x="675" nd="1"/>
        <i x="676" nd="1"/>
        <i x="677" nd="1"/>
        <i x="678" nd="1"/>
        <i x="679" nd="1"/>
        <i x="680" nd="1"/>
        <i x="681" nd="1"/>
        <i x="682" nd="1"/>
        <i x="683" nd="1"/>
        <i x="684" nd="1"/>
        <i x="685" nd="1"/>
        <i x="686" nd="1"/>
        <i x="687" nd="1"/>
        <i x="688" nd="1"/>
        <i x="689" nd="1"/>
        <i x="690" nd="1"/>
        <i x="691" nd="1"/>
        <i x="692" nd="1"/>
        <i x="693" nd="1"/>
        <i x="694" nd="1"/>
        <i x="695" nd="1"/>
        <i x="696" nd="1"/>
        <i x="697" nd="1"/>
        <i x="698" nd="1"/>
        <i x="699" nd="1"/>
        <i x="700" nd="1"/>
        <i x="701" nd="1"/>
        <i x="702" nd="1"/>
        <i x="703" nd="1"/>
        <i x="704" nd="1"/>
        <i x="705" nd="1"/>
        <i x="706" nd="1"/>
        <i x="707" nd="1"/>
        <i x="708" nd="1"/>
        <i x="709" nd="1"/>
        <i x="710" nd="1"/>
        <i x="711" nd="1"/>
        <i x="712" nd="1"/>
        <i x="713" nd="1"/>
        <i x="714" nd="1"/>
        <i x="715" nd="1"/>
        <i x="716" nd="1"/>
        <i x="717" nd="1"/>
        <i x="718" nd="1"/>
        <i x="719" nd="1"/>
        <i x="720" nd="1"/>
        <i x="721" nd="1"/>
        <i x="722" nd="1"/>
        <i x="723" nd="1"/>
        <i x="724" nd="1"/>
        <i x="725" nd="1"/>
        <i x="726" nd="1"/>
        <i x="727" nd="1"/>
        <i x="728" nd="1"/>
        <i x="729" nd="1"/>
        <i x="730" nd="1"/>
        <i x="731" nd="1"/>
        <i x="732" nd="1"/>
        <i x="733" nd="1"/>
        <i x="734" nd="1"/>
        <i x="735" nd="1"/>
        <i x="736" nd="1"/>
        <i x="737" nd="1"/>
        <i x="738" nd="1"/>
        <i x="739" nd="1"/>
        <i x="740" nd="1"/>
        <i x="741" nd="1"/>
        <i x="742" nd="1"/>
        <i x="743" nd="1"/>
        <i x="744" nd="1"/>
        <i x="745" nd="1"/>
        <i x="746" nd="1"/>
        <i x="747" nd="1"/>
        <i x="748" nd="1"/>
        <i x="749" nd="1"/>
        <i x="750" nd="1"/>
        <i x="751" nd="1"/>
        <i x="752" nd="1"/>
        <i x="753" nd="1"/>
        <i x="754" nd="1"/>
        <i x="755" nd="1"/>
        <i x="756" nd="1"/>
        <i x="757" nd="1"/>
        <i x="758" nd="1"/>
        <i x="759" nd="1"/>
        <i x="760" nd="1"/>
        <i x="761" nd="1"/>
        <i x="762" nd="1"/>
        <i x="763" nd="1"/>
        <i x="764" nd="1"/>
        <i x="765" nd="1"/>
        <i x="766" nd="1"/>
        <i x="767" nd="1"/>
        <i x="768" nd="1"/>
        <i x="769" nd="1"/>
        <i x="770" nd="1"/>
        <i x="771" nd="1"/>
        <i x="772" nd="1"/>
        <i x="773" nd="1"/>
        <i x="774" nd="1"/>
        <i x="775" nd="1"/>
        <i x="776" nd="1"/>
        <i x="777" nd="1"/>
        <i x="778" nd="1"/>
        <i x="779" nd="1"/>
        <i x="780" nd="1"/>
        <i x="781" nd="1"/>
        <i x="782" nd="1"/>
        <i x="783" nd="1"/>
        <i x="784" nd="1"/>
        <i x="785" nd="1"/>
        <i x="786" nd="1"/>
        <i x="787" nd="1"/>
        <i x="788" nd="1"/>
        <i x="789" nd="1"/>
        <i x="790" nd="1"/>
        <i x="791" nd="1"/>
        <i x="792" nd="1"/>
        <i x="793" nd="1"/>
        <i x="794" nd="1"/>
        <i x="795" nd="1"/>
        <i x="796" nd="1"/>
        <i x="797" nd="1"/>
        <i x="798" nd="1"/>
        <i x="799" nd="1"/>
        <i x="800" nd="1"/>
        <i x="801" nd="1"/>
        <i x="802" nd="1"/>
        <i x="803" nd="1"/>
        <i x="804" nd="1"/>
        <i x="805" nd="1"/>
        <i x="806" nd="1"/>
        <i x="807" nd="1"/>
        <i x="808" nd="1"/>
        <i x="809" nd="1"/>
        <i x="810" nd="1"/>
        <i x="811" nd="1"/>
        <i x="812" nd="1"/>
        <i x="813" nd="1"/>
        <i x="814" nd="1"/>
        <i x="815" nd="1"/>
        <i x="816" nd="1"/>
        <i x="817" nd="1"/>
        <i x="818" nd="1"/>
        <i x="819" nd="1"/>
        <i x="820" nd="1"/>
        <i x="821" nd="1"/>
        <i x="822" nd="1"/>
        <i x="823" nd="1"/>
        <i x="824" nd="1"/>
        <i x="825" nd="1"/>
        <i x="826" nd="1"/>
        <i x="827" nd="1"/>
        <i x="828" nd="1"/>
        <i x="829" nd="1"/>
        <i x="830" nd="1"/>
        <i x="831" nd="1"/>
        <i x="832" nd="1"/>
        <i x="833" nd="1"/>
        <i x="834" nd="1"/>
        <i x="835" nd="1"/>
        <i x="836" nd="1"/>
        <i x="837" nd="1"/>
        <i x="838" nd="1"/>
        <i x="839" nd="1"/>
        <i x="840" nd="1"/>
        <i x="841" nd="1"/>
        <i x="842" nd="1"/>
        <i x="843" nd="1"/>
        <i x="844" nd="1"/>
        <i x="845" nd="1"/>
        <i x="846" nd="1"/>
        <i x="847" nd="1"/>
        <i x="848" nd="1"/>
        <i x="849" nd="1"/>
        <i x="850" nd="1"/>
        <i x="851" nd="1"/>
        <i x="852" nd="1"/>
        <i x="853" nd="1"/>
        <i x="854" nd="1"/>
        <i x="855" nd="1"/>
        <i x="856" nd="1"/>
        <i x="857" nd="1"/>
        <i x="858" nd="1"/>
        <i x="859" nd="1"/>
        <i x="860" nd="1"/>
        <i x="861" nd="1"/>
        <i x="862" nd="1"/>
        <i x="863" nd="1"/>
        <i x="864" nd="1"/>
        <i x="865" nd="1"/>
        <i x="866" nd="1"/>
        <i x="867" nd="1"/>
        <i x="868" nd="1"/>
        <i x="869" nd="1"/>
        <i x="870" nd="1"/>
        <i x="871" nd="1"/>
        <i x="872" nd="1"/>
        <i x="873" nd="1"/>
        <i x="874" nd="1"/>
        <i x="875" nd="1"/>
        <i x="876" nd="1"/>
        <i x="877" nd="1"/>
        <i x="878" nd="1"/>
        <i x="879" nd="1"/>
        <i x="880" nd="1"/>
        <i x="881" nd="1"/>
        <i x="882" nd="1"/>
        <i x="883" nd="1"/>
        <i x="884" nd="1"/>
        <i x="885" nd="1"/>
        <i x="886" nd="1"/>
        <i x="887" nd="1"/>
        <i x="888" nd="1"/>
        <i x="889" nd="1"/>
        <i x="890" nd="1"/>
        <i x="891" nd="1"/>
        <i x="892" nd="1"/>
        <i x="893" nd="1"/>
        <i x="894" nd="1"/>
        <i x="895" nd="1"/>
        <i x="896" nd="1"/>
        <i x="897" nd="1"/>
        <i x="898" nd="1"/>
        <i x="899" nd="1"/>
        <i x="900" nd="1"/>
        <i x="901" nd="1"/>
        <i x="902" nd="1"/>
        <i x="903" nd="1"/>
        <i x="904" nd="1"/>
        <i x="905" nd="1"/>
        <i x="906" nd="1"/>
        <i x="907" nd="1"/>
        <i x="908" nd="1"/>
        <i x="909" nd="1"/>
        <i x="910" nd="1"/>
        <i x="911" nd="1"/>
        <i x="912" nd="1"/>
        <i x="913" nd="1"/>
        <i x="914" nd="1"/>
        <i x="915" nd="1"/>
        <i x="916" nd="1"/>
        <i x="917" nd="1"/>
        <i x="918" nd="1"/>
        <i x="919" nd="1"/>
        <i x="920" nd="1"/>
        <i x="921" nd="1"/>
        <i x="922" nd="1"/>
        <i x="923" nd="1"/>
        <i x="924" nd="1"/>
        <i x="925" nd="1"/>
        <i x="926" nd="1"/>
        <i x="927" nd="1"/>
        <i x="928" nd="1"/>
        <i x="929" nd="1"/>
        <i x="930" nd="1"/>
        <i x="931" nd="1"/>
        <i x="932" nd="1"/>
        <i x="933" nd="1"/>
        <i x="934" nd="1"/>
        <i x="935" nd="1"/>
        <i x="936" nd="1"/>
        <i x="937" nd="1"/>
        <i x="938" nd="1"/>
        <i x="939" nd="1"/>
        <i x="940" nd="1"/>
        <i x="941" nd="1"/>
        <i x="942" nd="1"/>
        <i x="943" nd="1"/>
        <i x="944" nd="1"/>
        <i x="945" nd="1"/>
        <i x="946" nd="1"/>
        <i x="947" nd="1"/>
        <i x="948" nd="1"/>
        <i x="949" nd="1"/>
        <i x="950" nd="1"/>
        <i x="951" nd="1"/>
        <i x="952" nd="1"/>
        <i x="953" nd="1"/>
        <i x="954" nd="1"/>
        <i x="955" nd="1"/>
        <i x="956" nd="1"/>
        <i x="957" nd="1"/>
        <i x="958" nd="1"/>
        <i x="959" nd="1"/>
        <i x="960" nd="1"/>
        <i x="961" nd="1"/>
        <i x="962" nd="1"/>
        <i x="963" nd="1"/>
        <i x="964" nd="1"/>
        <i x="965" nd="1"/>
        <i x="966" nd="1"/>
        <i x="967" nd="1"/>
        <i x="968" nd="1"/>
        <i x="969" nd="1"/>
        <i x="970" nd="1"/>
        <i x="971" nd="1"/>
        <i x="972" nd="1"/>
        <i x="973" nd="1"/>
        <i x="974" nd="1"/>
        <i x="975" nd="1"/>
        <i x="976" nd="1"/>
        <i x="977" nd="1"/>
        <i x="978" nd="1"/>
        <i x="979" nd="1"/>
        <i x="980" nd="1"/>
        <i x="981" nd="1"/>
        <i x="982" nd="1"/>
        <i x="983" nd="1"/>
        <i x="984" nd="1"/>
        <i x="985" nd="1"/>
        <i x="986" nd="1"/>
        <i x="987" nd="1"/>
        <i x="988" nd="1"/>
        <i x="989" nd="1"/>
        <i x="990" nd="1"/>
        <i x="991" nd="1"/>
        <i x="992" nd="1"/>
        <i x="993" nd="1"/>
        <i x="994" nd="1"/>
        <i x="995" nd="1"/>
        <i x="996" nd="1"/>
        <i x="997" nd="1"/>
        <i x="998" nd="1"/>
        <i x="999" nd="1"/>
        <i x="1000" nd="1"/>
        <i x="1001" nd="1"/>
        <i x="1002" nd="1"/>
        <i x="1003" nd="1"/>
        <i x="1004" nd="1"/>
        <i x="1005" nd="1"/>
        <i x="1006" nd="1"/>
        <i x="1007" nd="1"/>
        <i x="1008" nd="1"/>
        <i x="1009" nd="1"/>
        <i x="1010" nd="1"/>
        <i x="1011" nd="1"/>
        <i x="1012" nd="1"/>
        <i x="1013" nd="1"/>
        <i x="1014" nd="1"/>
        <i x="1015" nd="1"/>
        <i x="1016" nd="1"/>
        <i x="1017" nd="1"/>
        <i x="1018" nd="1"/>
        <i x="1019" nd="1"/>
        <i x="1020" nd="1"/>
        <i x="1021" nd="1"/>
        <i x="1022" nd="1"/>
        <i x="1023" nd="1"/>
        <i x="1024" nd="1"/>
        <i x="1025" nd="1"/>
        <i x="1026" nd="1"/>
        <i x="1027" nd="1"/>
        <i x="1028" nd="1"/>
        <i x="1029" nd="1"/>
        <i x="1030" nd="1"/>
        <i x="1031" nd="1"/>
        <i x="1032" nd="1"/>
        <i x="1033" nd="1"/>
        <i x="1034" nd="1"/>
        <i x="1035" nd="1"/>
        <i x="1036" nd="1"/>
        <i x="1037" nd="1"/>
        <i x="1038" nd="1"/>
        <i x="1039" nd="1"/>
        <i x="1040" nd="1"/>
        <i x="1041" nd="1"/>
        <i x="1042" nd="1"/>
        <i x="1043" nd="1"/>
        <i x="1044" nd="1"/>
        <i x="1045" nd="1"/>
        <i x="1046" nd="1"/>
        <i x="1047" nd="1"/>
        <i x="1048" nd="1"/>
        <i x="1049" nd="1"/>
        <i x="1050" nd="1"/>
        <i x="1051" nd="1"/>
        <i x="1052" nd="1"/>
        <i x="1053" nd="1"/>
        <i x="1054" nd="1"/>
        <i x="1055" nd="1"/>
        <i x="1056" nd="1"/>
        <i x="1057" nd="1"/>
        <i x="1058" nd="1"/>
        <i x="1059" nd="1"/>
        <i x="1060" nd="1"/>
        <i x="1061" nd="1"/>
        <i x="1062" nd="1"/>
        <i x="1063" nd="1"/>
        <i x="1064" nd="1"/>
        <i x="1065" nd="1"/>
        <i x="1066" nd="1"/>
        <i x="1067" nd="1"/>
        <i x="1068" nd="1"/>
        <i x="1069" nd="1"/>
        <i x="1070" nd="1"/>
        <i x="1071" nd="1"/>
        <i x="1072" nd="1"/>
        <i x="1073" nd="1"/>
        <i x="1074" nd="1"/>
        <i x="1075" nd="1"/>
        <i x="1076" nd="1"/>
        <i x="1077" nd="1"/>
        <i x="1078" nd="1"/>
        <i x="1079" nd="1"/>
        <i x="1080" nd="1"/>
        <i x="1081" nd="1"/>
        <i x="1082" nd="1"/>
        <i x="1083" nd="1"/>
        <i x="1084" nd="1"/>
        <i x="1085" nd="1"/>
        <i x="1086" nd="1"/>
        <i x="1087" nd="1"/>
        <i x="1088" nd="1"/>
        <i x="1089" nd="1"/>
        <i x="1090" nd="1"/>
        <i x="1091" nd="1"/>
        <i x="1092" nd="1"/>
        <i x="1093" nd="1"/>
        <i x="1094" nd="1"/>
        <i x="1095" nd="1"/>
        <i x="1096" nd="1"/>
        <i x="1097" nd="1"/>
        <i x="1098" nd="1"/>
        <i x="1099" nd="1"/>
        <i x="1100" nd="1"/>
        <i x="1101" nd="1"/>
        <i x="1102" nd="1"/>
        <i x="1103" nd="1"/>
        <i x="1104" nd="1"/>
        <i x="1105" nd="1"/>
        <i x="1106" nd="1"/>
        <i x="1107" nd="1"/>
        <i x="1108" nd="1"/>
        <i x="1109" nd="1"/>
        <i x="1110" nd="1"/>
        <i x="1111" nd="1"/>
        <i x="1112" nd="1"/>
        <i x="1113" nd="1"/>
        <i x="1114" nd="1"/>
        <i x="1115" nd="1"/>
        <i x="1116" nd="1"/>
        <i x="1117" nd="1"/>
        <i x="1118" nd="1"/>
        <i x="1119" nd="1"/>
        <i x="1120" nd="1"/>
        <i x="1121" nd="1"/>
        <i x="1122" nd="1"/>
        <i x="1123" nd="1"/>
        <i x="1124" nd="1"/>
        <i x="1125" nd="1"/>
        <i x="1126" nd="1"/>
        <i x="1127" nd="1"/>
        <i x="1128" nd="1"/>
        <i x="1129" nd="1"/>
        <i x="1130" nd="1"/>
        <i x="1131" nd="1"/>
        <i x="1132" nd="1"/>
        <i x="1133" nd="1"/>
        <i x="1134" nd="1"/>
        <i x="1135" nd="1"/>
        <i x="1136" nd="1"/>
        <i x="1137" nd="1"/>
        <i x="1138" nd="1"/>
        <i x="1139" nd="1"/>
        <i x="1140" nd="1"/>
        <i x="1141" nd="1"/>
        <i x="1142" nd="1"/>
        <i x="1143" nd="1"/>
        <i x="1144" nd="1"/>
        <i x="1145" nd="1"/>
        <i x="1146" nd="1"/>
        <i x="1147" nd="1"/>
        <i x="1148" nd="1"/>
        <i x="1149" nd="1"/>
        <i x="1150" nd="1"/>
        <i x="1151" nd="1"/>
        <i x="1152" nd="1"/>
        <i x="1153" nd="1"/>
        <i x="1154" nd="1"/>
        <i x="1155" nd="1"/>
        <i x="1156" nd="1"/>
        <i x="1157" nd="1"/>
        <i x="1158" nd="1"/>
        <i x="1159" nd="1"/>
        <i x="1160" nd="1"/>
        <i x="1161" nd="1"/>
        <i x="1162" nd="1"/>
        <i x="1163" nd="1"/>
        <i x="1164" nd="1"/>
        <i x="1165" nd="1"/>
        <i x="1166" nd="1"/>
        <i x="1167" nd="1"/>
        <i x="1168" nd="1"/>
        <i x="1169" nd="1"/>
        <i x="1170" nd="1"/>
        <i x="1171" nd="1"/>
        <i x="1172" nd="1"/>
        <i x="1173" nd="1"/>
        <i x="1174" nd="1"/>
        <i x="1175" nd="1"/>
        <i x="1176" nd="1"/>
        <i x="1177" nd="1"/>
        <i x="1178" nd="1"/>
        <i x="1179" nd="1"/>
        <i x="1180" nd="1"/>
        <i x="1181" nd="1"/>
        <i x="1182" nd="1"/>
        <i x="1183" nd="1"/>
        <i x="1184" nd="1"/>
        <i x="1185" nd="1"/>
        <i x="1186" nd="1"/>
        <i x="1187" nd="1"/>
        <i x="1188" nd="1"/>
        <i x="1189" nd="1"/>
        <i x="1190" nd="1"/>
        <i x="1191" nd="1"/>
        <i x="1192" nd="1"/>
        <i x="1193" nd="1"/>
        <i x="1194" nd="1"/>
        <i x="1195" nd="1"/>
        <i x="1196" nd="1"/>
        <i x="1197" nd="1"/>
        <i x="1198" nd="1"/>
        <i x="1199" nd="1"/>
        <i x="1200" nd="1"/>
        <i x="1201" nd="1"/>
        <i x="1202" nd="1"/>
        <i x="1203" nd="1"/>
        <i x="1204" nd="1"/>
        <i x="1205" nd="1"/>
        <i x="1206" nd="1"/>
        <i x="1207" nd="1"/>
        <i x="1208" nd="1"/>
        <i x="1209" nd="1"/>
        <i x="1210" nd="1"/>
        <i x="1211" nd="1"/>
        <i x="1212" nd="1"/>
        <i x="1213" nd="1"/>
        <i x="1214" nd="1"/>
        <i x="1215" nd="1"/>
        <i x="1216" nd="1"/>
        <i x="1217" nd="1"/>
        <i x="1218" nd="1"/>
        <i x="1219" nd="1"/>
        <i x="1220" nd="1"/>
        <i x="1221" nd="1"/>
        <i x="1222" nd="1"/>
        <i x="1223" nd="1"/>
        <i x="1224" nd="1"/>
        <i x="1225" nd="1"/>
        <i x="1226" nd="1"/>
        <i x="1227" nd="1"/>
        <i x="1228" nd="1"/>
        <i x="1229" nd="1"/>
        <i x="1230" nd="1"/>
        <i x="1231" nd="1"/>
        <i x="1232" nd="1"/>
        <i x="1233" nd="1"/>
        <i x="1234" nd="1"/>
        <i x="1235" nd="1"/>
        <i x="1236" nd="1"/>
        <i x="1237" nd="1"/>
        <i x="1238" nd="1"/>
        <i x="1239" nd="1"/>
        <i x="1240" nd="1"/>
        <i x="1241" nd="1"/>
        <i x="1242" nd="1"/>
        <i x="1243" nd="1"/>
        <i x="1244" nd="1"/>
        <i x="1245" nd="1"/>
        <i x="1246" nd="1"/>
        <i x="1247" nd="1"/>
        <i x="1248" nd="1"/>
        <i x="1249" nd="1"/>
        <i x="1250" nd="1"/>
        <i x="1251" nd="1"/>
        <i x="1252" nd="1"/>
        <i x="1253" nd="1"/>
        <i x="1254" nd="1"/>
        <i x="1255" nd="1"/>
        <i x="1256" nd="1"/>
        <i x="1257" nd="1"/>
        <i x="1258" nd="1"/>
        <i x="1259" nd="1"/>
        <i x="1260" nd="1"/>
        <i x="1261" nd="1"/>
        <i x="1262" nd="1"/>
        <i x="1263" nd="1"/>
        <i x="1264" nd="1"/>
        <i x="1265" nd="1"/>
        <i x="1266" nd="1"/>
        <i x="1267" nd="1"/>
        <i x="1268" nd="1"/>
        <i x="1269" nd="1"/>
        <i x="1270" nd="1"/>
        <i x="1271" nd="1"/>
        <i x="1272" nd="1"/>
        <i x="1273" nd="1"/>
        <i x="1274" nd="1"/>
        <i x="1275" nd="1"/>
        <i x="1276" nd="1"/>
        <i x="1277" nd="1"/>
        <i x="1278" nd="1"/>
        <i x="1279" nd="1"/>
        <i x="1280" nd="1"/>
        <i x="1281" nd="1"/>
        <i x="1282" nd="1"/>
        <i x="1283" nd="1"/>
        <i x="1284" nd="1"/>
        <i x="1285" nd="1"/>
        <i x="1286" nd="1"/>
        <i x="1287" nd="1"/>
        <i x="1288" nd="1"/>
        <i x="1289" nd="1"/>
        <i x="1290" nd="1"/>
        <i x="1291" nd="1"/>
        <i x="1292" nd="1"/>
        <i x="1293" nd="1"/>
        <i x="1294" nd="1"/>
        <i x="1295" nd="1"/>
        <i x="1296" nd="1"/>
        <i x="1297" nd="1"/>
        <i x="1298" nd="1"/>
        <i x="1299" nd="1"/>
        <i x="1300" nd="1"/>
        <i x="1301" nd="1"/>
        <i x="1302" nd="1"/>
        <i x="1303" nd="1"/>
        <i x="1304" nd="1"/>
        <i x="1305" nd="1"/>
        <i x="1306" nd="1"/>
        <i x="1307" nd="1"/>
        <i x="1308" nd="1"/>
        <i x="1309" nd="1"/>
        <i x="1310" nd="1"/>
        <i x="1311" nd="1"/>
        <i x="1312" nd="1"/>
        <i x="1313" nd="1"/>
        <i x="1314" nd="1"/>
        <i x="1315" nd="1"/>
        <i x="1316" nd="1"/>
        <i x="1317" nd="1"/>
        <i x="1318" nd="1"/>
        <i x="1319" nd="1"/>
        <i x="1320" nd="1"/>
        <i x="1321" nd="1"/>
        <i x="1322" nd="1"/>
        <i x="1323" nd="1"/>
        <i x="1324" nd="1"/>
        <i x="1325" nd="1"/>
        <i x="1326" nd="1"/>
        <i x="1327" nd="1"/>
        <i x="1328" nd="1"/>
        <i x="1329" nd="1"/>
        <i x="1330" nd="1"/>
        <i x="1331" nd="1"/>
        <i x="1332" nd="1"/>
        <i x="1333" nd="1"/>
        <i x="1334" nd="1"/>
        <i x="1335" nd="1"/>
        <i x="1336" nd="1"/>
        <i x="1337" nd="1"/>
        <i x="1338" nd="1"/>
        <i x="1339" nd="1"/>
        <i x="1340" nd="1"/>
        <i x="1341" nd="1"/>
        <i x="1342" nd="1"/>
        <i x="1343" nd="1"/>
        <i x="1344" nd="1"/>
        <i x="1345" nd="1"/>
        <i x="1346" nd="1"/>
        <i x="1347" nd="1"/>
        <i x="1348" nd="1"/>
        <i x="1349" nd="1"/>
        <i x="1350" nd="1"/>
        <i x="1351" nd="1"/>
        <i x="1352" nd="1"/>
        <i x="1353" nd="1"/>
        <i x="1354" nd="1"/>
        <i x="1355" nd="1"/>
        <i x="1356" nd="1"/>
        <i x="1357" nd="1"/>
        <i x="1358" nd="1"/>
        <i x="1359" nd="1"/>
        <i x="1360" nd="1"/>
        <i x="1361" nd="1"/>
        <i x="1362" nd="1"/>
        <i x="1363" nd="1"/>
        <i x="1364" nd="1"/>
        <i x="1365" nd="1"/>
        <i x="1366" nd="1"/>
        <i x="1367" nd="1"/>
        <i x="1368" nd="1"/>
        <i x="1369" nd="1"/>
        <i x="1370" nd="1"/>
        <i x="1371" nd="1"/>
        <i x="1372" nd="1"/>
        <i x="1373" nd="1"/>
        <i x="1374" nd="1"/>
        <i x="1375" nd="1"/>
        <i x="1376" nd="1"/>
        <i x="1377" nd="1"/>
        <i x="1378" nd="1"/>
        <i x="1379" nd="1"/>
        <i x="1380" nd="1"/>
        <i x="1381" nd="1"/>
        <i x="1382" nd="1"/>
        <i x="1383" nd="1"/>
        <i x="1384" nd="1"/>
        <i x="1385" nd="1"/>
        <i x="1386" nd="1"/>
        <i x="1387" nd="1"/>
        <i x="1388" nd="1"/>
        <i x="1389" nd="1"/>
        <i x="1390" nd="1"/>
        <i x="1391" nd="1"/>
        <i x="1392" nd="1"/>
        <i x="1393" nd="1"/>
        <i x="1394" nd="1"/>
        <i x="1395" nd="1"/>
        <i x="1396" nd="1"/>
        <i x="1397" nd="1"/>
        <i x="1398" nd="1"/>
        <i x="1399" nd="1"/>
        <i x="1400" nd="1"/>
        <i x="1401" nd="1"/>
        <i x="1402" nd="1"/>
        <i x="1403" nd="1"/>
        <i x="1404" nd="1"/>
        <i x="1405" nd="1"/>
        <i x="1406" nd="1"/>
        <i x="1407" nd="1"/>
        <i x="1408" nd="1"/>
        <i x="1409" nd="1"/>
        <i x="1410" nd="1"/>
        <i x="1411" nd="1"/>
        <i x="1412" nd="1"/>
        <i x="1413" nd="1"/>
        <i x="1414" nd="1"/>
        <i x="1415" nd="1"/>
        <i x="1416" nd="1"/>
        <i x="1417" nd="1"/>
        <i x="1418" nd="1"/>
        <i x="1419" nd="1"/>
        <i x="1420" nd="1"/>
        <i x="1421" nd="1"/>
        <i x="1422" nd="1"/>
        <i x="1423" nd="1"/>
        <i x="1424" nd="1"/>
        <i x="1425" nd="1"/>
        <i x="1426" nd="1"/>
        <i x="1427" nd="1"/>
        <i x="1428" nd="1"/>
        <i x="1429" nd="1"/>
        <i x="1430" nd="1"/>
        <i x="1431" nd="1"/>
        <i x="1432" nd="1"/>
        <i x="1433" nd="1"/>
        <i x="1434" nd="1"/>
        <i x="1435" nd="1"/>
        <i x="1436" nd="1"/>
        <i x="1437" nd="1"/>
        <i x="1438" nd="1"/>
        <i x="1439" nd="1"/>
        <i x="1440" nd="1"/>
        <i x="1441" nd="1"/>
        <i x="1442" nd="1"/>
        <i x="1443" nd="1"/>
        <i x="1444" nd="1"/>
        <i x="1445" nd="1"/>
        <i x="1446" nd="1"/>
        <i x="1447" nd="1"/>
        <i x="1448" nd="1"/>
        <i x="1449" nd="1"/>
        <i x="1450" nd="1"/>
        <i x="1451" nd="1"/>
        <i x="1452" nd="1"/>
        <i x="1453" nd="1"/>
        <i x="1454" nd="1"/>
        <i x="1455" nd="1"/>
        <i x="1456" nd="1"/>
        <i x="1457" nd="1"/>
        <i x="1458" nd="1"/>
        <i x="1459" nd="1"/>
        <i x="1460" nd="1"/>
        <i x="1461" nd="1"/>
        <i x="1462" nd="1"/>
        <i x="1463" nd="1"/>
        <i x="1464" nd="1"/>
        <i x="1465" nd="1"/>
        <i x="1466" nd="1"/>
        <i x="1467" nd="1"/>
        <i x="1468" nd="1"/>
        <i x="1469" nd="1"/>
        <i x="1470" nd="1"/>
        <i x="1471" nd="1"/>
        <i x="1472" nd="1"/>
        <i x="1473" nd="1"/>
        <i x="1474" nd="1"/>
        <i x="1475" nd="1"/>
        <i x="1476" nd="1"/>
        <i x="1477" nd="1"/>
        <i x="1478" nd="1"/>
        <i x="1479" nd="1"/>
        <i x="1480" nd="1"/>
        <i x="1481" nd="1"/>
        <i x="1482" nd="1"/>
        <i x="1483" nd="1"/>
        <i x="1484" nd="1"/>
        <i x="1485" nd="1"/>
        <i x="1486" nd="1"/>
        <i x="1487" nd="1"/>
        <i x="1488" nd="1"/>
        <i x="1489" nd="1"/>
        <i x="1490" nd="1"/>
        <i x="1491" nd="1"/>
        <i x="1492" nd="1"/>
        <i x="1493" nd="1"/>
        <i x="1494" nd="1"/>
        <i x="1495" nd="1"/>
        <i x="1496" nd="1"/>
        <i x="1497" nd="1"/>
        <i x="1498" nd="1"/>
        <i x="1499" nd="1"/>
        <i x="1500" nd="1"/>
        <i x="1501" nd="1"/>
        <i x="1502" nd="1"/>
        <i x="1503" nd="1"/>
        <i x="1504" nd="1"/>
        <i x="1505" nd="1"/>
        <i x="1506" nd="1"/>
        <i x="1507" nd="1"/>
        <i x="1508" nd="1"/>
        <i x="1509" nd="1"/>
        <i x="1510" nd="1"/>
        <i x="1511" nd="1"/>
        <i x="1512" nd="1"/>
        <i x="1513" nd="1"/>
        <i x="1514" nd="1"/>
        <i x="1515" nd="1"/>
        <i x="1516" nd="1"/>
        <i x="1517" nd="1"/>
        <i x="1518" nd="1"/>
        <i x="1519" nd="1"/>
        <i x="1520" nd="1"/>
        <i x="1521" nd="1"/>
        <i x="1522" nd="1"/>
        <i x="1523" nd="1"/>
        <i x="1524" nd="1"/>
        <i x="1525" nd="1"/>
        <i x="1526" nd="1"/>
        <i x="1527" nd="1"/>
        <i x="1528" nd="1"/>
        <i x="1529" nd="1"/>
        <i x="1530" nd="1"/>
        <i x="1531" nd="1"/>
        <i x="1532" nd="1"/>
        <i x="1533" nd="1"/>
        <i x="1534" nd="1"/>
        <i x="1535" nd="1"/>
        <i x="1536" nd="1"/>
        <i x="1537" nd="1"/>
        <i x="1538" nd="1"/>
        <i x="1539" nd="1"/>
        <i x="1540" nd="1"/>
        <i x="1541" nd="1"/>
        <i x="1542" nd="1"/>
        <i x="1543" nd="1"/>
        <i x="1544" nd="1"/>
        <i x="1545" nd="1"/>
        <i x="1546" nd="1"/>
        <i x="1547" nd="1"/>
        <i x="1548" nd="1"/>
        <i x="1549" nd="1"/>
        <i x="1550" nd="1"/>
        <i x="1551" nd="1"/>
        <i x="1552" nd="1"/>
        <i x="1553" nd="1"/>
        <i x="1554" nd="1"/>
        <i x="1555" nd="1"/>
        <i x="1556" nd="1"/>
        <i x="1557" nd="1"/>
        <i x="1558" nd="1"/>
        <i x="1559" nd="1"/>
        <i x="1560" nd="1"/>
        <i x="1561" nd="1"/>
        <i x="1562" nd="1"/>
        <i x="1563" nd="1"/>
        <i x="1564" nd="1"/>
        <i x="1565" nd="1"/>
        <i x="1566" nd="1"/>
        <i x="1567" nd="1"/>
        <i x="1568" nd="1"/>
        <i x="1569" nd="1"/>
        <i x="1570" nd="1"/>
        <i x="1571" nd="1"/>
        <i x="1572" nd="1"/>
        <i x="1573" nd="1"/>
        <i x="1574" nd="1"/>
        <i x="1575" nd="1"/>
        <i x="1576" nd="1"/>
        <i x="1577" nd="1"/>
        <i x="1578" nd="1"/>
        <i x="1579" nd="1"/>
        <i x="1580" nd="1"/>
        <i x="1581" nd="1"/>
        <i x="1582" nd="1"/>
        <i x="1583" nd="1"/>
        <i x="1584" nd="1"/>
        <i x="1585" nd="1"/>
        <i x="1586" nd="1"/>
        <i x="1587" nd="1"/>
        <i x="1588" nd="1"/>
        <i x="1589" nd="1"/>
        <i x="1590" nd="1"/>
        <i x="1591" nd="1"/>
        <i x="1592" nd="1"/>
        <i x="1593" nd="1"/>
        <i x="1594" nd="1"/>
        <i x="1595" nd="1"/>
        <i x="1596" nd="1"/>
        <i x="1597" nd="1"/>
        <i x="1598" nd="1"/>
        <i x="1599" nd="1"/>
        <i x="1600" nd="1"/>
        <i x="1601" nd="1"/>
        <i x="1602" nd="1"/>
        <i x="1603" nd="1"/>
        <i x="1604" nd="1"/>
        <i x="1605" nd="1"/>
        <i x="1606" nd="1"/>
        <i x="1607" nd="1"/>
        <i x="1608" nd="1"/>
        <i x="1609" nd="1"/>
        <i x="1610" nd="1"/>
        <i x="1611" nd="1"/>
        <i x="1612" nd="1"/>
        <i x="1613" nd="1"/>
        <i x="1614" nd="1"/>
        <i x="1615" nd="1"/>
        <i x="1616" nd="1"/>
        <i x="1617" nd="1"/>
        <i x="1618" nd="1"/>
        <i x="1619" nd="1"/>
        <i x="1620" nd="1"/>
        <i x="1621" nd="1"/>
        <i x="1622" nd="1"/>
        <i x="1623" nd="1"/>
        <i x="1624" nd="1"/>
        <i x="1625" nd="1"/>
        <i x="1626" nd="1"/>
        <i x="1627" nd="1"/>
        <i x="1628" nd="1"/>
        <i x="1629" nd="1"/>
        <i x="1630" nd="1"/>
        <i x="1631" nd="1"/>
        <i x="1632" nd="1"/>
        <i x="1633" nd="1"/>
        <i x="1634" nd="1"/>
        <i x="1635" nd="1"/>
        <i x="1636" nd="1"/>
        <i x="1637" nd="1"/>
        <i x="1638" nd="1"/>
        <i x="1639" nd="1"/>
        <i x="1640" nd="1"/>
        <i x="1641" nd="1"/>
        <i x="1642" nd="1"/>
        <i x="1643" nd="1"/>
        <i x="1644" nd="1"/>
        <i x="1645" nd="1"/>
        <i x="1646" nd="1"/>
        <i x="1647" nd="1"/>
        <i x="1648" nd="1"/>
        <i x="1649" nd="1"/>
        <i x="1650" nd="1"/>
        <i x="1651" nd="1"/>
        <i x="1652" nd="1"/>
        <i x="1653" nd="1"/>
        <i x="1654" nd="1"/>
        <i x="1655" nd="1"/>
        <i x="1656" nd="1"/>
        <i x="1657" nd="1"/>
        <i x="1658" nd="1"/>
        <i x="1659" nd="1"/>
        <i x="1660" nd="1"/>
        <i x="1661" nd="1"/>
        <i x="1662" nd="1"/>
        <i x="1663" nd="1"/>
        <i x="1664" nd="1"/>
        <i x="1665" nd="1"/>
        <i x="1666" nd="1"/>
        <i x="1667" nd="1"/>
        <i x="1668" nd="1"/>
        <i x="1669" nd="1"/>
        <i x="1670" nd="1"/>
        <i x="1671" nd="1"/>
        <i x="1672" nd="1"/>
        <i x="1673" nd="1"/>
        <i x="1674" nd="1"/>
        <i x="1675" nd="1"/>
        <i x="1676" nd="1"/>
        <i x="1677" nd="1"/>
        <i x="1678" nd="1"/>
        <i x="1679" nd="1"/>
        <i x="1680" nd="1"/>
        <i x="1681" nd="1"/>
        <i x="1682" nd="1"/>
        <i x="1683" nd="1"/>
        <i x="1684" nd="1"/>
        <i x="1685" nd="1"/>
        <i x="1686" nd="1"/>
        <i x="1687" nd="1"/>
        <i x="1688" nd="1"/>
        <i x="1689" nd="1"/>
        <i x="1690" nd="1"/>
        <i x="1691" nd="1"/>
        <i x="1692" nd="1"/>
        <i x="1693" nd="1"/>
        <i x="1694" nd="1"/>
        <i x="1695" nd="1"/>
        <i x="1696" nd="1"/>
        <i x="1697" nd="1"/>
        <i x="1698" nd="1"/>
        <i x="1699" nd="1"/>
        <i x="1700" nd="1"/>
        <i x="1701" nd="1"/>
        <i x="1702" nd="1"/>
        <i x="1703" nd="1"/>
        <i x="1704" nd="1"/>
        <i x="1705" nd="1"/>
        <i x="1706" nd="1"/>
        <i x="1707" nd="1"/>
        <i x="1708" nd="1"/>
        <i x="1709" nd="1"/>
        <i x="1710" nd="1"/>
        <i x="1711" nd="1"/>
        <i x="1712" nd="1"/>
        <i x="1713" nd="1"/>
        <i x="1714" nd="1"/>
        <i x="1715" nd="1"/>
        <i x="1716" nd="1"/>
        <i x="1717" nd="1"/>
        <i x="1718" nd="1"/>
        <i x="1719" nd="1"/>
        <i x="1720" nd="1"/>
        <i x="1721" nd="1"/>
        <i x="1722" nd="1"/>
        <i x="1723" nd="1"/>
        <i x="1724" nd="1"/>
        <i x="1725" nd="1"/>
        <i x="1726" nd="1"/>
        <i x="1727" nd="1"/>
        <i x="1728" nd="1"/>
        <i x="1729" nd="1"/>
        <i x="1730" nd="1"/>
        <i x="1731" nd="1"/>
        <i x="1732" nd="1"/>
        <i x="1733" nd="1"/>
        <i x="1734" nd="1"/>
        <i x="1735" nd="1"/>
        <i x="1736" nd="1"/>
        <i x="1737" nd="1"/>
        <i x="1738" nd="1"/>
        <i x="1739" nd="1"/>
        <i x="1740" nd="1"/>
        <i x="1741" nd="1"/>
        <i x="1742" nd="1"/>
        <i x="1743" nd="1"/>
        <i x="1744" nd="1"/>
        <i x="1745" nd="1"/>
        <i x="1746" nd="1"/>
        <i x="1747" nd="1"/>
        <i x="1748" nd="1"/>
        <i x="1749" nd="1"/>
        <i x="1750" nd="1"/>
        <i x="1751" nd="1"/>
        <i x="1752" nd="1"/>
        <i x="1753" nd="1"/>
        <i x="1754" nd="1"/>
        <i x="1755" nd="1"/>
        <i x="1756" nd="1"/>
        <i x="1757" nd="1"/>
        <i x="1758" nd="1"/>
        <i x="1759" nd="1"/>
        <i x="1760" nd="1"/>
        <i x="1761" nd="1"/>
        <i x="1762" nd="1"/>
        <i x="1763" nd="1"/>
        <i x="1764" nd="1"/>
        <i x="1765" nd="1"/>
        <i x="1766" nd="1"/>
        <i x="1767" nd="1"/>
        <i x="1768" nd="1"/>
        <i x="1769" nd="1"/>
        <i x="1770" nd="1"/>
        <i x="1771" nd="1"/>
        <i x="1772" nd="1"/>
        <i x="1773" nd="1"/>
        <i x="1774" nd="1"/>
        <i x="1775" nd="1"/>
        <i x="1776" nd="1"/>
        <i x="1777" nd="1"/>
        <i x="1778" nd="1"/>
        <i x="1779" nd="1"/>
        <i x="1780" nd="1"/>
        <i x="1781" nd="1"/>
        <i x="1782" nd="1"/>
        <i x="1783" nd="1"/>
        <i x="1784" nd="1"/>
        <i x="1785" nd="1"/>
        <i x="1786" nd="1"/>
        <i x="1787" nd="1"/>
        <i x="1788" nd="1"/>
        <i x="1789" nd="1"/>
        <i x="1790" nd="1"/>
        <i x="1791" nd="1"/>
        <i x="1792" nd="1"/>
        <i x="1793" nd="1"/>
        <i x="1794" nd="1"/>
        <i x="1795" nd="1"/>
        <i x="1796" nd="1"/>
        <i x="1797" nd="1"/>
        <i x="1798" nd="1"/>
        <i x="1799" nd="1"/>
        <i x="1800" nd="1"/>
        <i x="1801" nd="1"/>
        <i x="1802" nd="1"/>
        <i x="1803" nd="1"/>
        <i x="1804" nd="1"/>
        <i x="1805" nd="1"/>
        <i x="1806" nd="1"/>
        <i x="1807" nd="1"/>
        <i x="1808" nd="1"/>
        <i x="1809" nd="1"/>
        <i x="1810" nd="1"/>
        <i x="1811" nd="1"/>
        <i x="1812" nd="1"/>
        <i x="1813" nd="1"/>
        <i x="1814" nd="1"/>
        <i x="1815" nd="1"/>
        <i x="1816" nd="1"/>
        <i x="1817" nd="1"/>
        <i x="1818" nd="1"/>
        <i x="1819" nd="1"/>
        <i x="1820" nd="1"/>
        <i x="1821" nd="1"/>
        <i x="1822" nd="1"/>
        <i x="1823" nd="1"/>
        <i x="1824" nd="1"/>
        <i x="1825" nd="1"/>
        <i x="1826" nd="1"/>
        <i x="1827" nd="1"/>
        <i x="1828" nd="1"/>
        <i x="1829" nd="1"/>
        <i x="1830" nd="1"/>
        <i x="1831" nd="1"/>
        <i x="1832" nd="1"/>
        <i x="1833" nd="1"/>
        <i x="1834" nd="1"/>
        <i x="1835" nd="1"/>
        <i x="1836" nd="1"/>
        <i x="1837" nd="1"/>
        <i x="1838" nd="1"/>
        <i x="1839" nd="1"/>
        <i x="1840" nd="1"/>
        <i x="1841" nd="1"/>
        <i x="1842" nd="1"/>
        <i x="1843" nd="1"/>
        <i x="1844" nd="1"/>
        <i x="1845" nd="1"/>
        <i x="1846" nd="1"/>
        <i x="1847" nd="1"/>
        <i x="1848" nd="1"/>
        <i x="1849" nd="1"/>
        <i x="1850" nd="1"/>
        <i x="1851" nd="1"/>
        <i x="1852" nd="1"/>
        <i x="1853" nd="1"/>
        <i x="1854" nd="1"/>
        <i x="1855" nd="1"/>
        <i x="1856" nd="1"/>
        <i x="1857" nd="1"/>
        <i x="1858" nd="1"/>
        <i x="1859" nd="1"/>
        <i x="1860" nd="1"/>
        <i x="1861" nd="1"/>
        <i x="1862" nd="1"/>
        <i x="1863" nd="1"/>
        <i x="1864" nd="1"/>
        <i x="1865" nd="1"/>
        <i x="1866" nd="1"/>
        <i x="1867" nd="1"/>
        <i x="1868" nd="1"/>
        <i x="1869" nd="1"/>
        <i x="1870" nd="1"/>
        <i x="1871" nd="1"/>
        <i x="1872" nd="1"/>
        <i x="1873" nd="1"/>
        <i x="1874" nd="1"/>
        <i x="1875" nd="1"/>
        <i x="1876" nd="1"/>
        <i x="1877" nd="1"/>
        <i x="1878" nd="1"/>
        <i x="1879" nd="1"/>
        <i x="1880" nd="1"/>
        <i x="1881" nd="1"/>
        <i x="1882" nd="1"/>
        <i x="1883" nd="1"/>
        <i x="1884" nd="1"/>
        <i x="1885" nd="1"/>
        <i x="1886" nd="1"/>
        <i x="1887" nd="1"/>
        <i x="1888" nd="1"/>
        <i x="1889" nd="1"/>
        <i x="1890" nd="1"/>
        <i x="1891" nd="1"/>
        <i x="1892" nd="1"/>
        <i x="1893" nd="1"/>
        <i x="1894" nd="1"/>
        <i x="1895" nd="1"/>
        <i x="1896" nd="1"/>
        <i x="1897" nd="1"/>
        <i x="1898" nd="1"/>
        <i x="1899" nd="1"/>
        <i x="1900" nd="1"/>
        <i x="1901" nd="1"/>
        <i x="1902" nd="1"/>
        <i x="1903" nd="1"/>
        <i x="1904" nd="1"/>
        <i x="1905" nd="1"/>
        <i x="1906" nd="1"/>
        <i x="1907" nd="1"/>
        <i x="1908" nd="1"/>
        <i x="1909" nd="1"/>
        <i x="1910" nd="1"/>
        <i x="1911" nd="1"/>
        <i x="1912" nd="1"/>
        <i x="1913" nd="1"/>
        <i x="1914" nd="1"/>
        <i x="1915" nd="1"/>
        <i x="1916" nd="1"/>
        <i x="1917" nd="1"/>
        <i x="1918" nd="1"/>
        <i x="1919" nd="1"/>
        <i x="1920" nd="1"/>
        <i x="1921" nd="1"/>
        <i x="1922" nd="1"/>
        <i x="1923" nd="1"/>
        <i x="1924" nd="1"/>
        <i x="1925" nd="1"/>
        <i x="1926" nd="1"/>
        <i x="1927" nd="1"/>
        <i x="1928" nd="1"/>
        <i x="1929" nd="1"/>
        <i x="1930" nd="1"/>
        <i x="1931" nd="1"/>
        <i x="1932" nd="1"/>
        <i x="1933" nd="1"/>
        <i x="1934" nd="1"/>
        <i x="1935" nd="1"/>
        <i x="1936" nd="1"/>
        <i x="1937" nd="1"/>
        <i x="1938" nd="1"/>
        <i x="1939" nd="1"/>
        <i x="1940" nd="1"/>
        <i x="1941" nd="1"/>
        <i x="1942" nd="1"/>
        <i x="1943" nd="1"/>
        <i x="1944" nd="1"/>
        <i x="1945" nd="1"/>
        <i x="1946" nd="1"/>
        <i x="1947" nd="1"/>
        <i x="1948" nd="1"/>
        <i x="1949" nd="1"/>
        <i x="1950" nd="1"/>
        <i x="1951" nd="1"/>
        <i x="1952" nd="1"/>
        <i x="1953" nd="1"/>
        <i x="1954" nd="1"/>
        <i x="1955" nd="1"/>
        <i x="1956" nd="1"/>
        <i x="1957" nd="1"/>
        <i x="1958" nd="1"/>
        <i x="1959" nd="1"/>
        <i x="1960" nd="1"/>
        <i x="1961" nd="1"/>
        <i x="1962" nd="1"/>
        <i x="1963" nd="1"/>
        <i x="1964" nd="1"/>
        <i x="1965" nd="1"/>
        <i x="1966" nd="1"/>
        <i x="1967" nd="1"/>
        <i x="1968" nd="1"/>
        <i x="1969" nd="1"/>
        <i x="1970" nd="1"/>
        <i x="1971" nd="1"/>
        <i x="1972" nd="1"/>
        <i x="1973" nd="1"/>
        <i x="1974" nd="1"/>
        <i x="1975" nd="1"/>
        <i x="1976" nd="1"/>
        <i x="1977" nd="1"/>
        <i x="1978" nd="1"/>
        <i x="1979" nd="1"/>
        <i x="1980" nd="1"/>
        <i x="1981" nd="1"/>
        <i x="1982" nd="1"/>
        <i x="1983" nd="1"/>
        <i x="1984" nd="1"/>
        <i x="1985" nd="1"/>
        <i x="1986" nd="1"/>
        <i x="1987" nd="1"/>
        <i x="1988" nd="1"/>
        <i x="1989" nd="1"/>
        <i x="1990" nd="1"/>
        <i x="1991" nd="1"/>
        <i x="1992" nd="1"/>
        <i x="1993" nd="1"/>
        <i x="1994" nd="1"/>
        <i x="1995" nd="1"/>
        <i x="1996" nd="1"/>
        <i x="1997" nd="1"/>
        <i x="1998" nd="1"/>
        <i x="1999" nd="1"/>
        <i x="2000" nd="1"/>
        <i x="2001" nd="1"/>
        <i x="2002" nd="1"/>
        <i x="2003" nd="1"/>
        <i x="2004" nd="1"/>
        <i x="2005" nd="1"/>
        <i x="2006" nd="1"/>
        <i x="2007" nd="1"/>
        <i x="2008" nd="1"/>
        <i x="2009" nd="1"/>
        <i x="2010" nd="1"/>
        <i x="2011" nd="1"/>
        <i x="2012" nd="1"/>
        <i x="2013" nd="1"/>
        <i x="2014" nd="1"/>
        <i x="2015" nd="1"/>
        <i x="2016" nd="1"/>
        <i x="2017" nd="1"/>
        <i x="2018" nd="1"/>
        <i x="2019" nd="1"/>
        <i x="2020" nd="1"/>
        <i x="2021" nd="1"/>
        <i x="2022" nd="1"/>
        <i x="2023" nd="1"/>
        <i x="2024" nd="1"/>
        <i x="2025" nd="1"/>
        <i x="2026" nd="1"/>
        <i x="2027" nd="1"/>
        <i x="2028" nd="1"/>
        <i x="2029" nd="1"/>
        <i x="2030" nd="1"/>
        <i x="2031" nd="1"/>
        <i x="2032" nd="1"/>
        <i x="2033" nd="1"/>
        <i x="2034" nd="1"/>
        <i x="2035" nd="1"/>
        <i x="2036" nd="1"/>
        <i x="2037" nd="1"/>
        <i x="2038" nd="1"/>
        <i x="2039" nd="1"/>
        <i x="2040" nd="1"/>
        <i x="2041" nd="1"/>
        <i x="2042" nd="1"/>
        <i x="2043" nd="1"/>
        <i x="2044" nd="1"/>
        <i x="2045" nd="1"/>
        <i x="2046" nd="1"/>
        <i x="2047" nd="1"/>
        <i x="2048" nd="1"/>
        <i x="2049" nd="1"/>
        <i x="2050" nd="1"/>
        <i x="2051" nd="1"/>
        <i x="2052" nd="1"/>
        <i x="2053" nd="1"/>
        <i x="2054" nd="1"/>
        <i x="2055" nd="1"/>
        <i x="2056" nd="1"/>
        <i x="2057" nd="1"/>
        <i x="2058" nd="1"/>
        <i x="2059" nd="1"/>
        <i x="2060" nd="1"/>
        <i x="2061" nd="1"/>
        <i x="2062" nd="1"/>
        <i x="2063" nd="1"/>
        <i x="2064" nd="1"/>
        <i x="2065" nd="1"/>
        <i x="2066" nd="1"/>
        <i x="2067" nd="1"/>
        <i x="2068" nd="1"/>
        <i x="2069" nd="1"/>
        <i x="2070" nd="1"/>
        <i x="2071" nd="1"/>
        <i x="2072" nd="1"/>
        <i x="2073" nd="1"/>
        <i x="2074" nd="1"/>
        <i x="2075" nd="1"/>
        <i x="2076" nd="1"/>
        <i x="2077" nd="1"/>
        <i x="2078" nd="1"/>
        <i x="2079" nd="1"/>
        <i x="2080" nd="1"/>
        <i x="2081" nd="1"/>
        <i x="2082" nd="1"/>
        <i x="2083" nd="1"/>
        <i x="2084" nd="1"/>
        <i x="2085" nd="1"/>
        <i x="2086" nd="1"/>
        <i x="2087" nd="1"/>
        <i x="2088" nd="1"/>
        <i x="2089" nd="1"/>
        <i x="2090" nd="1"/>
        <i x="2091" nd="1"/>
        <i x="2092" nd="1"/>
        <i x="2093" nd="1"/>
        <i x="2094" nd="1"/>
        <i x="2095" nd="1"/>
        <i x="2096" nd="1"/>
        <i x="2097" nd="1"/>
        <i x="2098" nd="1"/>
        <i x="2099" nd="1"/>
        <i x="2100" nd="1"/>
        <i x="2101" nd="1"/>
        <i x="2102" nd="1"/>
        <i x="2103" nd="1"/>
        <i x="2104" nd="1"/>
        <i x="2105" nd="1"/>
        <i x="2106" nd="1"/>
        <i x="2107" nd="1"/>
        <i x="2108" nd="1"/>
        <i x="2109" nd="1"/>
        <i x="2110" nd="1"/>
        <i x="2111" nd="1"/>
        <i x="2112" nd="1"/>
        <i x="2113" nd="1"/>
        <i x="2114" nd="1"/>
        <i x="2115" nd="1"/>
        <i x="2116" nd="1"/>
        <i x="2117" nd="1"/>
        <i x="2118" nd="1"/>
        <i x="2119" nd="1"/>
        <i x="2120" nd="1"/>
        <i x="2121" nd="1"/>
        <i x="2122" nd="1"/>
        <i x="2123" nd="1"/>
        <i x="2124" nd="1"/>
        <i x="2125" nd="1"/>
        <i x="2126" nd="1"/>
        <i x="2127" nd="1"/>
        <i x="2128" nd="1"/>
        <i x="2129" nd="1"/>
        <i x="2130" nd="1"/>
        <i x="2131" nd="1"/>
        <i x="2132" nd="1"/>
        <i x="2133" nd="1"/>
        <i x="2134" nd="1"/>
        <i x="2135" nd="1"/>
        <i x="2136" nd="1"/>
        <i x="2137" nd="1"/>
        <i x="2138" nd="1"/>
        <i x="2139" nd="1"/>
        <i x="2140" nd="1"/>
        <i x="2141" nd="1"/>
        <i x="2142" nd="1"/>
        <i x="2143" nd="1"/>
        <i x="2144" nd="1"/>
        <i x="2145" nd="1"/>
        <i x="2146" nd="1"/>
        <i x="2147" nd="1"/>
        <i x="2148" nd="1"/>
        <i x="2149" nd="1"/>
        <i x="2150" nd="1"/>
        <i x="2151" nd="1"/>
        <i x="2152" nd="1"/>
        <i x="2153" nd="1"/>
        <i x="2154" nd="1"/>
        <i x="2155" nd="1"/>
        <i x="2156" nd="1"/>
        <i x="2157" nd="1"/>
        <i x="2158" nd="1"/>
        <i x="2159" nd="1"/>
        <i x="2160" nd="1"/>
        <i x="2161" nd="1"/>
        <i x="2162" nd="1"/>
        <i x="2163" nd="1"/>
        <i x="2164" nd="1"/>
        <i x="2165" nd="1"/>
        <i x="2166" nd="1"/>
        <i x="2167" nd="1"/>
        <i x="2168" nd="1"/>
        <i x="2169" nd="1"/>
        <i x="2170" nd="1"/>
        <i x="2171" nd="1"/>
        <i x="2172" nd="1"/>
        <i x="2173" nd="1"/>
        <i x="2174" nd="1"/>
        <i x="2175" nd="1"/>
        <i x="2176" nd="1"/>
        <i x="2177" nd="1"/>
        <i x="2178" nd="1"/>
        <i x="2179" nd="1"/>
        <i x="2180" nd="1"/>
        <i x="2181" nd="1"/>
        <i x="2182" nd="1"/>
        <i x="2183" nd="1"/>
        <i x="2184" nd="1"/>
        <i x="2185" nd="1"/>
        <i x="2186" nd="1"/>
        <i x="2187" nd="1"/>
        <i x="2188" nd="1"/>
        <i x="2189" nd="1"/>
        <i x="2190" nd="1"/>
        <i x="2191" nd="1"/>
        <i x="2192" nd="1"/>
        <i x="2193" nd="1"/>
        <i x="2194" nd="1"/>
        <i x="2195" nd="1"/>
        <i x="2196" nd="1"/>
        <i x="2197" nd="1"/>
        <i x="2198" nd="1"/>
        <i x="2199" nd="1"/>
        <i x="2200" nd="1"/>
        <i x="2201" nd="1"/>
        <i x="2202" nd="1"/>
        <i x="2203" nd="1"/>
        <i x="2204" nd="1"/>
        <i x="2205" nd="1"/>
        <i x="2206" nd="1"/>
        <i x="2207" nd="1"/>
        <i x="2208" nd="1"/>
        <i x="2209" nd="1"/>
        <i x="2210" nd="1"/>
        <i x="2211" nd="1"/>
        <i x="2212" nd="1"/>
        <i x="2213" nd="1"/>
        <i x="2214" nd="1"/>
        <i x="2215" nd="1"/>
        <i x="2216" nd="1"/>
        <i x="2217" nd="1"/>
        <i x="2218" nd="1"/>
        <i x="2219" nd="1"/>
        <i x="2220" nd="1"/>
        <i x="2221" nd="1"/>
        <i x="2222" nd="1"/>
        <i x="2223" nd="1"/>
        <i x="2224" nd="1"/>
        <i x="2225" nd="1"/>
        <i x="2226" nd="1"/>
        <i x="2227" nd="1"/>
        <i x="2228" nd="1"/>
        <i x="2229" nd="1"/>
        <i x="2230" nd="1"/>
        <i x="2231" nd="1"/>
        <i x="2232" nd="1"/>
        <i x="2233" nd="1"/>
        <i x="2234" nd="1"/>
        <i x="2235" nd="1"/>
        <i x="2236" nd="1"/>
        <i x="2237" nd="1"/>
        <i x="2238" nd="1"/>
        <i x="2239" nd="1"/>
        <i x="2240" nd="1"/>
        <i x="2241" nd="1"/>
        <i x="2242" nd="1"/>
        <i x="2243" nd="1"/>
        <i x="2244" nd="1"/>
        <i x="2245" nd="1"/>
        <i x="2246" nd="1"/>
        <i x="2247" nd="1"/>
        <i x="2248" nd="1"/>
        <i x="2249" nd="1"/>
        <i x="2250" nd="1"/>
        <i x="2251" nd="1"/>
        <i x="2252" nd="1"/>
        <i x="2253" nd="1"/>
        <i x="2254" nd="1"/>
        <i x="2255" nd="1"/>
        <i x="2256" nd="1"/>
        <i x="2257" nd="1"/>
        <i x="2258" nd="1"/>
        <i x="2259" nd="1"/>
        <i x="2260" nd="1"/>
        <i x="2261" nd="1"/>
        <i x="2262" nd="1"/>
        <i x="2263" nd="1"/>
        <i x="2264" nd="1"/>
        <i x="2265" nd="1"/>
        <i x="2266" nd="1"/>
        <i x="2267" nd="1"/>
        <i x="2268" nd="1"/>
        <i x="2269" nd="1"/>
        <i x="2270" nd="1"/>
        <i x="2271" nd="1"/>
        <i x="2272" nd="1"/>
        <i x="2273" nd="1"/>
        <i x="2274" nd="1"/>
        <i x="2275" nd="1"/>
        <i x="2276" nd="1"/>
        <i x="2277" nd="1"/>
        <i x="2278" nd="1"/>
        <i x="2279" nd="1"/>
        <i x="2280" nd="1"/>
        <i x="2281" nd="1"/>
        <i x="2282" nd="1"/>
        <i x="2283" nd="1"/>
        <i x="2284" nd="1"/>
        <i x="2285" nd="1"/>
        <i x="2286" nd="1"/>
        <i x="2287" nd="1"/>
        <i x="2288" nd="1"/>
        <i x="2289" nd="1"/>
        <i x="2290" nd="1"/>
        <i x="2291" nd="1"/>
        <i x="2292" nd="1"/>
        <i x="2293" nd="1"/>
        <i x="2294" nd="1"/>
        <i x="2295" nd="1"/>
        <i x="2296" nd="1"/>
        <i x="2297" nd="1"/>
        <i x="2298" nd="1"/>
        <i x="2299" nd="1"/>
        <i x="2300" nd="1"/>
        <i x="2301" nd="1"/>
        <i x="2302" nd="1"/>
        <i x="2303" nd="1"/>
        <i x="2304" nd="1"/>
        <i x="2305" nd="1"/>
        <i x="2306" nd="1"/>
        <i x="2307" nd="1"/>
        <i x="2308" nd="1"/>
        <i x="2309" nd="1"/>
        <i x="2310" nd="1"/>
        <i x="2311" nd="1"/>
        <i x="2312" nd="1"/>
        <i x="2313" nd="1"/>
        <i x="2314" nd="1"/>
        <i x="2315" nd="1"/>
        <i x="2316" nd="1"/>
        <i x="2317" nd="1"/>
        <i x="2318" nd="1"/>
        <i x="2319" nd="1"/>
        <i x="2320" nd="1"/>
        <i x="2321" nd="1"/>
        <i x="2322" nd="1"/>
        <i x="2323" nd="1"/>
        <i x="2324" nd="1"/>
        <i x="2325" nd="1"/>
        <i x="2326" nd="1"/>
        <i x="2327" nd="1"/>
        <i x="2328" nd="1"/>
        <i x="2329" nd="1"/>
        <i x="2330" nd="1"/>
        <i x="2331" nd="1"/>
        <i x="2332" nd="1"/>
        <i x="2333" nd="1"/>
        <i x="2334" nd="1"/>
        <i x="2335" nd="1"/>
        <i x="2336" nd="1"/>
        <i x="2337" nd="1"/>
        <i x="2338" nd="1"/>
        <i x="2339" nd="1"/>
        <i x="2340" nd="1"/>
        <i x="2341" nd="1"/>
        <i x="2342" nd="1"/>
        <i x="2343" nd="1"/>
        <i x="2344" nd="1"/>
        <i x="2345" nd="1"/>
        <i x="2346" nd="1"/>
        <i x="2347" nd="1"/>
        <i x="2348" nd="1"/>
        <i x="2349" nd="1"/>
        <i x="2350" nd="1"/>
        <i x="2351" nd="1"/>
        <i x="2352" nd="1"/>
        <i x="2353" nd="1"/>
        <i x="2354" nd="1"/>
        <i x="2355" nd="1"/>
        <i x="2356" nd="1"/>
        <i x="2357" nd="1"/>
        <i x="2358" nd="1"/>
        <i x="2359" nd="1"/>
        <i x="2360" nd="1"/>
        <i x="2361" nd="1"/>
        <i x="2362" nd="1"/>
        <i x="2363" nd="1"/>
        <i x="2364" nd="1"/>
        <i x="2365" nd="1"/>
        <i x="2366" nd="1"/>
        <i x="2367" nd="1"/>
        <i x="2368" nd="1"/>
        <i x="2369" nd="1"/>
        <i x="2370" nd="1"/>
        <i x="2371" nd="1"/>
        <i x="2372" nd="1"/>
        <i x="2373" nd="1"/>
        <i x="2374" nd="1"/>
        <i x="2375" nd="1"/>
        <i x="2376" nd="1"/>
        <i x="2377" nd="1"/>
        <i x="2378" nd="1"/>
        <i x="2379" nd="1"/>
        <i x="2380" nd="1"/>
        <i x="2381" nd="1"/>
        <i x="2382" nd="1"/>
        <i x="2383" nd="1"/>
        <i x="2384" nd="1"/>
        <i x="2385" nd="1"/>
        <i x="2386" nd="1"/>
        <i x="2387" nd="1"/>
        <i x="2388" nd="1"/>
        <i x="2389" nd="1"/>
        <i x="2390" nd="1"/>
        <i x="2391" nd="1"/>
        <i x="2392" nd="1"/>
        <i x="2393" nd="1"/>
        <i x="2394" nd="1"/>
        <i x="2395" nd="1"/>
        <i x="2396" nd="1"/>
        <i x="2397" nd="1"/>
        <i x="2398" nd="1"/>
        <i x="2399" nd="1"/>
        <i x="2400" nd="1"/>
        <i x="2401" nd="1"/>
        <i x="2402" nd="1"/>
        <i x="2403" nd="1"/>
        <i x="2404" nd="1"/>
        <i x="2405" nd="1"/>
        <i x="2406" nd="1"/>
        <i x="2407" nd="1"/>
        <i x="2408" nd="1"/>
        <i x="2409" nd="1"/>
        <i x="2410" nd="1"/>
        <i x="2411" nd="1"/>
        <i x="2412" nd="1"/>
        <i x="2413" nd="1"/>
        <i x="2414" nd="1"/>
        <i x="2415" nd="1"/>
        <i x="2416" nd="1"/>
        <i x="2417" nd="1"/>
        <i x="2418" nd="1"/>
        <i x="2419" nd="1"/>
        <i x="2420" nd="1"/>
        <i x="2421" nd="1"/>
        <i x="2422" nd="1"/>
        <i x="2423" nd="1"/>
        <i x="2424" nd="1"/>
        <i x="2425" nd="1"/>
        <i x="2426" nd="1"/>
        <i x="2427" nd="1"/>
        <i x="2428" nd="1"/>
        <i x="2429" nd="1"/>
        <i x="2430" nd="1"/>
        <i x="2431" nd="1"/>
        <i x="2432" nd="1"/>
        <i x="2433" nd="1"/>
        <i x="2434" nd="1"/>
        <i x="2435" nd="1"/>
        <i x="2436" nd="1"/>
        <i x="2437" nd="1"/>
        <i x="2438" nd="1"/>
        <i x="2439" nd="1"/>
        <i x="2440" nd="1"/>
        <i x="2441" nd="1"/>
        <i x="2442" nd="1"/>
        <i x="2443" nd="1"/>
        <i x="2444" nd="1"/>
        <i x="2445" nd="1"/>
        <i x="2446" nd="1"/>
        <i x="2447" nd="1"/>
        <i x="2448" nd="1"/>
        <i x="2449" nd="1"/>
        <i x="2450" nd="1"/>
        <i x="2451" nd="1"/>
        <i x="2452" nd="1"/>
        <i x="2453" nd="1"/>
        <i x="2454" nd="1"/>
        <i x="2455" nd="1"/>
        <i x="2456" nd="1"/>
        <i x="2457" nd="1"/>
        <i x="2458" nd="1"/>
        <i x="2459" nd="1"/>
        <i x="2460" nd="1"/>
        <i x="2461" nd="1"/>
        <i x="2462" nd="1"/>
        <i x="2463" nd="1"/>
        <i x="2464" nd="1"/>
        <i x="2465" nd="1"/>
        <i x="2466" nd="1"/>
        <i x="2467" nd="1"/>
        <i x="2468" nd="1"/>
        <i x="2469" nd="1"/>
        <i x="2470" nd="1"/>
        <i x="2471" nd="1"/>
        <i x="2472" nd="1"/>
        <i x="2473" nd="1"/>
        <i x="2474" nd="1"/>
        <i x="2475" nd="1"/>
        <i x="2476" nd="1"/>
        <i x="2477" nd="1"/>
        <i x="2478" nd="1"/>
        <i x="2479" nd="1"/>
        <i x="2480" nd="1"/>
        <i x="2481" nd="1"/>
        <i x="2482" nd="1"/>
        <i x="2483" nd="1"/>
        <i x="2484" nd="1"/>
        <i x="2485" nd="1"/>
        <i x="2486" nd="1"/>
        <i x="2487" nd="1"/>
        <i x="2488" nd="1"/>
        <i x="2489" nd="1"/>
        <i x="2490" nd="1"/>
        <i x="2491" nd="1"/>
        <i x="2492" nd="1"/>
        <i x="2493" nd="1"/>
        <i x="2494" nd="1"/>
        <i x="2495" nd="1"/>
        <i x="2496" nd="1"/>
        <i x="2497" nd="1"/>
        <i x="2498" nd="1"/>
        <i x="2499" nd="1"/>
        <i x="2500" nd="1"/>
        <i x="2501" nd="1"/>
        <i x="2502" nd="1"/>
        <i x="2503" nd="1"/>
        <i x="2504" nd="1"/>
        <i x="2505" nd="1"/>
        <i x="2506" nd="1"/>
        <i x="2507" nd="1"/>
        <i x="2508" nd="1"/>
        <i x="2509" nd="1"/>
        <i x="2510" nd="1"/>
        <i x="2511" nd="1"/>
        <i x="2512" nd="1"/>
        <i x="2513" nd="1"/>
        <i x="2514" nd="1"/>
        <i x="2515" nd="1"/>
        <i x="2516" nd="1"/>
        <i x="2517" nd="1"/>
        <i x="2518" nd="1"/>
        <i x="2519" nd="1"/>
        <i x="2520" nd="1"/>
        <i x="2521" nd="1"/>
        <i x="2522" nd="1"/>
        <i x="2523" nd="1"/>
        <i x="2524" nd="1"/>
        <i x="2525" nd="1"/>
        <i x="2526" nd="1"/>
        <i x="2527" nd="1"/>
        <i x="2528" nd="1"/>
        <i x="2529" nd="1"/>
        <i x="2530" nd="1"/>
        <i x="2531" nd="1"/>
        <i x="2532" nd="1"/>
        <i x="2533" nd="1"/>
        <i x="2534" nd="1"/>
        <i x="2535" nd="1"/>
        <i x="2536" nd="1"/>
        <i x="2537" nd="1"/>
        <i x="2538" nd="1"/>
        <i x="2539" nd="1"/>
        <i x="2540" nd="1"/>
        <i x="2541" nd="1"/>
        <i x="2542" nd="1"/>
        <i x="2543" nd="1"/>
        <i x="2544" nd="1"/>
        <i x="2545" nd="1"/>
        <i x="2546" nd="1"/>
        <i x="2547" nd="1"/>
        <i x="2548" nd="1"/>
        <i x="2549" nd="1"/>
        <i x="2550" nd="1"/>
        <i x="2551" nd="1"/>
        <i x="2552" nd="1"/>
        <i x="2553" nd="1"/>
        <i x="2554" nd="1"/>
        <i x="2555" nd="1"/>
        <i x="2556" nd="1"/>
        <i x="2557" nd="1"/>
        <i x="2558" nd="1"/>
        <i x="2559" nd="1"/>
        <i x="2560" nd="1"/>
        <i x="2561" nd="1"/>
        <i x="2562" nd="1"/>
        <i x="2563" nd="1"/>
        <i x="2564" nd="1"/>
        <i x="2565" nd="1"/>
        <i x="2566" nd="1"/>
        <i x="2567" nd="1"/>
        <i x="2568" nd="1"/>
        <i x="2569" nd="1"/>
        <i x="2570" nd="1"/>
        <i x="2571" nd="1"/>
        <i x="2572" nd="1"/>
        <i x="2573" nd="1"/>
        <i x="2574" nd="1"/>
        <i x="2575" nd="1"/>
        <i x="2576" nd="1"/>
        <i x="2577" nd="1"/>
        <i x="2578" nd="1"/>
        <i x="2579" nd="1"/>
        <i x="2580" nd="1"/>
        <i x="2581" nd="1"/>
        <i x="2582" nd="1"/>
        <i x="2583" nd="1"/>
        <i x="2584" nd="1"/>
        <i x="2585" nd="1"/>
        <i x="2586" nd="1"/>
        <i x="2587" nd="1"/>
        <i x="2588" nd="1"/>
        <i x="2589" nd="1"/>
        <i x="2590" nd="1"/>
        <i x="2591" nd="1"/>
        <i x="2592" nd="1"/>
        <i x="2593" nd="1"/>
        <i x="2594" nd="1"/>
        <i x="2595" nd="1"/>
        <i x="2596" nd="1"/>
        <i x="2597" nd="1"/>
        <i x="2598" nd="1"/>
        <i x="2599" nd="1"/>
        <i x="2600" nd="1"/>
        <i x="2601" nd="1"/>
        <i x="2602" nd="1"/>
        <i x="2603" nd="1"/>
        <i x="2604" nd="1"/>
        <i x="2605" nd="1"/>
        <i x="2606" nd="1"/>
        <i x="2607" nd="1"/>
        <i x="2608" nd="1"/>
        <i x="2609" nd="1"/>
        <i x="2610" nd="1"/>
        <i x="2611" nd="1"/>
        <i x="2612" nd="1"/>
        <i x="2613" nd="1"/>
        <i x="2614" nd="1"/>
        <i x="2615" nd="1"/>
        <i x="2616" nd="1"/>
        <i x="2617" nd="1"/>
        <i x="2618" nd="1"/>
        <i x="2619" nd="1"/>
        <i x="2620" nd="1"/>
        <i x="2621" nd="1"/>
        <i x="2622" nd="1"/>
        <i x="2623" nd="1"/>
        <i x="2624" nd="1"/>
        <i x="2625" nd="1"/>
        <i x="2626" nd="1"/>
        <i x="2627" nd="1"/>
        <i x="2628" nd="1"/>
        <i x="2629" nd="1"/>
        <i x="2630" nd="1"/>
        <i x="2631" nd="1"/>
        <i x="2632" nd="1"/>
        <i x="2633" nd="1"/>
        <i x="2634" nd="1"/>
        <i x="2635" nd="1"/>
        <i x="2636" nd="1"/>
        <i x="2637" nd="1"/>
        <i x="2638" nd="1"/>
        <i x="2639" nd="1"/>
        <i x="2640" nd="1"/>
        <i x="2641" nd="1"/>
        <i x="2642" nd="1"/>
        <i x="2643" nd="1"/>
        <i x="2644" nd="1"/>
        <i x="2645" nd="1"/>
        <i x="2646" nd="1"/>
        <i x="2647" nd="1"/>
        <i x="2648" nd="1"/>
        <i x="2649" nd="1"/>
        <i x="2650" nd="1"/>
        <i x="2651" nd="1"/>
        <i x="2652" nd="1"/>
        <i x="2653" nd="1"/>
        <i x="2654" nd="1"/>
        <i x="2655" nd="1"/>
        <i x="2656" nd="1"/>
        <i x="2657" nd="1"/>
        <i x="2658" nd="1"/>
        <i x="2659" nd="1"/>
        <i x="2660" nd="1"/>
        <i x="2661" nd="1"/>
        <i x="2662" nd="1"/>
        <i x="2663" nd="1"/>
        <i x="2664" nd="1"/>
        <i x="2665" nd="1"/>
        <i x="2666" nd="1"/>
        <i x="2667" nd="1"/>
        <i x="2668" nd="1"/>
        <i x="2669" nd="1"/>
        <i x="2670" nd="1"/>
        <i x="2671" nd="1"/>
        <i x="2672" nd="1"/>
        <i x="2673" nd="1"/>
        <i x="2674" nd="1"/>
        <i x="2675" nd="1"/>
        <i x="2676" nd="1"/>
        <i x="2677" nd="1"/>
        <i x="2678" nd="1"/>
        <i x="2679" nd="1"/>
        <i x="2680" nd="1"/>
        <i x="2681" nd="1"/>
        <i x="2682" nd="1"/>
        <i x="2683" nd="1"/>
        <i x="2684" nd="1"/>
        <i x="2685" nd="1"/>
        <i x="2686" nd="1"/>
        <i x="2687" nd="1"/>
        <i x="2688" nd="1"/>
        <i x="2689" nd="1"/>
        <i x="2690" nd="1"/>
        <i x="2691" nd="1"/>
        <i x="2692" nd="1"/>
        <i x="2693" nd="1"/>
        <i x="2694" nd="1"/>
        <i x="2695" nd="1"/>
        <i x="2696" nd="1"/>
        <i x="2697" nd="1"/>
        <i x="2698" nd="1"/>
        <i x="2699" nd="1"/>
        <i x="2700" nd="1"/>
        <i x="2701" nd="1"/>
        <i x="2702" nd="1"/>
        <i x="2703" nd="1"/>
        <i x="2704" nd="1"/>
        <i x="2705" nd="1"/>
        <i x="2706" nd="1"/>
        <i x="2707" nd="1"/>
        <i x="2708" nd="1"/>
        <i x="2709" nd="1"/>
        <i x="2710" nd="1"/>
        <i x="2711" nd="1"/>
        <i x="2712" nd="1"/>
        <i x="2713" nd="1"/>
        <i x="2714" nd="1"/>
        <i x="2715" nd="1"/>
        <i x="2716" nd="1"/>
        <i x="2717" nd="1"/>
        <i x="2718" nd="1"/>
        <i x="2719" nd="1"/>
        <i x="2720" nd="1"/>
        <i x="2721" nd="1"/>
        <i x="2722" nd="1"/>
        <i x="2723" nd="1"/>
        <i x="2724" nd="1"/>
        <i x="2725" nd="1"/>
        <i x="2726" nd="1"/>
        <i x="2727" nd="1"/>
        <i x="2728" nd="1"/>
        <i x="2729" nd="1"/>
        <i x="2730" nd="1"/>
        <i x="2731" nd="1"/>
        <i x="2732" nd="1"/>
        <i x="2733" nd="1"/>
        <i x="2734" nd="1"/>
        <i x="2735" nd="1"/>
        <i x="2736" nd="1"/>
        <i x="2737" nd="1"/>
        <i x="2738" nd="1"/>
        <i x="2739" nd="1"/>
        <i x="2740" nd="1"/>
        <i x="2741" nd="1"/>
        <i x="2742" nd="1"/>
        <i x="2743" nd="1"/>
        <i x="2744" nd="1"/>
        <i x="2745" nd="1"/>
        <i x="2746" nd="1"/>
        <i x="2747" nd="1"/>
        <i x="2748" nd="1"/>
        <i x="2749" nd="1"/>
        <i x="2750" nd="1"/>
        <i x="2751" nd="1"/>
        <i x="2752" nd="1"/>
        <i x="2753" nd="1"/>
        <i x="2754" nd="1"/>
        <i x="2755" nd="1"/>
        <i x="2756" nd="1"/>
        <i x="2757" nd="1"/>
        <i x="2758" nd="1"/>
        <i x="2759" nd="1"/>
        <i x="2760" nd="1"/>
        <i x="2761" nd="1"/>
        <i x="2762" nd="1"/>
        <i x="2763" nd="1"/>
        <i x="2764" nd="1"/>
        <i x="2765" nd="1"/>
        <i x="2766" nd="1"/>
        <i x="2767" nd="1"/>
        <i x="2768" nd="1"/>
        <i x="2769" nd="1"/>
        <i x="2770" nd="1"/>
        <i x="2771" nd="1"/>
        <i x="2772" nd="1"/>
        <i x="2773" nd="1"/>
        <i x="2774" nd="1"/>
        <i x="2775" nd="1"/>
        <i x="2776" nd="1"/>
        <i x="2777" nd="1"/>
        <i x="2778" nd="1"/>
        <i x="2779" nd="1"/>
        <i x="2780" nd="1"/>
        <i x="2781" nd="1"/>
        <i x="2782" nd="1"/>
        <i x="2783" nd="1"/>
        <i x="2784" nd="1"/>
        <i x="2785" nd="1"/>
        <i x="2786" nd="1"/>
        <i x="2787" nd="1"/>
        <i x="2788" nd="1"/>
        <i x="2789" nd="1"/>
        <i x="2790" nd="1"/>
        <i x="2791" nd="1"/>
        <i x="2792" nd="1"/>
        <i x="2793" nd="1"/>
        <i x="2794" nd="1"/>
        <i x="2795" nd="1"/>
        <i x="2796" nd="1"/>
        <i x="2797" nd="1"/>
        <i x="2798" nd="1"/>
        <i x="2799" nd="1"/>
        <i x="2800" nd="1"/>
        <i x="2801" nd="1"/>
        <i x="2802" nd="1"/>
        <i x="2803" nd="1"/>
        <i x="2804" nd="1"/>
        <i x="2805" nd="1"/>
        <i x="2806" nd="1"/>
        <i x="2807" nd="1"/>
        <i x="2808" nd="1"/>
        <i x="2809" nd="1"/>
        <i x="2810" nd="1"/>
        <i x="2811" nd="1"/>
        <i x="2812" nd="1"/>
        <i x="2813" nd="1"/>
        <i x="2814" nd="1"/>
        <i x="2815" nd="1"/>
        <i x="2816" nd="1"/>
        <i x="2817" nd="1"/>
        <i x="2818" nd="1"/>
        <i x="2819" nd="1"/>
        <i x="2820" nd="1"/>
        <i x="2821" nd="1"/>
        <i x="2822" nd="1"/>
        <i x="2823" nd="1"/>
        <i x="2824" nd="1"/>
        <i x="2825" nd="1"/>
        <i x="2826" nd="1"/>
        <i x="2827" nd="1"/>
        <i x="2828" nd="1"/>
        <i x="2829" nd="1"/>
        <i x="2830" nd="1"/>
        <i x="2831" nd="1"/>
        <i x="2832" nd="1"/>
        <i x="2833" nd="1"/>
        <i x="2834" nd="1"/>
        <i x="2835" nd="1"/>
        <i x="2836" nd="1"/>
        <i x="2837" nd="1"/>
        <i x="2838" nd="1"/>
        <i x="2839" nd="1"/>
        <i x="2840" nd="1"/>
        <i x="2841" nd="1"/>
        <i x="2842" nd="1"/>
        <i x="2843" nd="1"/>
        <i x="2844" nd="1"/>
        <i x="2845" nd="1"/>
        <i x="2846" nd="1"/>
        <i x="2847" nd="1"/>
        <i x="2848" nd="1"/>
        <i x="2849" nd="1"/>
        <i x="2850" nd="1"/>
        <i x="2851" nd="1"/>
        <i x="2852" nd="1"/>
        <i x="2853" nd="1"/>
        <i x="2854" nd="1"/>
        <i x="2855" nd="1"/>
        <i x="2856" nd="1"/>
        <i x="2857" nd="1"/>
        <i x="2858" nd="1"/>
        <i x="2859" nd="1"/>
        <i x="2860" nd="1"/>
        <i x="2861" nd="1"/>
        <i x="2862" nd="1"/>
        <i x="2863" nd="1"/>
        <i x="2864" nd="1"/>
        <i x="2865" nd="1"/>
        <i x="2866" nd="1"/>
        <i x="2867" nd="1"/>
        <i x="2868" nd="1"/>
        <i x="2869" nd="1"/>
        <i x="2870" nd="1"/>
        <i x="2871" nd="1"/>
        <i x="2872" nd="1"/>
        <i x="2873" nd="1"/>
        <i x="2874" nd="1"/>
        <i x="2875" nd="1"/>
        <i x="2876" nd="1"/>
        <i x="2877" nd="1"/>
        <i x="2878" nd="1"/>
        <i x="2879" nd="1"/>
        <i x="2880" nd="1"/>
        <i x="2881" nd="1"/>
        <i x="2882" nd="1"/>
        <i x="2883" nd="1"/>
        <i x="2884" nd="1"/>
        <i x="2885" nd="1"/>
        <i x="2886" nd="1"/>
        <i x="2887" nd="1"/>
        <i x="2888" nd="1"/>
        <i x="2889" nd="1"/>
        <i x="2890" nd="1"/>
        <i x="2891" nd="1"/>
        <i x="2892" nd="1"/>
        <i x="2893" nd="1"/>
        <i x="2894" nd="1"/>
        <i x="2895" nd="1"/>
        <i x="2896" nd="1"/>
        <i x="2897" nd="1"/>
        <i x="2898" nd="1"/>
        <i x="2899" nd="1"/>
        <i x="2900" nd="1"/>
        <i x="2901" nd="1"/>
        <i x="2902" nd="1"/>
        <i x="2903" nd="1"/>
        <i x="2904" nd="1"/>
        <i x="2905" nd="1"/>
        <i x="2906" nd="1"/>
        <i x="2907" nd="1"/>
        <i x="2908" nd="1"/>
        <i x="2909" nd="1"/>
        <i x="2910" nd="1"/>
        <i x="2911" nd="1"/>
        <i x="2912" nd="1"/>
        <i x="2913" nd="1"/>
        <i x="2914" nd="1"/>
        <i x="2915" nd="1"/>
        <i x="2916" nd="1"/>
        <i x="2917" nd="1"/>
        <i x="2918" nd="1"/>
        <i x="2919" nd="1"/>
        <i x="2920" nd="1"/>
        <i x="2921" nd="1"/>
        <i x="2922" nd="1"/>
        <i x="2923" nd="1"/>
        <i x="2924" nd="1"/>
        <i x="2925" nd="1"/>
        <i x="2926" nd="1"/>
        <i x="2927" nd="1"/>
        <i x="2928" nd="1"/>
        <i x="2929" nd="1"/>
        <i x="2930" nd="1"/>
        <i x="2931" nd="1"/>
        <i x="2932" nd="1"/>
        <i x="2933" nd="1"/>
        <i x="2934" nd="1"/>
        <i x="2935" nd="1"/>
        <i x="2936" nd="1"/>
        <i x="2937" nd="1"/>
        <i x="2938" nd="1"/>
        <i x="2939" nd="1"/>
        <i x="2940" nd="1"/>
        <i x="2941" nd="1"/>
        <i x="2942" nd="1"/>
        <i x="2943" nd="1"/>
        <i x="2944" nd="1"/>
        <i x="2945" nd="1"/>
        <i x="2946" nd="1"/>
        <i x="2947" nd="1"/>
        <i x="2948" nd="1"/>
        <i x="2949" nd="1"/>
        <i x="2950" nd="1"/>
        <i x="2951" nd="1"/>
        <i x="2952" nd="1"/>
        <i x="2953" nd="1"/>
        <i x="2954" nd="1"/>
        <i x="2955" nd="1"/>
        <i x="2956" nd="1"/>
        <i x="2957" nd="1"/>
        <i x="2958" nd="1"/>
        <i x="2959" nd="1"/>
        <i x="2960" nd="1"/>
        <i x="2961" nd="1"/>
        <i x="2962" nd="1"/>
        <i x="2963" nd="1"/>
        <i x="2964" nd="1"/>
        <i x="2965" nd="1"/>
        <i x="2966" nd="1"/>
        <i x="2967" nd="1"/>
        <i x="2968" nd="1"/>
        <i x="2969" nd="1"/>
        <i x="2970" nd="1"/>
        <i x="2971" nd="1"/>
        <i x="2972" nd="1"/>
        <i x="2973" nd="1"/>
        <i x="2974" nd="1"/>
        <i x="2975" nd="1"/>
        <i x="2976" nd="1"/>
        <i x="2977" nd="1"/>
        <i x="2978" nd="1"/>
        <i x="2979" nd="1"/>
        <i x="2980" nd="1"/>
        <i x="2981" nd="1"/>
        <i x="2982" nd="1"/>
        <i x="2983" nd="1"/>
        <i x="2984" nd="1"/>
        <i x="2985" nd="1"/>
        <i x="2986" nd="1"/>
        <i x="2987" nd="1"/>
        <i x="2988" nd="1"/>
        <i x="2989" nd="1"/>
        <i x="2990" nd="1"/>
        <i x="2991" nd="1"/>
        <i x="2992" nd="1"/>
        <i x="2993" nd="1"/>
        <i x="2994" nd="1"/>
        <i x="2995" nd="1"/>
        <i x="2996" nd="1"/>
        <i x="2997" nd="1"/>
        <i x="2998" nd="1"/>
        <i x="2999" nd="1"/>
        <i x="3000" nd="1"/>
        <i x="3001" nd="1"/>
        <i x="3002" nd="1"/>
        <i x="3003" nd="1"/>
        <i x="3004" nd="1"/>
        <i x="3005" nd="1"/>
        <i x="3006" nd="1"/>
        <i x="3007" nd="1"/>
        <i x="3008" nd="1"/>
        <i x="3009" nd="1"/>
        <i x="3010" nd="1"/>
        <i x="3011" nd="1"/>
        <i x="3012" nd="1"/>
        <i x="3013" nd="1"/>
        <i x="3014" nd="1"/>
        <i x="3015" nd="1"/>
        <i x="3016" nd="1"/>
        <i x="3017" nd="1"/>
        <i x="3018" nd="1"/>
        <i x="3019" nd="1"/>
        <i x="3020" nd="1"/>
        <i x="3021" nd="1"/>
        <i x="3022" nd="1"/>
        <i x="3023" nd="1"/>
        <i x="3024" nd="1"/>
        <i x="3025" nd="1"/>
        <i x="3026" nd="1"/>
        <i x="3027" nd="1"/>
        <i x="3028" nd="1"/>
        <i x="3029" nd="1"/>
        <i x="3030" nd="1"/>
        <i x="3031" nd="1"/>
        <i x="3032" nd="1"/>
        <i x="3033" nd="1"/>
        <i x="3034" nd="1"/>
        <i x="3035" nd="1"/>
        <i x="3036" nd="1"/>
        <i x="3037" nd="1"/>
        <i x="3038" nd="1"/>
        <i x="3039" nd="1"/>
        <i x="3040" nd="1"/>
        <i x="3041" nd="1"/>
        <i x="3042" nd="1"/>
        <i x="3043" nd="1"/>
        <i x="3044" nd="1"/>
        <i x="3045" nd="1"/>
        <i x="3046" nd="1"/>
        <i x="3047" nd="1"/>
        <i x="3048" nd="1"/>
        <i x="3049" nd="1"/>
        <i x="3050" nd="1"/>
        <i x="3051" nd="1"/>
        <i x="3052" nd="1"/>
        <i x="3053" nd="1"/>
        <i x="3054" nd="1"/>
        <i x="3055" nd="1"/>
        <i x="3056" nd="1"/>
        <i x="3057" nd="1"/>
        <i x="3058" nd="1"/>
        <i x="3059" nd="1"/>
        <i x="3060" nd="1"/>
        <i x="3061" nd="1"/>
        <i x="3062" nd="1"/>
        <i x="3063" nd="1"/>
        <i x="3064" nd="1"/>
        <i x="3065" nd="1"/>
        <i x="3066" nd="1"/>
        <i x="3067" nd="1"/>
        <i x="3068" nd="1"/>
        <i x="3069" nd="1"/>
        <i x="3070" nd="1"/>
        <i x="3071" nd="1"/>
        <i x="3072" nd="1"/>
        <i x="3073" nd="1"/>
        <i x="3074" nd="1"/>
        <i x="3075" nd="1"/>
        <i x="3076" nd="1"/>
        <i x="3077" nd="1"/>
        <i x="3078" nd="1"/>
        <i x="3079" nd="1"/>
        <i x="3080" nd="1"/>
        <i x="3081" nd="1"/>
        <i x="3082" nd="1"/>
        <i x="3083" nd="1"/>
        <i x="3084" nd="1"/>
        <i x="3085" nd="1"/>
        <i x="3086" nd="1"/>
        <i x="3087" nd="1"/>
        <i x="3088" nd="1"/>
        <i x="3089" nd="1"/>
        <i x="3090" nd="1"/>
        <i x="3091" nd="1"/>
        <i x="3092" nd="1"/>
        <i x="3093" nd="1"/>
        <i x="3094" nd="1"/>
        <i x="3095" nd="1"/>
        <i x="3096" nd="1"/>
        <i x="3097" nd="1"/>
        <i x="3098" nd="1"/>
        <i x="3099" nd="1"/>
        <i x="3100" nd="1"/>
        <i x="3101" nd="1"/>
        <i x="3102" nd="1"/>
        <i x="3103" nd="1"/>
        <i x="3104" nd="1"/>
        <i x="3105" nd="1"/>
        <i x="3106" nd="1"/>
        <i x="3107" nd="1"/>
        <i x="3108" nd="1"/>
        <i x="3109" nd="1"/>
        <i x="3110" nd="1"/>
        <i x="3111" nd="1"/>
        <i x="3112" nd="1"/>
        <i x="3113" nd="1"/>
        <i x="3114" nd="1"/>
        <i x="3115" nd="1"/>
        <i x="3116" nd="1"/>
        <i x="3117" nd="1"/>
        <i x="3118" nd="1"/>
        <i x="3119" nd="1"/>
        <i x="3120" nd="1"/>
        <i x="3121" nd="1"/>
        <i x="3122" nd="1"/>
        <i x="3123" nd="1"/>
        <i x="3124" nd="1"/>
        <i x="3125" nd="1"/>
        <i x="3126" nd="1"/>
        <i x="3127" nd="1"/>
        <i x="3128" nd="1"/>
        <i x="3129" nd="1"/>
        <i x="3130" nd="1"/>
        <i x="3131" nd="1"/>
        <i x="3132" nd="1"/>
        <i x="3133" nd="1"/>
        <i x="3134" nd="1"/>
        <i x="3135" nd="1"/>
        <i x="3136" nd="1"/>
        <i x="3137" nd="1"/>
        <i x="3138" nd="1"/>
        <i x="3139" nd="1"/>
        <i x="3140" nd="1"/>
        <i x="3141" nd="1"/>
        <i x="3142" nd="1"/>
        <i x="3143" nd="1"/>
        <i x="3144" nd="1"/>
        <i x="3145" nd="1"/>
        <i x="3146" nd="1"/>
        <i x="3147" nd="1"/>
        <i x="3148" nd="1"/>
        <i x="3149" nd="1"/>
        <i x="3150" nd="1"/>
        <i x="3151" nd="1"/>
        <i x="3152" nd="1"/>
        <i x="3153" nd="1"/>
        <i x="3154" nd="1"/>
        <i x="3155" nd="1"/>
        <i x="3156" nd="1"/>
        <i x="3157" nd="1"/>
        <i x="3158" nd="1"/>
        <i x="3159" nd="1"/>
        <i x="3160" nd="1"/>
        <i x="3161" nd="1"/>
        <i x="3162" nd="1"/>
        <i x="3163" nd="1"/>
        <i x="3164" nd="1"/>
        <i x="3165" nd="1"/>
        <i x="3166" nd="1"/>
        <i x="3167" nd="1"/>
        <i x="3168" nd="1"/>
        <i x="3169" nd="1"/>
        <i x="3170" nd="1"/>
        <i x="3171" nd="1"/>
        <i x="3172" nd="1"/>
        <i x="3173" nd="1"/>
        <i x="3174" nd="1"/>
        <i x="3175" nd="1"/>
        <i x="3176" nd="1"/>
        <i x="3177" nd="1"/>
        <i x="3178" nd="1"/>
        <i x="3179" nd="1"/>
        <i x="3180" nd="1"/>
        <i x="3181" nd="1"/>
        <i x="3182" nd="1"/>
        <i x="3183" nd="1"/>
        <i x="3184" nd="1"/>
        <i x="3185" nd="1"/>
        <i x="3186" nd="1"/>
        <i x="3187" nd="1"/>
        <i x="3188" nd="1"/>
        <i x="3189" nd="1"/>
        <i x="3190" nd="1"/>
        <i x="3191" nd="1"/>
        <i x="3192" nd="1"/>
        <i x="3193" nd="1"/>
        <i x="3194" nd="1"/>
        <i x="3195" nd="1"/>
        <i x="3196" nd="1"/>
        <i x="3197" nd="1"/>
        <i x="3198" nd="1"/>
        <i x="3199" nd="1"/>
        <i x="3200" nd="1"/>
        <i x="3201" nd="1"/>
        <i x="3202" nd="1"/>
        <i x="3203" nd="1"/>
        <i x="3204" nd="1"/>
        <i x="3205" nd="1"/>
        <i x="3206" nd="1"/>
        <i x="3207" nd="1"/>
        <i x="3208" nd="1"/>
        <i x="3209" nd="1"/>
        <i x="3210" nd="1"/>
        <i x="3211" nd="1"/>
        <i x="3212" nd="1"/>
        <i x="3213" nd="1"/>
        <i x="3214" nd="1"/>
        <i x="3215" nd="1"/>
        <i x="3216" nd="1"/>
        <i x="3217" nd="1"/>
        <i x="3218" nd="1"/>
        <i x="3219" nd="1"/>
        <i x="3220" nd="1"/>
        <i x="3221" nd="1"/>
        <i x="3222" nd="1"/>
        <i x="3223" nd="1"/>
        <i x="3224" nd="1"/>
        <i x="3225" nd="1"/>
        <i x="3226" nd="1"/>
        <i x="3227" nd="1"/>
        <i x="3228" nd="1"/>
        <i x="3229" nd="1"/>
        <i x="3230" nd="1"/>
        <i x="3231" nd="1"/>
        <i x="3232" nd="1"/>
        <i x="3233" nd="1"/>
        <i x="3234" nd="1"/>
        <i x="3235" nd="1"/>
        <i x="3236" nd="1"/>
        <i x="3237" nd="1"/>
        <i x="3238" nd="1"/>
        <i x="3239" nd="1"/>
        <i x="3240" nd="1"/>
        <i x="3241" nd="1"/>
        <i x="3242" nd="1"/>
        <i x="3243" nd="1"/>
        <i x="3244" nd="1"/>
        <i x="3245" nd="1"/>
        <i x="3246" nd="1"/>
        <i x="3247" nd="1"/>
        <i x="3248" nd="1"/>
        <i x="3249" nd="1"/>
        <i x="3250" nd="1"/>
        <i x="3251" nd="1"/>
        <i x="3252" nd="1"/>
        <i x="3253" nd="1"/>
        <i x="3254" nd="1"/>
        <i x="3255" nd="1"/>
        <i x="3256" nd="1"/>
        <i x="3257" nd="1"/>
        <i x="3258" nd="1"/>
        <i x="3259" nd="1"/>
        <i x="3260" nd="1"/>
        <i x="3261" nd="1"/>
        <i x="3262" nd="1"/>
        <i x="3263" nd="1"/>
        <i x="3264" nd="1"/>
        <i x="3265" nd="1"/>
        <i x="3266" nd="1"/>
        <i x="3267" nd="1"/>
        <i x="3268" nd="1"/>
        <i x="3269" nd="1"/>
        <i x="3270" nd="1"/>
        <i x="3271" nd="1"/>
        <i x="3272" nd="1"/>
        <i x="3273" nd="1"/>
        <i x="3274" nd="1"/>
        <i x="3275" nd="1"/>
        <i x="3276" nd="1"/>
        <i x="3277" nd="1"/>
        <i x="3278" nd="1"/>
        <i x="3279" nd="1"/>
        <i x="3280" nd="1"/>
        <i x="3281" nd="1"/>
        <i x="3282" nd="1"/>
        <i x="3283" nd="1"/>
        <i x="3284" nd="1"/>
        <i x="3285" nd="1"/>
        <i x="3286" nd="1"/>
        <i x="3287" nd="1"/>
        <i x="3288" nd="1"/>
        <i x="3289" nd="1"/>
        <i x="3290" nd="1"/>
        <i x="3291" nd="1"/>
        <i x="3292" nd="1"/>
        <i x="3293" nd="1"/>
        <i x="3294" nd="1"/>
        <i x="3295" nd="1"/>
        <i x="3296" nd="1"/>
        <i x="3297" nd="1"/>
        <i x="3298" nd="1"/>
        <i x="3299" nd="1"/>
        <i x="3300" nd="1"/>
        <i x="3301" nd="1"/>
        <i x="3302" nd="1"/>
        <i x="3303" nd="1"/>
        <i x="3304" nd="1"/>
        <i x="3305" nd="1"/>
        <i x="3306" nd="1"/>
        <i x="3307" nd="1"/>
        <i x="3308" nd="1"/>
        <i x="3309" nd="1"/>
        <i x="3310" nd="1"/>
        <i x="3311" nd="1"/>
        <i x="3312" nd="1"/>
        <i x="3313" nd="1"/>
        <i x="3314" nd="1"/>
        <i x="3315" nd="1"/>
        <i x="3316" nd="1"/>
        <i x="3317" nd="1"/>
        <i x="3318" nd="1"/>
        <i x="3319" nd="1"/>
        <i x="3320" nd="1"/>
        <i x="3321" nd="1"/>
        <i x="3322" nd="1"/>
        <i x="3323" nd="1"/>
        <i x="3324" nd="1"/>
        <i x="3325" nd="1"/>
        <i x="3326" nd="1"/>
        <i x="3327" nd="1"/>
        <i x="3328" nd="1"/>
        <i x="3329" nd="1"/>
        <i x="3330" nd="1"/>
        <i x="3331" nd="1"/>
        <i x="3332" nd="1"/>
        <i x="3333" nd="1"/>
        <i x="3334" nd="1"/>
        <i x="3335" nd="1"/>
        <i x="3336" nd="1"/>
        <i x="3337" nd="1"/>
        <i x="3338" nd="1"/>
        <i x="3339" nd="1"/>
        <i x="3340" nd="1"/>
        <i x="3341" nd="1"/>
        <i x="3342" nd="1"/>
        <i x="3343" nd="1"/>
        <i x="3344" nd="1"/>
        <i x="3345" nd="1"/>
        <i x="3346" nd="1"/>
        <i x="3347" nd="1"/>
        <i x="3348" nd="1"/>
        <i x="3349" nd="1"/>
        <i x="3350" nd="1"/>
        <i x="3351" nd="1"/>
        <i x="3352" nd="1"/>
        <i x="3353" nd="1"/>
        <i x="3354" nd="1"/>
        <i x="3355" nd="1"/>
        <i x="3356" nd="1"/>
        <i x="3357" nd="1"/>
        <i x="3358" nd="1"/>
        <i x="3359" nd="1"/>
        <i x="3360" nd="1"/>
        <i x="3361" nd="1"/>
        <i x="3362" nd="1"/>
        <i x="3363" nd="1"/>
        <i x="3364" nd="1"/>
        <i x="3365" nd="1"/>
        <i x="3366" nd="1"/>
        <i x="3367" nd="1"/>
        <i x="3368" nd="1"/>
        <i x="3369" nd="1"/>
        <i x="3370" nd="1"/>
        <i x="3371" nd="1"/>
        <i x="3372" nd="1"/>
        <i x="3373" nd="1"/>
        <i x="3374" nd="1"/>
        <i x="3375" nd="1"/>
        <i x="3376" nd="1"/>
        <i x="3377" nd="1"/>
        <i x="3378" nd="1"/>
        <i x="3379" nd="1"/>
        <i x="3380" nd="1"/>
        <i x="3381" nd="1"/>
        <i x="3382" nd="1"/>
        <i x="3383" nd="1"/>
        <i x="3384" nd="1"/>
        <i x="3385" nd="1"/>
        <i x="3386" nd="1"/>
        <i x="3387" nd="1"/>
        <i x="3388" nd="1"/>
        <i x="3389" nd="1"/>
        <i x="3390" nd="1"/>
        <i x="3391" nd="1"/>
        <i x="3392" nd="1"/>
        <i x="3393" nd="1"/>
        <i x="3394" nd="1"/>
        <i x="3395" nd="1"/>
        <i x="3396" nd="1"/>
        <i x="3397" nd="1"/>
        <i x="3398" nd="1"/>
        <i x="3399" nd="1"/>
        <i x="3400" nd="1"/>
        <i x="3401" nd="1"/>
        <i x="3402" nd="1"/>
        <i x="3403" nd="1"/>
        <i x="3404" nd="1"/>
        <i x="3405" nd="1"/>
        <i x="3406" nd="1"/>
        <i x="3407" nd="1"/>
        <i x="3408" nd="1"/>
        <i x="3409" nd="1"/>
        <i x="3410" nd="1"/>
        <i x="3411" nd="1"/>
        <i x="3412" nd="1"/>
        <i x="3413" nd="1"/>
        <i x="3414" nd="1"/>
        <i x="3415" nd="1"/>
        <i x="3416" nd="1"/>
        <i x="3417" nd="1"/>
        <i x="3418" nd="1"/>
        <i x="3419" nd="1"/>
        <i x="3420" nd="1"/>
        <i x="3421" nd="1"/>
        <i x="3422" nd="1"/>
        <i x="3423" nd="1"/>
        <i x="3424" nd="1"/>
        <i x="3425" nd="1"/>
        <i x="3426" nd="1"/>
        <i x="3427" nd="1"/>
        <i x="3428" nd="1"/>
        <i x="3429" nd="1"/>
        <i x="3430" nd="1"/>
        <i x="3431" nd="1"/>
        <i x="3432" nd="1"/>
        <i x="3433" nd="1"/>
        <i x="3434" nd="1"/>
        <i x="3435" nd="1"/>
        <i x="3436" nd="1"/>
        <i x="3437" nd="1"/>
        <i x="3438" nd="1"/>
        <i x="3439" nd="1"/>
        <i x="3440" nd="1"/>
        <i x="3441" nd="1"/>
        <i x="3442" nd="1"/>
        <i x="3443" nd="1"/>
        <i x="3444" nd="1"/>
        <i x="3445" nd="1"/>
        <i x="3446" nd="1"/>
        <i x="3447" nd="1"/>
        <i x="3448" nd="1"/>
        <i x="3449" nd="1"/>
        <i x="3450" nd="1"/>
        <i x="3451" nd="1"/>
        <i x="3452" nd="1"/>
        <i x="3453" nd="1"/>
        <i x="3454" nd="1"/>
        <i x="3455" nd="1"/>
        <i x="3456" nd="1"/>
        <i x="3457" nd="1"/>
        <i x="3458" nd="1"/>
        <i x="3459" nd="1"/>
        <i x="3460" nd="1"/>
        <i x="3461" nd="1"/>
        <i x="3462" nd="1"/>
        <i x="3463" nd="1"/>
        <i x="3464" nd="1"/>
        <i x="3465" nd="1"/>
        <i x="3466" nd="1"/>
        <i x="3467" nd="1"/>
        <i x="3468" nd="1"/>
        <i x="3469" nd="1"/>
        <i x="3470" nd="1"/>
        <i x="3471" nd="1"/>
        <i x="3472" nd="1"/>
        <i x="3473" nd="1"/>
        <i x="3474" nd="1"/>
        <i x="3475" nd="1"/>
        <i x="3476" nd="1"/>
        <i x="3477" nd="1"/>
        <i x="3478" nd="1"/>
        <i x="3479" nd="1"/>
        <i x="3480" nd="1"/>
        <i x="3481" nd="1"/>
        <i x="3482" nd="1"/>
        <i x="3483" nd="1"/>
        <i x="3484" nd="1"/>
        <i x="3485" nd="1"/>
        <i x="3486" nd="1"/>
        <i x="3487" nd="1"/>
        <i x="3488" nd="1"/>
        <i x="3489" nd="1"/>
        <i x="3490" nd="1"/>
        <i x="3491" nd="1"/>
        <i x="3492" nd="1"/>
        <i x="3493" nd="1"/>
        <i x="3494" nd="1"/>
        <i x="3495" nd="1"/>
        <i x="3496" nd="1"/>
        <i x="3497" nd="1"/>
        <i x="3498" nd="1"/>
        <i x="3499" nd="1"/>
        <i x="3500" nd="1"/>
        <i x="3501" nd="1"/>
        <i x="3502" nd="1"/>
        <i x="3503" nd="1"/>
        <i x="3504" nd="1"/>
        <i x="3505" nd="1"/>
        <i x="3506" nd="1"/>
        <i x="3507" nd="1"/>
        <i x="3508" nd="1"/>
        <i x="3509" nd="1"/>
        <i x="3510" nd="1"/>
        <i x="3511" nd="1"/>
        <i x="3512" nd="1"/>
        <i x="3513" nd="1"/>
        <i x="3514" nd="1"/>
        <i x="3515" nd="1"/>
        <i x="3516" nd="1"/>
        <i x="3517" nd="1"/>
        <i x="3518" nd="1"/>
        <i x="3519" nd="1"/>
        <i x="3520" nd="1"/>
        <i x="3521" nd="1"/>
        <i x="3522" nd="1"/>
        <i x="3523" nd="1"/>
        <i x="3524" nd="1"/>
        <i x="3525" nd="1"/>
        <i x="3526" nd="1"/>
        <i x="3527" nd="1"/>
        <i x="3528" nd="1"/>
        <i x="3529" nd="1"/>
        <i x="3530" nd="1"/>
        <i x="3531" nd="1"/>
        <i x="3532" nd="1"/>
        <i x="3533" nd="1"/>
        <i x="3534" nd="1"/>
        <i x="3535" nd="1"/>
        <i x="3536" nd="1"/>
        <i x="3537" nd="1"/>
        <i x="3538" nd="1"/>
        <i x="3539" nd="1"/>
        <i x="3540" nd="1"/>
        <i x="3541" nd="1"/>
        <i x="3542" nd="1"/>
        <i x="3543" nd="1"/>
        <i x="3544" nd="1"/>
        <i x="3545" nd="1"/>
        <i x="3546" nd="1"/>
        <i x="3547" nd="1"/>
        <i x="3548" nd="1"/>
        <i x="3549" nd="1"/>
        <i x="3550" nd="1"/>
        <i x="3551" nd="1"/>
        <i x="3552" nd="1"/>
        <i x="3553" nd="1"/>
        <i x="3554" nd="1"/>
        <i x="3555" nd="1"/>
        <i x="3556" nd="1"/>
        <i x="3557" nd="1"/>
        <i x="3558" nd="1"/>
        <i x="3559" nd="1"/>
        <i x="3560" nd="1"/>
        <i x="3561" nd="1"/>
        <i x="3562" nd="1"/>
        <i x="3563" nd="1"/>
        <i x="3564" nd="1"/>
        <i x="3565" nd="1"/>
        <i x="3566" nd="1"/>
        <i x="3567" nd="1"/>
        <i x="3568" nd="1"/>
        <i x="3569" nd="1"/>
        <i x="3570" nd="1"/>
        <i x="3571" nd="1"/>
        <i x="3572" nd="1"/>
        <i x="3573" nd="1"/>
        <i x="3574" nd="1"/>
        <i x="3575" nd="1"/>
        <i x="3576" nd="1"/>
        <i x="3577" nd="1"/>
        <i x="3578" nd="1"/>
        <i x="3579" nd="1"/>
        <i x="3580" nd="1"/>
        <i x="3581" nd="1"/>
        <i x="3582" nd="1"/>
        <i x="3583" nd="1"/>
        <i x="3584" nd="1"/>
        <i x="3585" nd="1"/>
        <i x="3586" nd="1"/>
        <i x="3587" nd="1"/>
        <i x="3588" nd="1"/>
        <i x="3589" nd="1"/>
        <i x="3590" nd="1"/>
        <i x="3591" nd="1"/>
        <i x="3592" nd="1"/>
        <i x="3593" nd="1"/>
        <i x="3594" nd="1"/>
        <i x="3595" nd="1"/>
        <i x="3596" nd="1"/>
        <i x="3597" nd="1"/>
        <i x="3598" nd="1"/>
        <i x="3599" nd="1"/>
        <i x="3600" nd="1"/>
        <i x="3601" nd="1"/>
        <i x="3602" nd="1"/>
        <i x="3603" nd="1"/>
        <i x="3604" nd="1"/>
        <i x="3605" nd="1"/>
        <i x="3606" nd="1"/>
        <i x="3607" nd="1"/>
        <i x="3608" nd="1"/>
        <i x="3609" nd="1"/>
        <i x="3610" nd="1"/>
        <i x="3611" nd="1"/>
        <i x="3612" nd="1"/>
        <i x="3613" nd="1"/>
        <i x="3614" nd="1"/>
        <i x="3615" nd="1"/>
        <i x="3616" nd="1"/>
        <i x="3617" nd="1"/>
        <i x="3618" nd="1"/>
        <i x="3619" nd="1"/>
        <i x="3620" nd="1"/>
        <i x="3621" nd="1"/>
        <i x="3622" nd="1"/>
        <i x="3623" nd="1"/>
        <i x="3624" nd="1"/>
        <i x="3625" nd="1"/>
        <i x="3626" nd="1"/>
        <i x="3627" nd="1"/>
        <i x="3628" nd="1"/>
        <i x="3629" nd="1"/>
        <i x="3630" nd="1"/>
        <i x="3631" nd="1"/>
        <i x="3632" nd="1"/>
        <i x="3633" nd="1"/>
        <i x="3634" nd="1"/>
        <i x="3635" nd="1"/>
        <i x="3636" nd="1"/>
        <i x="3637" nd="1"/>
        <i x="3638" nd="1"/>
        <i x="3639" nd="1"/>
        <i x="3640" nd="1"/>
        <i x="3641" nd="1"/>
        <i x="3642" nd="1"/>
        <i x="3643" nd="1"/>
        <i x="3644" nd="1"/>
        <i x="3645" nd="1"/>
        <i x="3646" nd="1"/>
        <i x="3647" nd="1"/>
        <i x="3648" nd="1"/>
        <i x="3649" nd="1"/>
        <i x="3650" nd="1"/>
        <i x="3651" nd="1"/>
        <i x="3652" nd="1"/>
        <i x="3653" nd="1"/>
        <i x="3654" nd="1"/>
        <i x="3655" nd="1"/>
        <i x="3656" nd="1"/>
        <i x="3657" nd="1"/>
        <i x="3658" nd="1"/>
        <i x="3659" nd="1"/>
        <i x="3660" nd="1"/>
        <i x="3661" nd="1"/>
        <i x="3662" nd="1"/>
        <i x="3663" nd="1"/>
        <i x="3664" nd="1"/>
        <i x="3665" nd="1"/>
        <i x="3666" nd="1"/>
        <i x="3667" nd="1"/>
        <i x="3668" nd="1"/>
        <i x="3669" nd="1"/>
        <i x="3670" nd="1"/>
        <i x="3671" nd="1"/>
        <i x="3672" nd="1"/>
        <i x="3673" nd="1"/>
        <i x="3674" nd="1"/>
        <i x="3675" nd="1"/>
        <i x="3676" nd="1"/>
        <i x="3677" nd="1"/>
        <i x="3678" nd="1"/>
        <i x="3679" nd="1"/>
        <i x="3680" nd="1"/>
        <i x="3681" nd="1"/>
        <i x="3682" nd="1"/>
        <i x="3683" nd="1"/>
        <i x="3684" nd="1"/>
        <i x="3685" nd="1"/>
        <i x="3686" nd="1"/>
        <i x="3687" nd="1"/>
        <i x="3688" nd="1"/>
        <i x="3689" nd="1"/>
        <i x="3690" nd="1"/>
        <i x="3691" nd="1"/>
        <i x="3692" nd="1"/>
        <i x="3693" nd="1"/>
        <i x="3694" nd="1"/>
        <i x="3695" nd="1"/>
        <i x="3696" nd="1"/>
        <i x="3697" nd="1"/>
        <i x="3698" nd="1"/>
        <i x="3699" nd="1"/>
        <i x="3700" nd="1"/>
        <i x="3701" nd="1"/>
        <i x="3702" nd="1"/>
        <i x="3703" nd="1"/>
        <i x="3704" nd="1"/>
        <i x="3705" nd="1"/>
        <i x="3706" nd="1"/>
        <i x="3707" nd="1"/>
        <i x="3708" nd="1"/>
        <i x="3709" nd="1"/>
        <i x="3710" nd="1"/>
        <i x="3711" nd="1"/>
        <i x="3712" nd="1"/>
        <i x="3713" nd="1"/>
        <i x="3714" nd="1"/>
        <i x="3715" nd="1"/>
        <i x="3716" nd="1"/>
        <i x="3717" nd="1"/>
        <i x="3718" nd="1"/>
        <i x="3719" nd="1"/>
        <i x="3720" nd="1"/>
        <i x="3721" nd="1"/>
        <i x="3722" nd="1"/>
        <i x="3723" nd="1"/>
        <i x="3724" nd="1"/>
        <i x="3725" nd="1"/>
        <i x="3726" nd="1"/>
        <i x="3727" nd="1"/>
        <i x="3728" nd="1"/>
        <i x="3729" nd="1"/>
        <i x="3730" nd="1"/>
        <i x="3731" nd="1"/>
        <i x="3732" nd="1"/>
        <i x="3733" nd="1"/>
        <i x="3734" nd="1"/>
        <i x="3735" nd="1"/>
        <i x="3736" nd="1"/>
        <i x="3737" nd="1"/>
        <i x="3738" nd="1"/>
        <i x="3739" nd="1"/>
        <i x="3740" nd="1"/>
        <i x="3741" nd="1"/>
        <i x="3742" nd="1"/>
        <i x="3743" nd="1"/>
        <i x="3744" nd="1"/>
        <i x="3745" nd="1"/>
        <i x="3746" nd="1"/>
        <i x="3747" nd="1"/>
        <i x="3748" nd="1"/>
        <i x="3749" nd="1"/>
        <i x="3750" nd="1"/>
        <i x="3751" nd="1"/>
        <i x="3752" nd="1"/>
        <i x="3753" nd="1"/>
        <i x="3754" nd="1"/>
        <i x="3755" nd="1"/>
        <i x="3756" nd="1"/>
        <i x="3757" nd="1"/>
        <i x="3758" nd="1"/>
        <i x="3759" nd="1"/>
        <i x="3760" nd="1"/>
        <i x="3761" nd="1"/>
        <i x="3762" nd="1"/>
        <i x="3763" nd="1"/>
        <i x="3764" nd="1"/>
        <i x="3765" nd="1"/>
        <i x="3766" nd="1"/>
        <i x="3767" nd="1"/>
        <i x="3768" nd="1"/>
        <i x="3769" nd="1"/>
        <i x="3770" nd="1"/>
        <i x="3771" nd="1"/>
        <i x="3772" nd="1"/>
        <i x="3773" nd="1"/>
        <i x="3774" nd="1"/>
        <i x="3775" nd="1"/>
        <i x="3776" nd="1"/>
        <i x="3777" nd="1"/>
        <i x="3778" nd="1"/>
        <i x="3779" nd="1"/>
        <i x="3780" nd="1"/>
        <i x="3781" nd="1"/>
        <i x="3782" nd="1"/>
        <i x="3783" nd="1"/>
        <i x="3784" nd="1"/>
        <i x="3785" nd="1"/>
        <i x="3786" nd="1"/>
        <i x="3787" nd="1"/>
        <i x="3788" nd="1"/>
        <i x="3789" nd="1"/>
        <i x="3790" nd="1"/>
        <i x="3791" nd="1"/>
        <i x="3792" nd="1"/>
        <i x="3793" nd="1"/>
        <i x="3794" nd="1"/>
        <i x="3795" nd="1"/>
        <i x="3796" nd="1"/>
        <i x="3797" nd="1"/>
        <i x="3798" nd="1"/>
        <i x="3799" nd="1"/>
        <i x="3800" nd="1"/>
        <i x="3801" nd="1"/>
        <i x="3802" nd="1"/>
        <i x="3803" nd="1"/>
        <i x="3804" nd="1"/>
        <i x="3805" nd="1"/>
        <i x="3806" nd="1"/>
        <i x="3807" nd="1"/>
        <i x="3808" nd="1"/>
        <i x="3809" nd="1"/>
        <i x="3810" nd="1"/>
        <i x="3811" nd="1"/>
        <i x="3812" nd="1"/>
        <i x="3813" nd="1"/>
        <i x="3814" nd="1"/>
        <i x="3815" nd="1"/>
        <i x="3816" nd="1"/>
        <i x="3817" nd="1"/>
        <i x="3818" nd="1"/>
        <i x="3819" nd="1"/>
        <i x="3820" nd="1"/>
        <i x="3821" nd="1"/>
        <i x="3822" nd="1"/>
        <i x="3823" nd="1"/>
        <i x="3824" nd="1"/>
        <i x="3825" nd="1"/>
        <i x="3826" nd="1"/>
        <i x="3827" nd="1"/>
        <i x="3828" nd="1"/>
        <i x="3829" nd="1"/>
        <i x="3830" nd="1"/>
        <i x="3831" nd="1"/>
        <i x="3832" nd="1"/>
        <i x="3833" nd="1"/>
        <i x="3834" nd="1"/>
        <i x="3835" nd="1"/>
        <i x="3836" nd="1"/>
        <i x="3837" nd="1"/>
        <i x="3838" nd="1"/>
        <i x="3839" nd="1"/>
        <i x="3840" nd="1"/>
        <i x="3841" nd="1"/>
        <i x="3842" nd="1"/>
        <i x="3843" nd="1"/>
        <i x="3844" nd="1"/>
        <i x="3845" nd="1"/>
        <i x="3846" nd="1"/>
        <i x="3847" nd="1"/>
        <i x="3848" nd="1"/>
        <i x="3849" nd="1"/>
        <i x="3850" nd="1"/>
        <i x="3851" nd="1"/>
        <i x="3852" nd="1"/>
        <i x="3853" nd="1"/>
        <i x="3854" nd="1"/>
        <i x="3855" nd="1"/>
        <i x="3856" nd="1"/>
        <i x="3857" nd="1"/>
        <i x="3858" nd="1"/>
        <i x="3859" nd="1"/>
        <i x="3860" nd="1"/>
        <i x="3861" nd="1"/>
        <i x="3862" nd="1"/>
        <i x="3863" nd="1"/>
        <i x="3864" nd="1"/>
        <i x="3865" nd="1"/>
        <i x="3866" nd="1"/>
        <i x="3867" nd="1"/>
        <i x="3868" nd="1"/>
        <i x="3869" nd="1"/>
        <i x="3870" nd="1"/>
        <i x="3871" nd="1"/>
        <i x="3872" nd="1"/>
        <i x="3873" nd="1"/>
        <i x="3874" nd="1"/>
        <i x="3875" nd="1"/>
        <i x="3876" nd="1"/>
        <i x="3877" nd="1"/>
        <i x="3878" nd="1"/>
        <i x="3879" nd="1"/>
        <i x="3880" nd="1"/>
        <i x="3881" nd="1"/>
        <i x="3882" nd="1"/>
        <i x="3883" nd="1"/>
        <i x="3884" nd="1"/>
        <i x="3885" nd="1"/>
        <i x="3886" nd="1"/>
        <i x="3887" nd="1"/>
        <i x="3888" nd="1"/>
        <i x="3889" nd="1"/>
        <i x="3890" nd="1"/>
        <i x="3891" nd="1"/>
        <i x="3892" nd="1"/>
        <i x="3893" nd="1"/>
        <i x="3894" nd="1"/>
        <i x="3895" nd="1"/>
        <i x="3896" nd="1"/>
        <i x="3897" nd="1"/>
        <i x="3898" nd="1"/>
        <i x="3899" nd="1"/>
        <i x="3900" nd="1"/>
        <i x="3901" nd="1"/>
        <i x="3902" nd="1"/>
        <i x="3903" nd="1"/>
        <i x="3904" nd="1"/>
        <i x="3905" nd="1"/>
        <i x="3906" nd="1"/>
        <i x="3907" nd="1"/>
        <i x="3908" nd="1"/>
        <i x="3909" nd="1"/>
        <i x="3910" nd="1"/>
        <i x="3911" nd="1"/>
        <i x="3912" nd="1"/>
        <i x="3913" nd="1"/>
        <i x="3914" nd="1"/>
        <i x="3915" nd="1"/>
        <i x="3916" nd="1"/>
        <i x="3917" nd="1"/>
        <i x="3918" nd="1"/>
        <i x="3919" nd="1"/>
        <i x="3920" nd="1"/>
        <i x="3921" nd="1"/>
        <i x="3922" nd="1"/>
        <i x="3923" nd="1"/>
        <i x="3924" nd="1"/>
        <i x="3925" nd="1"/>
        <i x="3926" nd="1"/>
        <i x="3927" nd="1"/>
        <i x="3928" nd="1"/>
        <i x="3929" nd="1"/>
        <i x="3930" nd="1"/>
        <i x="3931" nd="1"/>
        <i x="3932" nd="1"/>
        <i x="3933" nd="1"/>
        <i x="3934" nd="1"/>
        <i x="3935" nd="1"/>
        <i x="3936" nd="1"/>
        <i x="3937" nd="1"/>
        <i x="3938" nd="1"/>
        <i x="3939" nd="1"/>
        <i x="3940" nd="1"/>
        <i x="3941" nd="1"/>
        <i x="3942" nd="1"/>
        <i x="3943" nd="1"/>
        <i x="3944" nd="1"/>
        <i x="3945" nd="1"/>
        <i x="3946" nd="1"/>
        <i x="3947" nd="1"/>
        <i x="3948" nd="1"/>
        <i x="3949" nd="1"/>
        <i x="3950" nd="1"/>
        <i x="3951" nd="1"/>
        <i x="3952" nd="1"/>
        <i x="3953" nd="1"/>
        <i x="3954" nd="1"/>
        <i x="3955" nd="1"/>
        <i x="3956" nd="1"/>
        <i x="3957" nd="1"/>
        <i x="3958" nd="1"/>
        <i x="3959" nd="1"/>
        <i x="3960" nd="1"/>
        <i x="3961" nd="1"/>
        <i x="3962" nd="1"/>
        <i x="3963" nd="1"/>
        <i x="3964" nd="1"/>
        <i x="3965" nd="1"/>
        <i x="3966" nd="1"/>
        <i x="3967" nd="1"/>
        <i x="3968" nd="1"/>
        <i x="3969" nd="1"/>
        <i x="3970" nd="1"/>
        <i x="3971" nd="1"/>
        <i x="3972" nd="1"/>
        <i x="3973" nd="1"/>
        <i x="3974" nd="1"/>
        <i x="3975" nd="1"/>
        <i x="3976" nd="1"/>
        <i x="3977" nd="1"/>
        <i x="3978" nd="1"/>
        <i x="3979" nd="1"/>
        <i x="3980" nd="1"/>
        <i x="3981" nd="1"/>
        <i x="3982" nd="1"/>
        <i x="3983" nd="1"/>
        <i x="3984" nd="1"/>
        <i x="3985" nd="1"/>
        <i x="3986" nd="1"/>
        <i x="3987" nd="1"/>
        <i x="3988" nd="1"/>
        <i x="3989" nd="1"/>
        <i x="3990" nd="1"/>
        <i x="3991" nd="1"/>
        <i x="3992" nd="1"/>
        <i x="3993" nd="1"/>
        <i x="3994" nd="1"/>
        <i x="3995" nd="1"/>
        <i x="3996" nd="1"/>
        <i x="3997" nd="1"/>
        <i x="3998" nd="1"/>
        <i x="3999" nd="1"/>
        <i x="4000" nd="1"/>
        <i x="4001" nd="1"/>
        <i x="4002" nd="1"/>
        <i x="4003" nd="1"/>
        <i x="4004" nd="1"/>
        <i x="4005" nd="1"/>
        <i x="4006" nd="1"/>
        <i x="4007" nd="1"/>
        <i x="4008" nd="1"/>
        <i x="4009" nd="1"/>
        <i x="4010" nd="1"/>
        <i x="4011" nd="1"/>
        <i x="4012" nd="1"/>
        <i x="4013" nd="1"/>
        <i x="4014" nd="1"/>
        <i x="4015" nd="1"/>
        <i x="4016" nd="1"/>
        <i x="4017" nd="1"/>
        <i x="4018" nd="1"/>
        <i x="4019" nd="1"/>
        <i x="4020" nd="1"/>
        <i x="4021" nd="1"/>
        <i x="4022" nd="1"/>
        <i x="4023" nd="1"/>
        <i x="4024" nd="1"/>
        <i x="4025" nd="1"/>
        <i x="4026" nd="1"/>
        <i x="4027" nd="1"/>
        <i x="4028" nd="1"/>
        <i x="4029" nd="1"/>
        <i x="4030" nd="1"/>
        <i x="4031" nd="1"/>
        <i x="4032" nd="1"/>
        <i x="4033" nd="1"/>
        <i x="4034" nd="1"/>
        <i x="4035" nd="1"/>
        <i x="4036" nd="1"/>
        <i x="4037" nd="1"/>
        <i x="4038" nd="1"/>
        <i x="4039" nd="1"/>
        <i x="4040" nd="1"/>
        <i x="4041" nd="1"/>
        <i x="4042" nd="1"/>
        <i x="4043" nd="1"/>
        <i x="4044" nd="1"/>
        <i x="4045" nd="1"/>
        <i x="4046" nd="1"/>
        <i x="4047" nd="1"/>
        <i x="4048" nd="1"/>
        <i x="4049" nd="1"/>
        <i x="4050" nd="1"/>
        <i x="4051" nd="1"/>
        <i x="4052" nd="1"/>
        <i x="4053" nd="1"/>
        <i x="4054" nd="1"/>
        <i x="4055" nd="1"/>
        <i x="4056" nd="1"/>
        <i x="4057" nd="1"/>
        <i x="4058" nd="1"/>
        <i x="4059" nd="1"/>
        <i x="4060" nd="1"/>
        <i x="4061" nd="1"/>
        <i x="4062" nd="1"/>
        <i x="4063" nd="1"/>
        <i x="4064" nd="1"/>
        <i x="4065" nd="1"/>
        <i x="4066" nd="1"/>
        <i x="4067" nd="1"/>
        <i x="4068" nd="1"/>
        <i x="4069" nd="1"/>
        <i x="4070" nd="1"/>
        <i x="4071" nd="1"/>
        <i x="4072" nd="1"/>
        <i x="4073" nd="1"/>
        <i x="4074" nd="1"/>
        <i x="4075" nd="1"/>
        <i x="4076" nd="1"/>
        <i x="4077" nd="1"/>
        <i x="4078" nd="1"/>
        <i x="4079" nd="1"/>
        <i x="4080" nd="1"/>
        <i x="4081" nd="1"/>
        <i x="4082" nd="1"/>
        <i x="4083" nd="1"/>
        <i x="4084" nd="1"/>
        <i x="4085" nd="1"/>
        <i x="4086" nd="1"/>
        <i x="4087" nd="1"/>
        <i x="4088" nd="1"/>
        <i x="4089" nd="1"/>
        <i x="4090" nd="1"/>
        <i x="4091" nd="1"/>
        <i x="4092" nd="1"/>
        <i x="4093" nd="1"/>
        <i x="4094" nd="1"/>
        <i x="4095" nd="1"/>
        <i x="4096" nd="1"/>
        <i x="4097" nd="1"/>
        <i x="4098" nd="1"/>
        <i x="4099" nd="1"/>
        <i x="4100" nd="1"/>
        <i x="4101" nd="1"/>
        <i x="4102" nd="1"/>
        <i x="4103" nd="1"/>
        <i x="4104" nd="1"/>
        <i x="4105" nd="1"/>
        <i x="4106" nd="1"/>
        <i x="4107" nd="1"/>
        <i x="4108" nd="1"/>
        <i x="4109" nd="1"/>
        <i x="4110" nd="1"/>
        <i x="4111" nd="1"/>
        <i x="4112" nd="1"/>
        <i x="4113" nd="1"/>
        <i x="4114" nd="1"/>
        <i x="4115" nd="1"/>
        <i x="4116" nd="1"/>
        <i x="4117" nd="1"/>
        <i x="4118" nd="1"/>
        <i x="4119" nd="1"/>
        <i x="4120" nd="1"/>
        <i x="4121" nd="1"/>
        <i x="4122" nd="1"/>
        <i x="4123" nd="1"/>
        <i x="4124" nd="1"/>
        <i x="4125" nd="1"/>
        <i x="4126" nd="1"/>
        <i x="4127" nd="1"/>
        <i x="4128" nd="1"/>
        <i x="4129" nd="1"/>
        <i x="4130" nd="1"/>
        <i x="4131" nd="1"/>
        <i x="4132" nd="1"/>
        <i x="4133" nd="1"/>
        <i x="4134" nd="1"/>
        <i x="4135" nd="1"/>
        <i x="4136" nd="1"/>
        <i x="4137" nd="1"/>
        <i x="4138" nd="1"/>
        <i x="4139" nd="1"/>
        <i x="4140" nd="1"/>
        <i x="4141" nd="1"/>
        <i x="4142" nd="1"/>
        <i x="4143" nd="1"/>
        <i x="4144" nd="1"/>
        <i x="4145" nd="1"/>
        <i x="4146" nd="1"/>
        <i x="4147" nd="1"/>
        <i x="4148" nd="1"/>
        <i x="4149" nd="1"/>
        <i x="4150" nd="1"/>
        <i x="4151" nd="1"/>
        <i x="4152" nd="1"/>
        <i x="4153" nd="1"/>
        <i x="4154" nd="1"/>
        <i x="4155" nd="1"/>
        <i x="4156" nd="1"/>
        <i x="4157" nd="1"/>
        <i x="4158" nd="1"/>
        <i x="4159" nd="1"/>
        <i x="4160" nd="1"/>
        <i x="4161" nd="1"/>
        <i x="4162" nd="1"/>
        <i x="4163" nd="1"/>
        <i x="4164" nd="1"/>
        <i x="4165" nd="1"/>
        <i x="4166" nd="1"/>
        <i x="4167" nd="1"/>
        <i x="4168" nd="1"/>
        <i x="4169" nd="1"/>
        <i x="4170" nd="1"/>
        <i x="4171" nd="1"/>
        <i x="4172" nd="1"/>
        <i x="4173" nd="1"/>
        <i x="4174" nd="1"/>
        <i x="4175" nd="1"/>
        <i x="4176" nd="1"/>
        <i x="4177" nd="1"/>
        <i x="4178" nd="1"/>
        <i x="4179" nd="1"/>
        <i x="4180" nd="1"/>
        <i x="4181" nd="1"/>
        <i x="4182" nd="1"/>
        <i x="4183" nd="1"/>
        <i x="4184" nd="1"/>
        <i x="4185" nd="1"/>
        <i x="4186" nd="1"/>
        <i x="4187" nd="1"/>
        <i x="4188" nd="1"/>
        <i x="4189" nd="1"/>
        <i x="4190" nd="1"/>
        <i x="4191" nd="1"/>
        <i x="4192" nd="1"/>
        <i x="4193" nd="1"/>
        <i x="4194" nd="1"/>
        <i x="4195" nd="1"/>
        <i x="4196" nd="1"/>
        <i x="4197" nd="1"/>
        <i x="4198" nd="1"/>
        <i x="4199" nd="1"/>
        <i x="4200" nd="1"/>
        <i x="4201" nd="1"/>
        <i x="4202" nd="1"/>
        <i x="4203" nd="1"/>
        <i x="4204" nd="1"/>
        <i x="4205" nd="1"/>
        <i x="4206" nd="1"/>
        <i x="4207" nd="1"/>
        <i x="4208" nd="1"/>
        <i x="4209" nd="1"/>
        <i x="4210" nd="1"/>
        <i x="4211" nd="1"/>
        <i x="4212" nd="1"/>
        <i x="4213" nd="1"/>
        <i x="4214" nd="1"/>
        <i x="4215" nd="1"/>
        <i x="4216" nd="1"/>
        <i x="4217" nd="1"/>
        <i x="4218" nd="1"/>
        <i x="4219" nd="1"/>
        <i x="4220" nd="1"/>
        <i x="4221" nd="1"/>
        <i x="4222" nd="1"/>
        <i x="4223" nd="1"/>
        <i x="4224" nd="1"/>
        <i x="4225" nd="1"/>
        <i x="4226" nd="1"/>
        <i x="4227" nd="1"/>
        <i x="4228" nd="1"/>
        <i x="4229" nd="1"/>
        <i x="4230" nd="1"/>
        <i x="4231" nd="1"/>
        <i x="4232" nd="1"/>
        <i x="4233" nd="1"/>
        <i x="4234" nd="1"/>
        <i x="4235" nd="1"/>
        <i x="4236" nd="1"/>
        <i x="4237" nd="1"/>
        <i x="4238" nd="1"/>
        <i x="4239" nd="1"/>
        <i x="4240" nd="1"/>
        <i x="4241" nd="1"/>
        <i x="4242" nd="1"/>
        <i x="4243" nd="1"/>
        <i x="4244" nd="1"/>
        <i x="4245" nd="1"/>
        <i x="4246" nd="1"/>
        <i x="4247" nd="1"/>
        <i x="4248" nd="1"/>
        <i x="4249" nd="1"/>
        <i x="4250" nd="1"/>
        <i x="4251" nd="1"/>
        <i x="4252" nd="1"/>
        <i x="4253" nd="1"/>
        <i x="4254" nd="1"/>
        <i x="4255" nd="1"/>
        <i x="4256" nd="1"/>
        <i x="4257" nd="1"/>
        <i x="4258" nd="1"/>
        <i x="4259" nd="1"/>
        <i x="4260" nd="1"/>
        <i x="4261" nd="1"/>
        <i x="4262" nd="1"/>
        <i x="4263" nd="1"/>
        <i x="4264" nd="1"/>
        <i x="4265" nd="1"/>
        <i x="4266" nd="1"/>
        <i x="4267" nd="1"/>
        <i x="4268" nd="1"/>
        <i x="4269" nd="1"/>
        <i x="4270" nd="1"/>
        <i x="4271" nd="1"/>
        <i x="4272" nd="1"/>
        <i x="4273" nd="1"/>
        <i x="4274" nd="1"/>
        <i x="4275" nd="1"/>
        <i x="4276" nd="1"/>
        <i x="4277" nd="1"/>
        <i x="4278" nd="1"/>
        <i x="4279" nd="1"/>
        <i x="4280" nd="1"/>
        <i x="4281" nd="1"/>
        <i x="4282" nd="1"/>
        <i x="4283" nd="1"/>
        <i x="4284" nd="1"/>
        <i x="4285" nd="1"/>
        <i x="4286" nd="1"/>
        <i x="4287" nd="1"/>
        <i x="4288" nd="1"/>
        <i x="4289" nd="1"/>
        <i x="4290" nd="1"/>
        <i x="4291" nd="1"/>
        <i x="4292" nd="1"/>
        <i x="4293" nd="1"/>
        <i x="4294" nd="1"/>
        <i x="4295" nd="1"/>
        <i x="4296" nd="1"/>
        <i x="4297" nd="1"/>
        <i x="4298" nd="1"/>
        <i x="4299" nd="1"/>
        <i x="4300" nd="1"/>
        <i x="4301" nd="1"/>
        <i x="4302" nd="1"/>
        <i x="4303" nd="1"/>
        <i x="4304" nd="1"/>
        <i x="4305" nd="1"/>
        <i x="4306" nd="1"/>
        <i x="4307" nd="1"/>
        <i x="4308" nd="1"/>
        <i x="4309" nd="1"/>
        <i x="4310" nd="1"/>
        <i x="4311" nd="1"/>
        <i x="4312" nd="1"/>
        <i x="4313" nd="1"/>
        <i x="4314" nd="1"/>
        <i x="4315" nd="1"/>
        <i x="4316" nd="1"/>
        <i x="4317" nd="1"/>
        <i x="4318" nd="1"/>
        <i x="4319" nd="1"/>
        <i x="4320" nd="1"/>
        <i x="4321" nd="1"/>
        <i x="4322" nd="1"/>
        <i x="4323" nd="1"/>
        <i x="4324" nd="1"/>
        <i x="4325" nd="1"/>
        <i x="4326" nd="1"/>
        <i x="4327" nd="1"/>
        <i x="4328" nd="1"/>
        <i x="4329" nd="1"/>
        <i x="4330" nd="1"/>
        <i x="4331" nd="1"/>
        <i x="4332" nd="1"/>
        <i x="4333" nd="1"/>
        <i x="4334" nd="1"/>
        <i x="4335" nd="1"/>
        <i x="4336" nd="1"/>
        <i x="4337" nd="1"/>
        <i x="4338" nd="1"/>
        <i x="4339" nd="1"/>
        <i x="4340" nd="1"/>
        <i x="4341" nd="1"/>
        <i x="4342" nd="1"/>
        <i x="4343" nd="1"/>
        <i x="4344" nd="1"/>
        <i x="4345" nd="1"/>
        <i x="4346" nd="1"/>
        <i x="4347" nd="1"/>
        <i x="4348" nd="1"/>
        <i x="4349" nd="1"/>
        <i x="4350" nd="1"/>
        <i x="4351" nd="1"/>
        <i x="4352" nd="1"/>
        <i x="4353" nd="1"/>
        <i x="4354" nd="1"/>
        <i x="4355" nd="1"/>
        <i x="4356" nd="1"/>
        <i x="4357" nd="1"/>
        <i x="4358" nd="1"/>
        <i x="4359" nd="1"/>
        <i x="4360" nd="1"/>
        <i x="4361" nd="1"/>
        <i x="4362" nd="1"/>
        <i x="4363" nd="1"/>
        <i x="4364" nd="1"/>
        <i x="4365" nd="1"/>
        <i x="4366" nd="1"/>
        <i x="4367" nd="1"/>
        <i x="4368" nd="1"/>
        <i x="4369" nd="1"/>
        <i x="4370" nd="1"/>
        <i x="4371" nd="1"/>
        <i x="4372" nd="1"/>
        <i x="4373" nd="1"/>
        <i x="4374" nd="1"/>
        <i x="4375" nd="1"/>
        <i x="4376" nd="1"/>
        <i x="4377" nd="1"/>
        <i x="4378" nd="1"/>
        <i x="4379" nd="1"/>
        <i x="4380" nd="1"/>
        <i x="4381" nd="1"/>
        <i x="4382" nd="1"/>
        <i x="4383" nd="1"/>
        <i x="4384" nd="1"/>
        <i x="4385" nd="1"/>
        <i x="4386" nd="1"/>
        <i x="4387" nd="1"/>
        <i x="4388" nd="1"/>
        <i x="4389" nd="1"/>
        <i x="4390" nd="1"/>
        <i x="4391" nd="1"/>
        <i x="4392" nd="1"/>
        <i x="4393" nd="1"/>
        <i x="4394" nd="1"/>
        <i x="4395" nd="1"/>
        <i x="4396" nd="1"/>
        <i x="4397" nd="1"/>
        <i x="4398" nd="1"/>
        <i x="4399" nd="1"/>
        <i x="4400" nd="1"/>
        <i x="4401" nd="1"/>
        <i x="4402" nd="1"/>
        <i x="4403" nd="1"/>
        <i x="4404" nd="1"/>
        <i x="4405" nd="1"/>
        <i x="4406" nd="1"/>
        <i x="4407" nd="1"/>
        <i x="4408" nd="1"/>
        <i x="4409" nd="1"/>
        <i x="4410" nd="1"/>
        <i x="4411" nd="1"/>
        <i x="4412" nd="1"/>
        <i x="4413" nd="1"/>
        <i x="4414" nd="1"/>
        <i x="4415" nd="1"/>
        <i x="4416" nd="1"/>
        <i x="4417" nd="1"/>
        <i x="4418" nd="1"/>
        <i x="4419" nd="1"/>
        <i x="4420" nd="1"/>
        <i x="4421" nd="1"/>
        <i x="4422" nd="1"/>
        <i x="4423" nd="1"/>
        <i x="4424" nd="1"/>
        <i x="4425" nd="1"/>
        <i x="4426" nd="1"/>
        <i x="4427" nd="1"/>
        <i x="4428" nd="1"/>
        <i x="4429" nd="1"/>
        <i x="4430" nd="1"/>
        <i x="4431" nd="1"/>
        <i x="4432" nd="1"/>
        <i x="4433" nd="1"/>
        <i x="4434" nd="1"/>
        <i x="4435" nd="1"/>
        <i x="4436" nd="1"/>
        <i x="4437" nd="1"/>
        <i x="4438" nd="1"/>
        <i x="4439" nd="1"/>
        <i x="4440" nd="1"/>
        <i x="4441" nd="1"/>
        <i x="4442" nd="1"/>
        <i x="4443" nd="1"/>
        <i x="4444" nd="1"/>
        <i x="4445" nd="1"/>
        <i x="4446" nd="1"/>
        <i x="4447" nd="1"/>
        <i x="4448" nd="1"/>
        <i x="4449" nd="1"/>
        <i x="4450" nd="1"/>
        <i x="4451" nd="1"/>
        <i x="4452" nd="1"/>
        <i x="4453" nd="1"/>
        <i x="4454" nd="1"/>
        <i x="4455" nd="1"/>
        <i x="4456" nd="1"/>
        <i x="4457" nd="1"/>
        <i x="4458" nd="1"/>
        <i x="4459" nd="1"/>
        <i x="4460" nd="1"/>
        <i x="4461" nd="1"/>
        <i x="4462" nd="1"/>
        <i x="4463" nd="1"/>
        <i x="4464" nd="1"/>
        <i x="4465" nd="1"/>
        <i x="4466" nd="1"/>
        <i x="4467" nd="1"/>
        <i x="4468" nd="1"/>
        <i x="4469" nd="1"/>
        <i x="4470" nd="1"/>
        <i x="4471" nd="1"/>
        <i x="4472" nd="1"/>
        <i x="4473" nd="1"/>
        <i x="4474" nd="1"/>
        <i x="4475" nd="1"/>
        <i x="4476" nd="1"/>
        <i x="4477" nd="1"/>
        <i x="4478" nd="1"/>
        <i x="4479" nd="1"/>
        <i x="4480" nd="1"/>
        <i x="4481" nd="1"/>
        <i x="4482" nd="1"/>
        <i x="4483" nd="1"/>
        <i x="4484" nd="1"/>
        <i x="4485" nd="1"/>
        <i x="4486" nd="1"/>
        <i x="4487" nd="1"/>
        <i x="4488" nd="1"/>
        <i x="4489" nd="1"/>
        <i x="4490" nd="1"/>
        <i x="4491" nd="1"/>
        <i x="4492" nd="1"/>
        <i x="4493" nd="1"/>
        <i x="4494" nd="1"/>
        <i x="4495" nd="1"/>
        <i x="4496" nd="1"/>
        <i x="4497" nd="1"/>
        <i x="4498" nd="1"/>
        <i x="4499" nd="1"/>
        <i x="4500" nd="1"/>
        <i x="4501" nd="1"/>
        <i x="4502" nd="1"/>
        <i x="4503" nd="1"/>
        <i x="4504" nd="1"/>
        <i x="4505" nd="1"/>
        <i x="4506" nd="1"/>
        <i x="4507" nd="1"/>
        <i x="4508" nd="1"/>
        <i x="4509" nd="1"/>
        <i x="4510" nd="1"/>
        <i x="4511" nd="1"/>
        <i x="4512" nd="1"/>
        <i x="4513" nd="1"/>
        <i x="4514" nd="1"/>
        <i x="4515" nd="1"/>
        <i x="4516" nd="1"/>
        <i x="4517" nd="1"/>
        <i x="4518" nd="1"/>
        <i x="4519" nd="1"/>
        <i x="4520" nd="1"/>
        <i x="4521" nd="1"/>
        <i x="4522" nd="1"/>
        <i x="4523" nd="1"/>
        <i x="4524" nd="1"/>
        <i x="4525" nd="1"/>
        <i x="4526" nd="1"/>
        <i x="4527" nd="1"/>
        <i x="4528" nd="1"/>
        <i x="4529" nd="1"/>
        <i x="4530" nd="1"/>
        <i x="4531" nd="1"/>
        <i x="4532" nd="1"/>
        <i x="4533" nd="1"/>
        <i x="4534" nd="1"/>
        <i x="4535" nd="1"/>
        <i x="4536" nd="1"/>
        <i x="4537" nd="1"/>
        <i x="4538" nd="1"/>
        <i x="4539" nd="1"/>
        <i x="4540" nd="1"/>
        <i x="4541" nd="1"/>
        <i x="4542" nd="1"/>
        <i x="4543" nd="1"/>
        <i x="4544" nd="1"/>
        <i x="4545" nd="1"/>
        <i x="4546" nd="1"/>
        <i x="4547" nd="1"/>
        <i x="4548" nd="1"/>
        <i x="4549" nd="1"/>
        <i x="4550" nd="1"/>
        <i x="4551" nd="1"/>
        <i x="4552" nd="1"/>
        <i x="4553" nd="1"/>
        <i x="4554" nd="1"/>
        <i x="4555" nd="1"/>
        <i x="4556" nd="1"/>
        <i x="4557" nd="1"/>
        <i x="4558" nd="1"/>
        <i x="4559" nd="1"/>
        <i x="4560" nd="1"/>
        <i x="4561" nd="1"/>
        <i x="4562" nd="1"/>
        <i x="4563" nd="1"/>
        <i x="4564" nd="1"/>
        <i x="4565" nd="1"/>
        <i x="4566" nd="1"/>
        <i x="4567" nd="1"/>
        <i x="4568" nd="1"/>
        <i x="4569" nd="1"/>
        <i x="4570" nd="1"/>
        <i x="4571" nd="1"/>
        <i x="4572" nd="1"/>
        <i x="4573" nd="1"/>
        <i x="4574" nd="1"/>
        <i x="4575" nd="1"/>
        <i x="4576" nd="1"/>
        <i x="4577" nd="1"/>
        <i x="4578" nd="1"/>
        <i x="4579" nd="1"/>
        <i x="4580" nd="1"/>
        <i x="4581" nd="1"/>
        <i x="4582" nd="1"/>
        <i x="4583" nd="1"/>
        <i x="4584" nd="1"/>
        <i x="4585" nd="1"/>
        <i x="4586" nd="1"/>
        <i x="4587" nd="1"/>
        <i x="4588" nd="1"/>
        <i x="4589" nd="1"/>
        <i x="4590" nd="1"/>
        <i x="4591" nd="1"/>
        <i x="4592" nd="1"/>
        <i x="4593" nd="1"/>
        <i x="4594" nd="1"/>
        <i x="4595" nd="1"/>
        <i x="4596" nd="1"/>
        <i x="4597" nd="1"/>
        <i x="4598" nd="1"/>
        <i x="4599" nd="1"/>
        <i x="4600" nd="1"/>
        <i x="4601" nd="1"/>
        <i x="4602" nd="1"/>
        <i x="4603" nd="1"/>
        <i x="4604" nd="1"/>
        <i x="4605" nd="1"/>
        <i x="4606" nd="1"/>
        <i x="4607" nd="1"/>
        <i x="4608" nd="1"/>
        <i x="4609" nd="1"/>
        <i x="4610" nd="1"/>
        <i x="4611" nd="1"/>
        <i x="4612" nd="1"/>
        <i x="4613" nd="1"/>
        <i x="4614" nd="1"/>
        <i x="4615" nd="1"/>
        <i x="4616" nd="1"/>
        <i x="4617" nd="1"/>
        <i x="4618" nd="1"/>
        <i x="4619" nd="1"/>
        <i x="4620" nd="1"/>
        <i x="4621" nd="1"/>
        <i x="4622" nd="1"/>
        <i x="4623" nd="1"/>
        <i x="4624" nd="1"/>
        <i x="4625" nd="1"/>
        <i x="4626" nd="1"/>
        <i x="4627" nd="1"/>
        <i x="4628" nd="1"/>
        <i x="4629" nd="1"/>
        <i x="4630" nd="1"/>
        <i x="4631" nd="1"/>
        <i x="4632" nd="1"/>
        <i x="4633" nd="1"/>
        <i x="4634" nd="1"/>
        <i x="4635" nd="1"/>
        <i x="4636" nd="1"/>
        <i x="4637" nd="1"/>
        <i x="4638" nd="1"/>
        <i x="4639" nd="1"/>
        <i x="4640" nd="1"/>
        <i x="4641" nd="1"/>
        <i x="4642" nd="1"/>
        <i x="4643" nd="1"/>
        <i x="4644" nd="1"/>
        <i x="4645" nd="1"/>
        <i x="4646" nd="1"/>
        <i x="4647" nd="1"/>
        <i x="4648" nd="1"/>
        <i x="4649" nd="1"/>
        <i x="4650" nd="1"/>
        <i x="4651" nd="1"/>
        <i x="4652" nd="1"/>
        <i x="4653" nd="1"/>
        <i x="4654" nd="1"/>
        <i x="4655" nd="1"/>
        <i x="4656" nd="1"/>
        <i x="4657" nd="1"/>
        <i x="4658" nd="1"/>
        <i x="4659" nd="1"/>
        <i x="4660" nd="1"/>
        <i x="4661" nd="1"/>
        <i x="4662" nd="1"/>
        <i x="4663" nd="1"/>
        <i x="4664" nd="1"/>
        <i x="4665" nd="1"/>
        <i x="4666" nd="1"/>
        <i x="4667" nd="1"/>
        <i x="4668" nd="1"/>
        <i x="4669" nd="1"/>
        <i x="4670" nd="1"/>
        <i x="4671" nd="1"/>
        <i x="4672" nd="1"/>
        <i x="4673" nd="1"/>
        <i x="4674" nd="1"/>
        <i x="4675" nd="1"/>
        <i x="4676" nd="1"/>
        <i x="4677" nd="1"/>
        <i x="4678" nd="1"/>
        <i x="4679" nd="1"/>
        <i x="4680" nd="1"/>
        <i x="4681" nd="1"/>
        <i x="4682" nd="1"/>
        <i x="4683" nd="1"/>
        <i x="4684" nd="1"/>
        <i x="4685" nd="1"/>
        <i x="4686" nd="1"/>
        <i x="4687" nd="1"/>
        <i x="4688" nd="1"/>
        <i x="4689" nd="1"/>
        <i x="4690" nd="1"/>
        <i x="4691" nd="1"/>
        <i x="4692" nd="1"/>
        <i x="4693" nd="1"/>
        <i x="4694" nd="1"/>
        <i x="4695" nd="1"/>
        <i x="4696" nd="1"/>
        <i x="4697" nd="1"/>
        <i x="4698" nd="1"/>
        <i x="4699" nd="1"/>
        <i x="4700" nd="1"/>
        <i x="4701" nd="1"/>
        <i x="4702" nd="1"/>
        <i x="4703" nd="1"/>
        <i x="4704" nd="1"/>
        <i x="4705" nd="1"/>
        <i x="4706" nd="1"/>
        <i x="4707" nd="1"/>
        <i x="4708" nd="1"/>
        <i x="4709" nd="1"/>
        <i x="4710" nd="1"/>
        <i x="4711" nd="1"/>
        <i x="4712" nd="1"/>
        <i x="4713" nd="1"/>
        <i x="4714" nd="1"/>
        <i x="4715" nd="1"/>
        <i x="4716" nd="1"/>
        <i x="4717" nd="1"/>
        <i x="4718" nd="1"/>
        <i x="4719" nd="1"/>
        <i x="4720" nd="1"/>
        <i x="4721" nd="1"/>
        <i x="4722" nd="1"/>
        <i x="4723" nd="1"/>
        <i x="4724" nd="1"/>
        <i x="4725" nd="1"/>
        <i x="4726" nd="1"/>
        <i x="4727" nd="1"/>
        <i x="4728" nd="1"/>
        <i x="4729" nd="1"/>
        <i x="4730" nd="1"/>
        <i x="4731" nd="1"/>
        <i x="4732" nd="1"/>
        <i x="4733" nd="1"/>
        <i x="4734" nd="1"/>
        <i x="4735" nd="1"/>
        <i x="4736" nd="1"/>
        <i x="4737" nd="1"/>
        <i x="4738" nd="1"/>
        <i x="4739" nd="1"/>
        <i x="4740" nd="1"/>
        <i x="4741" nd="1"/>
        <i x="4742" nd="1"/>
        <i x="4743" nd="1"/>
        <i x="4744" nd="1"/>
        <i x="4745" nd="1"/>
        <i x="4746" nd="1"/>
        <i x="4747" nd="1"/>
        <i x="4748" nd="1"/>
        <i x="4749" nd="1"/>
        <i x="4750" nd="1"/>
        <i x="4751" nd="1"/>
        <i x="4752" nd="1"/>
        <i x="4753" nd="1"/>
        <i x="4754" nd="1"/>
        <i x="4755" nd="1"/>
        <i x="4756" nd="1"/>
        <i x="4757" nd="1"/>
        <i x="4758" nd="1"/>
        <i x="4759" nd="1"/>
        <i x="4760" nd="1"/>
        <i x="4761" nd="1"/>
        <i x="4762" nd="1"/>
        <i x="4763" nd="1"/>
        <i x="4764" nd="1"/>
        <i x="4765" nd="1"/>
        <i x="4766" nd="1"/>
        <i x="4767" nd="1"/>
        <i x="4768" nd="1"/>
        <i x="4769" nd="1"/>
        <i x="4770" nd="1"/>
        <i x="4771" nd="1"/>
        <i x="4772" nd="1"/>
        <i x="4773" nd="1"/>
        <i x="4774" nd="1"/>
        <i x="4775" nd="1"/>
        <i x="4776" nd="1"/>
        <i x="4777" nd="1"/>
        <i x="4778" nd="1"/>
        <i x="4779" nd="1"/>
        <i x="4780" nd="1"/>
        <i x="4781" nd="1"/>
        <i x="4782" nd="1"/>
        <i x="4783" nd="1"/>
        <i x="4784" nd="1"/>
        <i x="4785" nd="1"/>
        <i x="4786" nd="1"/>
        <i x="4787" nd="1"/>
        <i x="4788" nd="1"/>
        <i x="4789" nd="1"/>
        <i x="4790" nd="1"/>
        <i x="4791" nd="1"/>
        <i x="4792" nd="1"/>
        <i x="4793" nd="1"/>
        <i x="4794" nd="1"/>
        <i x="4795" nd="1"/>
        <i x="4796" nd="1"/>
        <i x="4797" nd="1"/>
        <i x="4798" nd="1"/>
        <i x="4799" nd="1"/>
        <i x="4800" nd="1"/>
        <i x="4801" nd="1"/>
        <i x="4802" nd="1"/>
        <i x="4803" nd="1"/>
        <i x="4804" nd="1"/>
        <i x="4805" nd="1"/>
        <i x="4806" nd="1"/>
        <i x="4807" nd="1"/>
        <i x="4808" nd="1"/>
        <i x="4809" nd="1"/>
        <i x="4810" nd="1"/>
        <i x="4811" nd="1"/>
        <i x="4812" nd="1"/>
        <i x="4813" nd="1"/>
        <i x="4814" nd="1"/>
        <i x="4815" nd="1"/>
        <i x="4816" nd="1"/>
        <i x="4817" nd="1"/>
        <i x="4818" nd="1"/>
        <i x="4819" nd="1"/>
        <i x="4820" nd="1"/>
        <i x="4821" nd="1"/>
        <i x="4822" nd="1"/>
        <i x="4823" nd="1"/>
        <i x="4824" nd="1"/>
        <i x="4825" nd="1"/>
        <i x="4826" nd="1"/>
        <i x="4827" nd="1"/>
        <i x="4828" nd="1"/>
        <i x="4829" nd="1"/>
        <i x="4830" nd="1"/>
        <i x="4831" nd="1"/>
        <i x="4832" nd="1"/>
        <i x="4833" nd="1"/>
        <i x="4834" nd="1"/>
        <i x="4835" nd="1"/>
        <i x="4836" nd="1"/>
        <i x="4837" nd="1"/>
        <i x="4838" nd="1"/>
        <i x="4839" nd="1"/>
        <i x="4840" nd="1"/>
        <i x="4841" nd="1"/>
        <i x="4842" nd="1"/>
        <i x="4843" nd="1"/>
        <i x="4844" nd="1"/>
        <i x="4845" nd="1"/>
        <i x="4846" nd="1"/>
        <i x="4847" nd="1"/>
        <i x="4848" nd="1"/>
        <i x="4849" nd="1"/>
        <i x="4850" nd="1"/>
        <i x="4851" nd="1"/>
        <i x="4852" nd="1"/>
        <i x="4853" nd="1"/>
        <i x="4854" nd="1"/>
        <i x="4855" nd="1"/>
        <i x="4856" nd="1"/>
        <i x="4857" nd="1"/>
        <i x="4858" nd="1"/>
        <i x="4859" nd="1"/>
        <i x="4860" nd="1"/>
        <i x="4861" nd="1"/>
        <i x="4862" nd="1"/>
        <i x="4863" nd="1"/>
        <i x="4864" nd="1"/>
        <i x="4865" nd="1"/>
        <i x="4866" nd="1"/>
        <i x="4867" nd="1"/>
        <i x="4868" nd="1"/>
        <i x="4869" nd="1"/>
        <i x="4870" nd="1"/>
        <i x="4871" nd="1"/>
        <i x="4872" nd="1"/>
        <i x="4873" nd="1"/>
        <i x="4874" nd="1"/>
        <i x="4875" nd="1"/>
        <i x="4876" nd="1"/>
        <i x="4877" nd="1"/>
        <i x="4878" nd="1"/>
        <i x="4879" nd="1"/>
        <i x="4880" nd="1"/>
        <i x="4881" nd="1"/>
        <i x="4882" nd="1"/>
        <i x="4883" nd="1"/>
        <i x="4884" nd="1"/>
        <i x="4885" nd="1"/>
        <i x="4886" nd="1"/>
        <i x="4887" nd="1"/>
        <i x="4888" nd="1"/>
        <i x="4889" nd="1"/>
        <i x="4890" nd="1"/>
        <i x="4891" nd="1"/>
        <i x="4892" nd="1"/>
        <i x="4893" nd="1"/>
        <i x="4894" nd="1"/>
        <i x="4895" nd="1"/>
        <i x="4896" nd="1"/>
        <i x="4897" nd="1"/>
        <i x="4898" nd="1"/>
        <i x="4899" nd="1"/>
        <i x="4900" nd="1"/>
        <i x="4901" nd="1"/>
        <i x="4902" nd="1"/>
        <i x="4903" nd="1"/>
        <i x="4904" nd="1"/>
        <i x="4905" nd="1"/>
        <i x="4906" nd="1"/>
        <i x="4907" nd="1"/>
        <i x="4908" nd="1"/>
        <i x="4909" nd="1"/>
        <i x="4910" nd="1"/>
        <i x="4911" nd="1"/>
        <i x="4912" nd="1"/>
        <i x="4913" nd="1"/>
        <i x="4914" nd="1"/>
        <i x="4915" nd="1"/>
        <i x="4916" nd="1"/>
        <i x="4917" nd="1"/>
        <i x="4918" nd="1"/>
        <i x="4919" nd="1"/>
        <i x="4920" nd="1"/>
        <i x="4921" nd="1"/>
        <i x="4922" nd="1"/>
        <i x="4923" nd="1"/>
        <i x="4924" nd="1"/>
        <i x="4925" nd="1"/>
        <i x="4926" nd="1"/>
        <i x="4927" nd="1"/>
        <i x="4928" nd="1"/>
        <i x="4929" nd="1"/>
        <i x="4930" nd="1"/>
        <i x="4931" nd="1"/>
        <i x="4932" nd="1"/>
        <i x="4933" nd="1"/>
        <i x="4934" nd="1"/>
        <i x="4935" nd="1"/>
        <i x="4936" nd="1"/>
        <i x="4937" nd="1"/>
        <i x="4938" nd="1"/>
        <i x="4939" nd="1"/>
        <i x="4940" nd="1"/>
        <i x="4941" nd="1"/>
        <i x="4942" nd="1"/>
        <i x="4943" nd="1"/>
        <i x="4944" nd="1"/>
        <i x="4945" nd="1"/>
        <i x="4946" nd="1"/>
        <i x="4947" nd="1"/>
        <i x="4948" nd="1"/>
        <i x="4949" nd="1"/>
        <i x="4950" nd="1"/>
        <i x="4951" nd="1"/>
        <i x="4952" nd="1"/>
        <i x="4953" nd="1"/>
        <i x="4954" nd="1"/>
        <i x="4955" nd="1"/>
        <i x="4956" nd="1"/>
        <i x="4957" nd="1"/>
        <i x="4958" nd="1"/>
        <i x="4959" nd="1"/>
        <i x="4960" nd="1"/>
        <i x="4961" nd="1"/>
        <i x="4962" nd="1"/>
        <i x="4963" nd="1"/>
        <i x="4964" nd="1"/>
        <i x="4965" nd="1"/>
        <i x="4966" nd="1"/>
        <i x="4967" nd="1"/>
        <i x="4968" nd="1"/>
        <i x="4969" nd="1"/>
        <i x="4970" nd="1"/>
        <i x="4971" nd="1"/>
        <i x="4972" nd="1"/>
        <i x="4973" nd="1"/>
        <i x="4974" nd="1"/>
        <i x="4975" nd="1"/>
        <i x="4976" nd="1"/>
        <i x="4977" nd="1"/>
        <i x="4978" nd="1"/>
        <i x="4979" nd="1"/>
        <i x="4980" nd="1"/>
        <i x="4981" nd="1"/>
        <i x="4982" nd="1"/>
        <i x="4983" nd="1"/>
        <i x="4984" nd="1"/>
        <i x="4985" nd="1"/>
        <i x="4986" nd="1"/>
        <i x="4987" nd="1"/>
        <i x="4988" nd="1"/>
        <i x="4989" nd="1"/>
        <i x="4990" nd="1"/>
        <i x="4991" nd="1"/>
        <i x="4992" nd="1"/>
        <i x="4993" nd="1"/>
        <i x="4994" nd="1"/>
        <i x="4995" nd="1"/>
        <i x="4996" nd="1"/>
        <i x="4997" nd="1"/>
        <i x="4998" nd="1"/>
        <i x="4999" nd="1"/>
        <i x="5000" nd="1"/>
        <i x="5001" nd="1"/>
        <i x="5002" nd="1"/>
        <i x="5003" nd="1"/>
        <i x="5004" nd="1"/>
        <i x="5005" nd="1"/>
        <i x="5006" nd="1"/>
        <i x="5007" nd="1"/>
        <i x="5008" nd="1"/>
        <i x="5009" nd="1"/>
        <i x="5010" nd="1"/>
        <i x="5011" nd="1"/>
        <i x="5012" nd="1"/>
        <i x="5013" nd="1"/>
        <i x="5014" nd="1"/>
        <i x="5015" nd="1"/>
        <i x="5016" nd="1"/>
        <i x="5017" nd="1"/>
        <i x="5018" nd="1"/>
        <i x="5019" nd="1"/>
        <i x="5020" nd="1"/>
        <i x="5021" nd="1"/>
        <i x="5022" nd="1"/>
        <i x="5023" nd="1"/>
        <i x="5024" nd="1"/>
        <i x="5025" nd="1"/>
        <i x="5026" nd="1"/>
        <i x="5027" nd="1"/>
        <i x="5028" nd="1"/>
        <i x="5029" nd="1"/>
        <i x="5030" nd="1"/>
        <i x="5031" nd="1"/>
        <i x="5032" nd="1"/>
        <i x="5033" nd="1"/>
        <i x="5034" nd="1"/>
        <i x="5035" nd="1"/>
        <i x="5036" nd="1"/>
        <i x="5037" nd="1"/>
        <i x="5038" nd="1"/>
        <i x="5039" nd="1"/>
        <i x="5040" nd="1"/>
        <i x="5041" nd="1"/>
        <i x="5042" nd="1"/>
        <i x="5043" nd="1"/>
        <i x="5044" nd="1"/>
        <i x="5045" nd="1"/>
        <i x="5046" nd="1"/>
        <i x="5047" nd="1"/>
        <i x="5048" nd="1"/>
        <i x="5049" nd="1"/>
        <i x="5050" nd="1"/>
        <i x="5051" nd="1"/>
        <i x="5052" nd="1"/>
        <i x="5053" nd="1"/>
        <i x="5054" nd="1"/>
        <i x="5055" nd="1"/>
        <i x="5056" nd="1"/>
        <i x="5057" nd="1"/>
        <i x="5058" nd="1"/>
        <i x="5059" nd="1"/>
        <i x="5060" nd="1"/>
        <i x="5061" nd="1"/>
        <i x="5062" nd="1"/>
        <i x="5063" nd="1"/>
        <i x="5064" nd="1"/>
        <i x="5065" nd="1"/>
        <i x="5066" nd="1"/>
        <i x="5067" nd="1"/>
        <i x="5068" nd="1"/>
        <i x="5069" nd="1"/>
        <i x="5070" nd="1"/>
        <i x="5071" nd="1"/>
        <i x="5072" nd="1"/>
        <i x="5073" nd="1"/>
        <i x="5074" nd="1"/>
        <i x="5075" nd="1"/>
        <i x="5076" nd="1"/>
        <i x="5077" nd="1"/>
        <i x="5078" nd="1"/>
        <i x="5079" nd="1"/>
        <i x="5080" nd="1"/>
        <i x="5081" nd="1"/>
        <i x="5082" nd="1"/>
        <i x="5083" nd="1"/>
        <i x="5084" nd="1"/>
        <i x="5085" nd="1"/>
        <i x="5086" nd="1"/>
        <i x="5087" nd="1"/>
        <i x="5088" nd="1"/>
        <i x="5089" nd="1"/>
        <i x="5090" nd="1"/>
        <i x="5091" nd="1"/>
        <i x="5092" nd="1"/>
        <i x="5093" nd="1"/>
        <i x="5094" nd="1"/>
        <i x="5095" nd="1"/>
        <i x="5096" nd="1"/>
        <i x="5097" nd="1"/>
        <i x="5098" nd="1"/>
        <i x="5099" nd="1"/>
        <i x="5100" nd="1"/>
        <i x="5101" nd="1"/>
        <i x="5102" nd="1"/>
        <i x="5103" nd="1"/>
        <i x="5104" nd="1"/>
        <i x="5105" nd="1"/>
        <i x="5106" nd="1"/>
        <i x="5107" nd="1"/>
        <i x="5108" nd="1"/>
        <i x="5109" nd="1"/>
        <i x="5110" nd="1"/>
        <i x="5111" nd="1"/>
        <i x="5112" nd="1"/>
        <i x="5113" nd="1"/>
        <i x="5114" nd="1"/>
        <i x="5115" nd="1"/>
        <i x="5116" nd="1"/>
        <i x="5117" nd="1"/>
        <i x="5118" nd="1"/>
        <i x="5119" nd="1"/>
        <i x="5120" nd="1"/>
        <i x="5121" nd="1"/>
        <i x="5122" nd="1"/>
        <i x="5123" nd="1"/>
        <i x="5124" nd="1"/>
        <i x="5125" nd="1"/>
        <i x="5126" nd="1"/>
        <i x="5127" nd="1"/>
        <i x="5128" nd="1"/>
        <i x="5129" nd="1"/>
        <i x="5130" nd="1"/>
        <i x="5131" nd="1"/>
        <i x="5132" nd="1"/>
        <i x="5133" nd="1"/>
        <i x="5134" nd="1"/>
        <i x="5135" nd="1"/>
        <i x="5136" nd="1"/>
        <i x="5137" nd="1"/>
        <i x="5138" nd="1"/>
        <i x="5139" nd="1"/>
        <i x="5140" nd="1"/>
        <i x="5141" nd="1"/>
        <i x="5142" nd="1"/>
        <i x="5143" nd="1"/>
        <i x="5144" nd="1"/>
        <i x="5145" nd="1"/>
        <i x="5146" nd="1"/>
        <i x="5147" nd="1"/>
        <i x="5148" nd="1"/>
        <i x="5149" nd="1"/>
        <i x="5150" nd="1"/>
        <i x="5151" nd="1"/>
        <i x="5152" nd="1"/>
        <i x="5153" nd="1"/>
        <i x="5154" nd="1"/>
        <i x="5155" nd="1"/>
        <i x="5156" nd="1"/>
        <i x="5157" nd="1"/>
        <i x="5158" nd="1"/>
        <i x="5159" nd="1"/>
        <i x="5160" nd="1"/>
        <i x="5161" nd="1"/>
        <i x="5162" nd="1"/>
        <i x="5163" nd="1"/>
        <i x="5164" nd="1"/>
        <i x="5165" nd="1"/>
        <i x="5166" nd="1"/>
        <i x="5167" nd="1"/>
        <i x="5168" nd="1"/>
        <i x="5169" nd="1"/>
        <i x="5170" nd="1"/>
        <i x="5171" nd="1"/>
        <i x="5172" nd="1"/>
        <i x="5173" nd="1"/>
        <i x="5174" nd="1"/>
        <i x="5175" nd="1"/>
        <i x="5176" nd="1"/>
        <i x="5177" nd="1"/>
        <i x="5178" nd="1"/>
        <i x="5179" nd="1"/>
        <i x="5180" nd="1"/>
        <i x="5181" nd="1"/>
        <i x="5182" nd="1"/>
        <i x="5183" nd="1"/>
        <i x="5184" nd="1"/>
        <i x="5185" nd="1"/>
        <i x="5186" nd="1"/>
        <i x="5187" nd="1"/>
        <i x="5188" nd="1"/>
        <i x="5189" nd="1"/>
        <i x="5190" nd="1"/>
        <i x="5191" nd="1"/>
        <i x="5192" nd="1"/>
        <i x="5193" nd="1"/>
        <i x="5194" nd="1"/>
        <i x="5195" nd="1"/>
        <i x="5196" nd="1"/>
        <i x="5197" nd="1"/>
        <i x="5198" nd="1"/>
        <i x="5199" nd="1"/>
        <i x="5200" nd="1"/>
        <i x="5201" nd="1"/>
        <i x="5202" nd="1"/>
        <i x="5203" nd="1"/>
        <i x="5204" nd="1"/>
        <i x="5205" nd="1"/>
        <i x="5206" nd="1"/>
        <i x="5207" nd="1"/>
        <i x="5208" nd="1"/>
        <i x="5209" nd="1"/>
        <i x="5210" nd="1"/>
        <i x="5211" nd="1"/>
        <i x="5212" nd="1"/>
        <i x="5213" nd="1"/>
        <i x="5214" nd="1"/>
        <i x="5215" nd="1"/>
        <i x="5216" nd="1"/>
        <i x="5217" nd="1"/>
        <i x="5218" nd="1"/>
        <i x="5219" nd="1"/>
        <i x="5220" nd="1"/>
        <i x="5221" nd="1"/>
        <i x="5222" nd="1"/>
        <i x="5223" nd="1"/>
        <i x="5224" nd="1"/>
        <i x="5225" nd="1"/>
        <i x="5226" nd="1"/>
        <i x="5227" nd="1"/>
        <i x="5228" nd="1"/>
        <i x="5229" nd="1"/>
        <i x="5230" nd="1"/>
        <i x="5231" nd="1"/>
        <i x="5232" nd="1"/>
        <i x="5233" nd="1"/>
        <i x="5234" nd="1"/>
        <i x="5235" nd="1"/>
        <i x="5236" nd="1"/>
        <i x="5237" nd="1"/>
        <i x="5238" nd="1"/>
        <i x="5239" nd="1"/>
        <i x="5240" nd="1"/>
        <i x="5241" nd="1"/>
        <i x="5242" nd="1"/>
        <i x="5243" nd="1"/>
        <i x="5244" nd="1"/>
        <i x="5245" nd="1"/>
        <i x="5246" nd="1"/>
        <i x="5247" nd="1"/>
        <i x="5248" nd="1"/>
        <i x="5249" nd="1"/>
        <i x="5250" nd="1"/>
        <i x="5251" nd="1"/>
        <i x="5252" nd="1"/>
        <i x="5253" nd="1"/>
        <i x="5254" nd="1"/>
        <i x="5255" nd="1"/>
        <i x="5256" nd="1"/>
        <i x="5257" nd="1"/>
        <i x="5258" nd="1"/>
        <i x="5259" nd="1"/>
        <i x="5260" nd="1"/>
        <i x="5261" nd="1"/>
        <i x="5262" nd="1"/>
        <i x="5263" nd="1"/>
        <i x="5264" nd="1"/>
        <i x="5265" nd="1"/>
        <i x="5266" nd="1"/>
        <i x="5267" nd="1"/>
        <i x="5268" nd="1"/>
        <i x="5269" nd="1"/>
        <i x="5270" nd="1"/>
        <i x="5271" nd="1"/>
        <i x="5272" nd="1"/>
        <i x="5273" nd="1"/>
        <i x="5274" nd="1"/>
        <i x="5275" nd="1"/>
        <i x="5276" nd="1"/>
        <i x="5277" nd="1"/>
        <i x="5278" nd="1"/>
        <i x="5279" nd="1"/>
        <i x="5280" nd="1"/>
        <i x="5281" nd="1"/>
        <i x="5282" nd="1"/>
        <i x="5283" nd="1"/>
        <i x="5284" nd="1"/>
        <i x="5285" nd="1"/>
        <i x="5286" nd="1"/>
        <i x="5287" nd="1"/>
        <i x="5288" nd="1"/>
        <i x="5289" nd="1"/>
        <i x="5290" nd="1"/>
        <i x="5291" nd="1"/>
        <i x="5292" nd="1"/>
        <i x="5293" nd="1"/>
        <i x="5294" nd="1"/>
        <i x="5295" nd="1"/>
        <i x="5296" nd="1"/>
        <i x="5297" nd="1"/>
        <i x="5298" nd="1"/>
        <i x="5299" nd="1"/>
        <i x="5300" nd="1"/>
        <i x="5301" nd="1"/>
        <i x="5302" nd="1"/>
        <i x="5303" nd="1"/>
        <i x="5304" nd="1"/>
        <i x="5305" nd="1"/>
        <i x="5306" nd="1"/>
        <i x="5307" nd="1"/>
        <i x="5308" nd="1"/>
        <i x="5309" nd="1"/>
        <i x="5310" nd="1"/>
        <i x="5311" nd="1"/>
        <i x="5312" nd="1"/>
        <i x="5313" nd="1"/>
        <i x="5314" nd="1"/>
        <i x="5315" nd="1"/>
        <i x="5316" nd="1"/>
        <i x="5317" nd="1"/>
        <i x="5318" nd="1"/>
        <i x="5319" nd="1"/>
        <i x="5320" nd="1"/>
        <i x="5321" nd="1"/>
        <i x="5322" nd="1"/>
        <i x="5323" nd="1"/>
        <i x="5324" nd="1"/>
        <i x="5325" nd="1"/>
        <i x="5326" nd="1"/>
        <i x="5327" nd="1"/>
        <i x="5328" nd="1"/>
        <i x="5329" nd="1"/>
        <i x="5330" nd="1"/>
        <i x="5331" nd="1"/>
        <i x="5332" nd="1"/>
        <i x="5333" nd="1"/>
        <i x="5334" nd="1"/>
        <i x="5335" nd="1"/>
        <i x="5336" nd="1"/>
        <i x="5337" nd="1"/>
        <i x="5338" nd="1"/>
        <i x="5339" nd="1"/>
        <i x="5340" nd="1"/>
        <i x="5341" nd="1"/>
        <i x="5342" nd="1"/>
        <i x="5343" nd="1"/>
        <i x="5344" nd="1"/>
        <i x="5345" nd="1"/>
        <i x="5346" nd="1"/>
        <i x="5347" nd="1"/>
        <i x="5348" nd="1"/>
        <i x="5349" nd="1"/>
        <i x="5350" nd="1"/>
        <i x="5351" nd="1"/>
        <i x="5352" nd="1"/>
        <i x="5353" nd="1"/>
        <i x="5354" nd="1"/>
        <i x="5355" nd="1"/>
        <i x="5356" nd="1"/>
        <i x="5357" nd="1"/>
        <i x="5358" nd="1"/>
        <i x="5359" nd="1"/>
        <i x="5360" nd="1"/>
        <i x="5361" nd="1"/>
        <i x="5362" nd="1"/>
        <i x="5363" nd="1"/>
        <i x="5364" nd="1"/>
        <i x="5365" nd="1"/>
        <i x="5366" nd="1"/>
        <i x="5367" nd="1"/>
        <i x="5368" nd="1"/>
        <i x="5369" nd="1"/>
        <i x="5370" nd="1"/>
        <i x="5371" nd="1"/>
        <i x="5372" nd="1"/>
        <i x="5373" nd="1"/>
        <i x="5374" nd="1"/>
        <i x="5375" nd="1"/>
        <i x="5376" nd="1"/>
        <i x="5377" nd="1"/>
        <i x="5378" nd="1"/>
        <i x="5379" nd="1"/>
        <i x="5380" nd="1"/>
        <i x="5381" nd="1"/>
        <i x="5382" nd="1"/>
        <i x="5383" nd="1"/>
        <i x="5384" nd="1"/>
        <i x="5385" nd="1"/>
        <i x="5386" nd="1"/>
        <i x="5387" nd="1"/>
        <i x="5388" nd="1"/>
        <i x="5389" nd="1"/>
        <i x="5390" nd="1"/>
        <i x="5391" nd="1"/>
        <i x="5392" nd="1"/>
        <i x="5393" nd="1"/>
        <i x="5394" nd="1"/>
        <i x="5395" nd="1"/>
        <i x="5396" nd="1"/>
        <i x="5397" nd="1"/>
        <i x="5398" nd="1"/>
        <i x="5399" nd="1"/>
        <i x="5400" nd="1"/>
        <i x="5401" nd="1"/>
        <i x="5402" nd="1"/>
        <i x="5403" nd="1"/>
        <i x="5404" nd="1"/>
        <i x="5405" nd="1"/>
        <i x="5406" nd="1"/>
        <i x="5407" nd="1"/>
        <i x="5408" nd="1"/>
        <i x="5409" nd="1"/>
        <i x="5410" nd="1"/>
        <i x="5411" nd="1"/>
        <i x="5412" nd="1"/>
        <i x="5413" nd="1"/>
        <i x="5414" nd="1"/>
        <i x="5415" nd="1"/>
        <i x="5416" nd="1"/>
        <i x="5417" nd="1"/>
        <i x="5418" nd="1"/>
        <i x="5419" nd="1"/>
        <i x="5420" nd="1"/>
        <i x="5421" nd="1"/>
        <i x="5422" nd="1"/>
        <i x="5423" nd="1"/>
        <i x="5424" nd="1"/>
        <i x="5425" nd="1"/>
        <i x="5426" nd="1"/>
        <i x="5427" nd="1"/>
        <i x="5428" nd="1"/>
        <i x="5429" nd="1"/>
        <i x="5430" nd="1"/>
        <i x="5431" nd="1"/>
        <i x="5432" nd="1"/>
        <i x="5433" nd="1"/>
        <i x="5434" nd="1"/>
        <i x="5435" nd="1"/>
        <i x="5436" nd="1"/>
        <i x="5437" nd="1"/>
        <i x="5438" nd="1"/>
        <i x="5439" nd="1"/>
        <i x="5440" nd="1"/>
        <i x="5441" nd="1"/>
        <i x="5442" nd="1"/>
        <i x="5443" nd="1"/>
        <i x="5444" nd="1"/>
        <i x="5445" nd="1"/>
        <i x="5446" nd="1"/>
        <i x="5447" nd="1"/>
        <i x="5448" nd="1"/>
        <i x="5449" nd="1"/>
        <i x="5450" nd="1"/>
        <i x="5451" nd="1"/>
        <i x="5452" nd="1"/>
        <i x="5453" nd="1"/>
        <i x="5454" nd="1"/>
        <i x="5455" nd="1"/>
        <i x="5456" nd="1"/>
        <i x="5457" nd="1"/>
        <i x="5458" nd="1"/>
        <i x="5459" nd="1"/>
        <i x="5460" nd="1"/>
        <i x="5461" nd="1"/>
        <i x="5462" nd="1"/>
        <i x="5463" nd="1"/>
        <i x="5464" nd="1"/>
        <i x="5465" nd="1"/>
        <i x="5466" nd="1"/>
        <i x="5467" nd="1"/>
        <i x="5468" nd="1"/>
        <i x="5469" nd="1"/>
        <i x="5470" nd="1"/>
        <i x="5471" nd="1"/>
        <i x="5472" nd="1"/>
        <i x="5473" nd="1"/>
        <i x="5474" nd="1"/>
        <i x="5475" nd="1"/>
        <i x="5476" nd="1"/>
        <i x="5477" nd="1"/>
        <i x="5478" nd="1"/>
        <i x="5479" nd="1"/>
        <i x="5480" nd="1"/>
        <i x="5481" nd="1"/>
        <i x="5482" nd="1"/>
        <i x="5483" nd="1"/>
        <i x="5484" nd="1"/>
        <i x="5485" nd="1"/>
        <i x="5486" nd="1"/>
        <i x="5487" nd="1"/>
        <i x="5488" nd="1"/>
        <i x="5489" nd="1"/>
        <i x="5490" nd="1"/>
        <i x="5491" nd="1"/>
        <i x="5492" nd="1"/>
        <i x="5493" nd="1"/>
        <i x="5494" nd="1"/>
        <i x="5495" nd="1"/>
        <i x="5496" nd="1"/>
        <i x="5497" nd="1"/>
        <i x="5498" nd="1"/>
        <i x="5499" nd="1"/>
        <i x="5500" nd="1"/>
        <i x="5501" nd="1"/>
        <i x="5502" nd="1"/>
        <i x="5503" nd="1"/>
        <i x="5504" nd="1"/>
        <i x="5505" nd="1"/>
        <i x="5506" nd="1"/>
        <i x="5507" nd="1"/>
        <i x="5508" nd="1"/>
        <i x="5509" nd="1"/>
        <i x="5510" nd="1"/>
        <i x="5511" nd="1"/>
        <i x="5512" nd="1"/>
        <i x="5513" nd="1"/>
        <i x="5514" nd="1"/>
        <i x="5515" nd="1"/>
        <i x="5516" nd="1"/>
        <i x="5517" nd="1"/>
        <i x="5518" nd="1"/>
        <i x="5519" nd="1"/>
        <i x="5520" nd="1"/>
        <i x="5521" nd="1"/>
        <i x="5522" nd="1"/>
        <i x="5523" nd="1"/>
        <i x="5524" nd="1"/>
        <i x="5525" nd="1"/>
        <i x="5526" nd="1"/>
        <i x="5527" nd="1"/>
        <i x="5528" nd="1"/>
        <i x="5529" nd="1"/>
        <i x="5530" nd="1"/>
        <i x="5531" nd="1"/>
        <i x="5532" nd="1"/>
        <i x="5533" nd="1"/>
        <i x="5534" nd="1"/>
        <i x="5535" nd="1"/>
        <i x="5536" nd="1"/>
        <i x="5537" nd="1"/>
        <i x="5538" nd="1"/>
        <i x="5539" nd="1"/>
        <i x="5540" nd="1"/>
        <i x="5541" nd="1"/>
        <i x="5542" nd="1"/>
        <i x="5543" nd="1"/>
        <i x="5544" nd="1"/>
        <i x="5545" nd="1"/>
        <i x="5546" nd="1"/>
        <i x="5547" nd="1"/>
        <i x="5548" nd="1"/>
        <i x="5549" nd="1"/>
        <i x="5550" nd="1"/>
        <i x="5551" nd="1"/>
        <i x="5552" nd="1"/>
        <i x="5553" nd="1"/>
        <i x="5554" nd="1"/>
        <i x="5555" nd="1"/>
        <i x="5556" nd="1"/>
        <i x="5557" nd="1"/>
        <i x="5558" nd="1"/>
        <i x="5559" nd="1"/>
        <i x="5560" nd="1"/>
        <i x="5561" nd="1"/>
        <i x="5562" nd="1"/>
        <i x="5563" nd="1"/>
        <i x="5564" nd="1"/>
        <i x="5565" nd="1"/>
        <i x="5566" nd="1"/>
        <i x="5567" nd="1"/>
        <i x="5568" nd="1"/>
        <i x="5569" nd="1"/>
        <i x="5570" nd="1"/>
        <i x="5571" nd="1"/>
        <i x="5572" nd="1"/>
        <i x="5573" nd="1"/>
        <i x="5574" nd="1"/>
        <i x="5575" nd="1"/>
        <i x="5576" nd="1"/>
        <i x="5577" nd="1"/>
        <i x="5578" nd="1"/>
        <i x="5579" nd="1"/>
        <i x="5580" nd="1"/>
        <i x="5581" nd="1"/>
        <i x="5582" nd="1"/>
        <i x="5583" nd="1"/>
        <i x="5584" nd="1"/>
        <i x="5585" nd="1"/>
        <i x="5586" nd="1"/>
        <i x="5587" nd="1"/>
        <i x="5588" nd="1"/>
        <i x="5589" nd="1"/>
        <i x="5590" nd="1"/>
        <i x="5591" nd="1"/>
        <i x="5592" nd="1"/>
        <i x="5593" nd="1"/>
        <i x="5594" nd="1"/>
        <i x="5595" nd="1"/>
        <i x="5596" nd="1"/>
        <i x="5597" nd="1"/>
        <i x="5598" nd="1"/>
        <i x="5599" nd="1"/>
        <i x="5600" nd="1"/>
        <i x="5601" nd="1"/>
        <i x="5602" nd="1"/>
        <i x="5603" nd="1"/>
        <i x="5604" nd="1"/>
        <i x="5605" nd="1"/>
        <i x="5606" nd="1"/>
        <i x="5607" nd="1"/>
        <i x="5608" nd="1"/>
        <i x="5609" nd="1"/>
        <i x="5610" nd="1"/>
        <i x="5611" nd="1"/>
        <i x="5612" nd="1"/>
        <i x="5613" nd="1"/>
        <i x="5614" nd="1"/>
        <i x="5615" nd="1"/>
        <i x="5616" nd="1"/>
        <i x="5617" nd="1"/>
        <i x="5618" nd="1"/>
        <i x="5619" nd="1"/>
        <i x="5620" nd="1"/>
        <i x="5621" nd="1"/>
        <i x="5622" nd="1"/>
        <i x="5623" nd="1"/>
        <i x="5624" nd="1"/>
        <i x="5625" nd="1"/>
        <i x="5626" nd="1"/>
        <i x="5627" nd="1"/>
        <i x="5628" nd="1"/>
        <i x="5629" nd="1"/>
        <i x="5630" nd="1"/>
        <i x="5631" nd="1"/>
        <i x="5632" nd="1"/>
        <i x="5633" nd="1"/>
        <i x="5634" nd="1"/>
        <i x="5635" nd="1"/>
        <i x="5636" nd="1"/>
        <i x="5637" nd="1"/>
        <i x="5638" nd="1"/>
        <i x="5639" nd="1"/>
        <i x="5640" nd="1"/>
        <i x="5641" nd="1"/>
        <i x="5642" nd="1"/>
        <i x="5643" nd="1"/>
        <i x="5644" nd="1"/>
        <i x="5645" nd="1"/>
        <i x="5646" nd="1"/>
        <i x="5647" nd="1"/>
        <i x="5648" nd="1"/>
        <i x="5649" nd="1"/>
        <i x="5650" nd="1"/>
        <i x="5651" nd="1"/>
        <i x="5652" nd="1"/>
        <i x="5653" nd="1"/>
        <i x="5654" nd="1"/>
        <i x="5655" nd="1"/>
        <i x="5656" nd="1"/>
        <i x="5657" nd="1"/>
        <i x="5658" nd="1"/>
        <i x="5659" nd="1"/>
        <i x="5660" nd="1"/>
        <i x="5661" nd="1"/>
        <i x="5662" nd="1"/>
        <i x="5663" nd="1"/>
        <i x="5664" nd="1"/>
        <i x="5665" nd="1"/>
        <i x="5666" nd="1"/>
        <i x="5667" nd="1"/>
        <i x="5668" nd="1"/>
        <i x="5669" nd="1"/>
        <i x="5670" nd="1"/>
        <i x="5671" nd="1"/>
        <i x="5672" nd="1"/>
        <i x="5673" nd="1"/>
        <i x="5674" nd="1"/>
        <i x="5675" nd="1"/>
        <i x="5676" nd="1"/>
        <i x="5677" nd="1"/>
        <i x="5678" nd="1"/>
        <i x="5679" nd="1"/>
        <i x="5680" nd="1"/>
        <i x="5681" nd="1"/>
        <i x="5682" nd="1"/>
        <i x="5683" nd="1"/>
        <i x="5684" nd="1"/>
        <i x="5685" nd="1"/>
        <i x="5686" nd="1"/>
        <i x="5687" nd="1"/>
        <i x="5688" nd="1"/>
        <i x="5689" nd="1"/>
        <i x="5690" nd="1"/>
        <i x="5691" nd="1"/>
        <i x="5692" nd="1"/>
        <i x="5693" nd="1"/>
        <i x="5694" nd="1"/>
        <i x="5695" nd="1"/>
        <i x="5696" nd="1"/>
        <i x="5697" nd="1"/>
        <i x="5698" nd="1"/>
        <i x="5699" nd="1"/>
        <i x="5700" nd="1"/>
        <i x="5701" nd="1"/>
        <i x="5702" nd="1"/>
        <i x="5703" nd="1"/>
        <i x="5704" nd="1"/>
        <i x="5705" nd="1"/>
        <i x="5706" nd="1"/>
        <i x="5707" nd="1"/>
        <i x="5708" nd="1"/>
        <i x="5709" nd="1"/>
        <i x="5710" nd="1"/>
        <i x="5711" nd="1"/>
        <i x="5712" nd="1"/>
        <i x="5713" nd="1"/>
        <i x="5714" nd="1"/>
        <i x="5715" nd="1"/>
        <i x="5716" nd="1"/>
        <i x="5717" nd="1"/>
        <i x="5718" nd="1"/>
        <i x="5719" nd="1"/>
        <i x="5720" nd="1"/>
        <i x="5721" nd="1"/>
        <i x="5722" nd="1"/>
        <i x="5723" nd="1"/>
        <i x="5724" nd="1"/>
        <i x="5725" nd="1"/>
        <i x="5726" nd="1"/>
        <i x="5727" nd="1"/>
        <i x="5728" nd="1"/>
        <i x="5729" nd="1"/>
        <i x="5730" nd="1"/>
        <i x="5731" nd="1"/>
        <i x="5732" nd="1"/>
        <i x="5733" nd="1"/>
        <i x="5734" nd="1"/>
        <i x="5735" nd="1"/>
        <i x="5736" nd="1"/>
        <i x="5737" nd="1"/>
        <i x="5738" nd="1"/>
        <i x="5739" nd="1"/>
        <i x="5740" nd="1"/>
        <i x="5741" nd="1"/>
        <i x="5742" nd="1"/>
        <i x="5743" nd="1"/>
        <i x="5744" nd="1"/>
        <i x="5745" nd="1"/>
        <i x="5746" nd="1"/>
        <i x="5747" nd="1"/>
        <i x="5748" nd="1"/>
        <i x="5749" nd="1"/>
        <i x="5750" nd="1"/>
        <i x="5751" nd="1"/>
        <i x="5752" nd="1"/>
        <i x="5753" nd="1"/>
        <i x="5754" nd="1"/>
        <i x="5755" nd="1"/>
        <i x="5756" nd="1"/>
        <i x="5757" nd="1"/>
        <i x="5758" nd="1"/>
        <i x="5759" nd="1"/>
        <i x="5760" nd="1"/>
        <i x="5761" nd="1"/>
        <i x="5762" nd="1"/>
        <i x="5763" nd="1"/>
        <i x="5764" nd="1"/>
        <i x="5765" nd="1"/>
        <i x="5766" nd="1"/>
        <i x="5767" nd="1"/>
        <i x="5768" nd="1"/>
        <i x="5769" nd="1"/>
        <i x="5770" nd="1"/>
        <i x="5771" nd="1"/>
        <i x="5772" nd="1"/>
        <i x="5773" nd="1"/>
        <i x="5774" nd="1"/>
        <i x="5775" nd="1"/>
        <i x="5776" nd="1"/>
        <i x="5777" nd="1"/>
        <i x="5778" nd="1"/>
        <i x="5779" nd="1"/>
        <i x="5780" nd="1"/>
        <i x="5781" nd="1"/>
        <i x="5782" nd="1"/>
        <i x="5783" nd="1"/>
        <i x="5784" nd="1"/>
        <i x="5785" nd="1"/>
        <i x="5786" nd="1"/>
        <i x="5787" nd="1"/>
        <i x="5788" nd="1"/>
        <i x="5789" nd="1"/>
        <i x="5790" nd="1"/>
        <i x="5791" nd="1"/>
        <i x="5792" nd="1"/>
        <i x="5793" nd="1"/>
        <i x="5794" nd="1"/>
        <i x="5795" nd="1"/>
        <i x="5796" nd="1"/>
        <i x="5797" nd="1"/>
        <i x="5798" nd="1"/>
        <i x="5799" nd="1"/>
        <i x="5800" nd="1"/>
        <i x="5801" nd="1"/>
        <i x="5802" nd="1"/>
        <i x="5803" nd="1"/>
        <i x="5804" nd="1"/>
        <i x="5805" nd="1"/>
        <i x="5806" nd="1"/>
        <i x="5807" nd="1"/>
        <i x="5808" nd="1"/>
        <i x="5809" nd="1"/>
        <i x="5810" nd="1"/>
        <i x="5811" nd="1"/>
        <i x="5812" nd="1"/>
        <i x="5813" nd="1"/>
        <i x="5814" nd="1"/>
        <i x="5815" nd="1"/>
        <i x="5816" nd="1"/>
        <i x="5817" nd="1"/>
        <i x="5818" nd="1"/>
        <i x="5819" nd="1"/>
        <i x="5820" nd="1"/>
        <i x="5821" nd="1"/>
        <i x="5822" nd="1"/>
        <i x="5823" nd="1"/>
        <i x="5824" nd="1"/>
        <i x="5825" nd="1"/>
        <i x="5826" nd="1"/>
        <i x="5827" nd="1"/>
        <i x="5828" nd="1"/>
        <i x="5829" nd="1"/>
        <i x="5830" nd="1"/>
        <i x="5831" nd="1"/>
        <i x="5832" nd="1"/>
        <i x="5833" nd="1"/>
        <i x="5834" nd="1"/>
        <i x="5835" nd="1"/>
        <i x="5836" nd="1"/>
        <i x="5837" nd="1"/>
        <i x="5838" nd="1"/>
        <i x="5839" nd="1"/>
        <i x="5840" nd="1"/>
        <i x="5841" nd="1"/>
        <i x="5842" nd="1"/>
        <i x="5843" nd="1"/>
        <i x="5844" nd="1"/>
        <i x="5845" nd="1"/>
        <i x="5846" nd="1"/>
        <i x="5847" nd="1"/>
        <i x="5848" nd="1"/>
        <i x="5849" nd="1"/>
        <i x="5850" nd="1"/>
        <i x="5851" nd="1"/>
        <i x="5852" nd="1"/>
        <i x="5853" nd="1"/>
        <i x="5854" nd="1"/>
        <i x="5855" nd="1"/>
        <i x="5856" nd="1"/>
        <i x="5857" nd="1"/>
        <i x="5858" nd="1"/>
        <i x="5859" nd="1"/>
        <i x="5860" nd="1"/>
        <i x="5861" nd="1"/>
        <i x="5862" nd="1"/>
        <i x="5863" nd="1"/>
        <i x="5864" nd="1"/>
        <i x="5865" nd="1"/>
        <i x="5866" nd="1"/>
        <i x="5867" nd="1"/>
        <i x="5868" nd="1"/>
        <i x="5869" nd="1"/>
        <i x="5870" nd="1"/>
        <i x="5871" nd="1"/>
        <i x="5872" nd="1"/>
        <i x="5873" nd="1"/>
        <i x="5874" nd="1"/>
        <i x="5875" nd="1"/>
        <i x="5876" nd="1"/>
        <i x="5877" nd="1"/>
        <i x="5878" nd="1"/>
        <i x="5879" nd="1"/>
        <i x="5880" nd="1"/>
        <i x="5881" nd="1"/>
        <i x="5882" nd="1"/>
        <i x="5883" nd="1"/>
        <i x="5884" nd="1"/>
        <i x="5885" nd="1"/>
        <i x="5886" nd="1"/>
        <i x="5887" nd="1"/>
        <i x="5888" nd="1"/>
        <i x="5889" nd="1"/>
        <i x="5890" nd="1"/>
        <i x="5891" nd="1"/>
        <i x="5892" nd="1"/>
        <i x="5893" nd="1"/>
        <i x="5894" nd="1"/>
        <i x="5895" nd="1"/>
        <i x="5896" nd="1"/>
        <i x="5897" nd="1"/>
        <i x="5898" nd="1"/>
        <i x="5899" nd="1"/>
        <i x="5900" nd="1"/>
        <i x="5901" nd="1"/>
        <i x="5902" nd="1"/>
        <i x="5903" nd="1"/>
        <i x="5904" nd="1"/>
        <i x="5905" nd="1"/>
        <i x="5906" nd="1"/>
        <i x="5907" nd="1"/>
        <i x="5908" nd="1"/>
        <i x="5909" nd="1"/>
        <i x="5910" nd="1"/>
        <i x="5911" nd="1"/>
        <i x="5912" nd="1"/>
        <i x="5913" nd="1"/>
        <i x="5914" nd="1"/>
        <i x="5915" nd="1"/>
        <i x="5916" nd="1"/>
        <i x="5917" nd="1"/>
        <i x="5918" nd="1"/>
        <i x="5919" nd="1"/>
        <i x="5920" nd="1"/>
        <i x="5921" nd="1"/>
        <i x="5922" nd="1"/>
        <i x="5923" nd="1"/>
        <i x="5924" nd="1"/>
        <i x="5925" nd="1"/>
        <i x="5926" nd="1"/>
        <i x="5927" nd="1"/>
        <i x="5928" nd="1"/>
        <i x="5929" nd="1"/>
        <i x="5930" nd="1"/>
        <i x="5931" nd="1"/>
        <i x="5932" nd="1"/>
        <i x="5933" nd="1"/>
        <i x="5934" nd="1"/>
        <i x="5935" nd="1"/>
        <i x="5936" nd="1"/>
        <i x="5937" nd="1"/>
        <i x="5938" nd="1"/>
        <i x="5939" nd="1"/>
        <i x="5940" nd="1"/>
        <i x="5941" nd="1"/>
        <i x="5942" nd="1"/>
        <i x="5943" nd="1"/>
        <i x="5944" nd="1"/>
        <i x="5945" nd="1"/>
        <i x="5946" nd="1"/>
        <i x="5947" nd="1"/>
        <i x="5948" nd="1"/>
        <i x="5949" nd="1"/>
        <i x="5950" nd="1"/>
        <i x="5951" nd="1"/>
        <i x="5952" nd="1"/>
        <i x="5953" nd="1"/>
        <i x="5954" nd="1"/>
        <i x="5955" nd="1"/>
        <i x="5956" nd="1"/>
        <i x="5957" nd="1"/>
        <i x="5958" nd="1"/>
        <i x="5959" nd="1"/>
        <i x="5960" nd="1"/>
        <i x="5961" nd="1"/>
        <i x="5962" nd="1"/>
        <i x="5963" nd="1"/>
        <i x="5964" nd="1"/>
        <i x="5965" nd="1"/>
        <i x="5966" nd="1"/>
        <i x="5967" nd="1"/>
        <i x="5968" nd="1"/>
        <i x="5969" nd="1"/>
        <i x="5970" nd="1"/>
        <i x="5971" nd="1"/>
        <i x="5972" nd="1"/>
        <i x="5973" nd="1"/>
        <i x="5974" nd="1"/>
        <i x="5975" nd="1"/>
        <i x="5976" nd="1"/>
        <i x="5977" nd="1"/>
        <i x="5978" nd="1"/>
        <i x="5979" nd="1"/>
        <i x="5980" nd="1"/>
        <i x="5981" nd="1"/>
        <i x="5982" nd="1"/>
        <i x="5983" nd="1"/>
        <i x="5984" nd="1"/>
        <i x="5985" nd="1"/>
        <i x="5986" nd="1"/>
        <i x="5987" nd="1"/>
        <i x="5988" nd="1"/>
        <i x="5989" nd="1"/>
        <i x="5990" nd="1"/>
        <i x="5991" nd="1"/>
        <i x="5992" nd="1"/>
        <i x="5993" nd="1"/>
        <i x="5994" nd="1"/>
        <i x="5995" nd="1"/>
        <i x="5996" nd="1"/>
        <i x="5997" nd="1"/>
        <i x="5998" nd="1"/>
        <i x="5999" nd="1"/>
        <i x="6000" nd="1"/>
        <i x="6001" nd="1"/>
        <i x="6002" nd="1"/>
        <i x="6003" nd="1"/>
        <i x="6004" nd="1"/>
        <i x="6005" nd="1"/>
        <i x="6006" nd="1"/>
        <i x="6007" nd="1"/>
        <i x="6008" nd="1"/>
        <i x="6009" nd="1"/>
        <i x="6010" nd="1"/>
        <i x="6011" nd="1"/>
        <i x="6012" nd="1"/>
        <i x="6013" nd="1"/>
        <i x="6014" nd="1"/>
        <i x="6015" nd="1"/>
        <i x="6016" nd="1"/>
        <i x="6017" nd="1"/>
        <i x="6018" nd="1"/>
        <i x="6019" nd="1"/>
        <i x="6020" nd="1"/>
        <i x="6021" nd="1"/>
        <i x="6022" nd="1"/>
        <i x="6023" nd="1"/>
        <i x="6024" nd="1"/>
        <i x="6025" nd="1"/>
        <i x="6026" nd="1"/>
        <i x="6027" nd="1"/>
        <i x="6028" nd="1"/>
        <i x="6029" nd="1"/>
        <i x="6030" nd="1"/>
        <i x="6031" nd="1"/>
        <i x="6032" nd="1"/>
        <i x="6033" nd="1"/>
        <i x="6034" nd="1"/>
        <i x="6035" nd="1"/>
        <i x="6036" nd="1"/>
        <i x="6037" nd="1"/>
        <i x="6038" nd="1"/>
        <i x="6039" nd="1"/>
        <i x="6040" nd="1"/>
        <i x="6041" nd="1"/>
        <i x="6042" nd="1"/>
        <i x="6043" nd="1"/>
        <i x="6044" nd="1"/>
        <i x="6045" nd="1"/>
        <i x="6046" nd="1"/>
        <i x="6047" nd="1"/>
        <i x="6048" nd="1"/>
        <i x="6049" nd="1"/>
        <i x="6050" nd="1"/>
        <i x="6051" nd="1"/>
        <i x="6052" nd="1"/>
        <i x="6053" nd="1"/>
        <i x="6054" nd="1"/>
        <i x="6055" nd="1"/>
        <i x="6056" nd="1"/>
        <i x="6057" nd="1"/>
        <i x="6058" nd="1"/>
        <i x="6059" nd="1"/>
        <i x="6060" nd="1"/>
        <i x="6061" nd="1"/>
        <i x="6062" nd="1"/>
        <i x="6063" nd="1"/>
        <i x="6064" nd="1"/>
        <i x="6065" nd="1"/>
        <i x="6066" nd="1"/>
        <i x="6067" nd="1"/>
        <i x="6068" nd="1"/>
        <i x="6069" nd="1"/>
        <i x="6070" nd="1"/>
        <i x="6071" nd="1"/>
        <i x="6072" nd="1"/>
        <i x="6073" nd="1"/>
        <i x="6074" nd="1"/>
        <i x="6075" nd="1"/>
        <i x="6076" nd="1"/>
        <i x="6077" nd="1"/>
        <i x="6078" nd="1"/>
        <i x="6079" nd="1"/>
        <i x="6080" nd="1"/>
        <i x="6081" nd="1"/>
        <i x="6082" nd="1"/>
        <i x="6083" nd="1"/>
        <i x="6084" nd="1"/>
        <i x="6085" nd="1"/>
        <i x="6086" nd="1"/>
        <i x="6087" nd="1"/>
        <i x="6088" nd="1"/>
        <i x="6089" nd="1"/>
        <i x="6090" nd="1"/>
        <i x="6091" nd="1"/>
        <i x="6092" nd="1"/>
        <i x="6093" nd="1"/>
        <i x="6094" nd="1"/>
        <i x="6095" nd="1"/>
        <i x="6096" nd="1"/>
        <i x="6097" nd="1"/>
        <i x="6098" nd="1"/>
        <i x="6099" nd="1"/>
        <i x="6100" nd="1"/>
        <i x="6101" nd="1"/>
        <i x="6102" nd="1"/>
        <i x="6103" nd="1"/>
        <i x="6104" nd="1"/>
        <i x="6105" nd="1"/>
        <i x="6106" nd="1"/>
        <i x="6107" nd="1"/>
        <i x="6108" nd="1"/>
        <i x="6109" nd="1"/>
        <i x="6110" nd="1"/>
        <i x="6111" nd="1"/>
        <i x="6112" nd="1"/>
        <i x="6113" nd="1"/>
        <i x="6114" nd="1"/>
        <i x="6115" nd="1"/>
        <i x="6116" nd="1"/>
        <i x="6117" nd="1"/>
        <i x="6118" nd="1"/>
        <i x="6119" nd="1"/>
        <i x="6120" nd="1"/>
        <i x="6121" nd="1"/>
        <i x="6122" nd="1"/>
        <i x="6123" nd="1"/>
        <i x="6124" nd="1"/>
        <i x="6125" nd="1"/>
        <i x="6126" nd="1"/>
        <i x="6127" nd="1"/>
        <i x="6128" nd="1"/>
        <i x="6129" nd="1"/>
        <i x="6130" nd="1"/>
        <i x="6131" nd="1"/>
        <i x="6132" nd="1"/>
        <i x="6133" nd="1"/>
        <i x="6134" nd="1"/>
        <i x="6135" nd="1"/>
        <i x="6136" nd="1"/>
        <i x="6137" nd="1"/>
        <i x="6138" nd="1"/>
        <i x="6139" nd="1"/>
        <i x="6140" nd="1"/>
        <i x="6141" nd="1"/>
        <i x="6142" nd="1"/>
        <i x="6143" nd="1"/>
        <i x="6144" nd="1"/>
        <i x="6145" nd="1"/>
        <i x="6146" nd="1"/>
        <i x="6147" nd="1"/>
        <i x="6148" nd="1"/>
        <i x="6149" nd="1"/>
        <i x="6150" nd="1"/>
        <i x="6151" nd="1"/>
        <i x="6152" nd="1"/>
        <i x="6153" nd="1"/>
        <i x="6154" nd="1"/>
        <i x="6155" nd="1"/>
        <i x="6156" nd="1"/>
        <i x="6157" nd="1"/>
        <i x="6158" nd="1"/>
        <i x="6159" nd="1"/>
        <i x="6160" nd="1"/>
        <i x="6161" nd="1"/>
        <i x="6162" nd="1"/>
        <i x="6163" nd="1"/>
        <i x="6164" nd="1"/>
        <i x="6165" nd="1"/>
        <i x="6166" nd="1"/>
        <i x="6167" nd="1"/>
        <i x="6168" nd="1"/>
        <i x="6169" nd="1"/>
        <i x="6170" nd="1"/>
        <i x="6171" nd="1"/>
        <i x="6172" nd="1"/>
        <i x="6173" nd="1"/>
        <i x="6174" nd="1"/>
        <i x="6175" nd="1"/>
        <i x="6176" nd="1"/>
        <i x="6177" nd="1"/>
        <i x="6178" nd="1"/>
        <i x="6179" nd="1"/>
        <i x="6180" nd="1"/>
        <i x="6181" nd="1"/>
        <i x="6182" nd="1"/>
        <i x="6183" nd="1"/>
        <i x="6184" nd="1"/>
        <i x="6185" nd="1"/>
        <i x="6186" nd="1"/>
        <i x="6187" nd="1"/>
        <i x="6188" nd="1"/>
        <i x="6189" nd="1"/>
        <i x="6190" nd="1"/>
        <i x="6191" nd="1"/>
        <i x="6192" nd="1"/>
        <i x="6193" nd="1"/>
        <i x="6194" nd="1"/>
        <i x="6195" nd="1"/>
        <i x="6196" nd="1"/>
        <i x="6197" nd="1"/>
        <i x="6198" nd="1"/>
        <i x="6199" nd="1"/>
        <i x="6200" nd="1"/>
        <i x="6201" nd="1"/>
        <i x="6202" nd="1"/>
        <i x="6203" nd="1"/>
        <i x="6204" nd="1"/>
        <i x="6205" nd="1"/>
        <i x="6206" nd="1"/>
        <i x="6207" nd="1"/>
        <i x="6208" nd="1"/>
        <i x="6209" nd="1"/>
        <i x="6210" nd="1"/>
        <i x="6211" nd="1"/>
        <i x="6212" nd="1"/>
        <i x="6213" nd="1"/>
        <i x="6214" nd="1"/>
        <i x="6215" nd="1"/>
        <i x="6216" nd="1"/>
        <i x="6217" nd="1"/>
        <i x="6218" nd="1"/>
        <i x="6219" nd="1"/>
        <i x="6220" nd="1"/>
        <i x="6221" nd="1"/>
        <i x="6222" nd="1"/>
        <i x="6223" nd="1"/>
        <i x="6224" nd="1"/>
        <i x="6225" nd="1"/>
        <i x="6226" nd="1"/>
        <i x="6227" nd="1"/>
        <i x="6228" nd="1"/>
        <i x="6229" nd="1"/>
        <i x="6230" nd="1"/>
        <i x="6231" nd="1"/>
        <i x="6232" nd="1"/>
        <i x="6233" nd="1"/>
        <i x="6234" nd="1"/>
        <i x="6235" nd="1"/>
        <i x="6236" nd="1"/>
        <i x="6237" nd="1"/>
        <i x="6238" nd="1"/>
        <i x="6239" nd="1"/>
        <i x="6240" nd="1"/>
        <i x="6241" nd="1"/>
        <i x="6242" nd="1"/>
        <i x="6243" nd="1"/>
        <i x="6244" nd="1"/>
        <i x="6245" nd="1"/>
        <i x="6246" nd="1"/>
        <i x="6247" nd="1"/>
        <i x="6248" nd="1"/>
        <i x="6249" nd="1"/>
        <i x="6250" nd="1"/>
        <i x="6251" nd="1"/>
        <i x="6252" nd="1"/>
        <i x="6253" nd="1"/>
        <i x="6254" nd="1"/>
        <i x="6255" nd="1"/>
        <i x="6256" nd="1"/>
        <i x="6257" nd="1"/>
        <i x="6258" nd="1"/>
        <i x="6259" nd="1"/>
        <i x="6260" nd="1"/>
        <i x="6261" nd="1"/>
        <i x="6262" nd="1"/>
        <i x="6263" nd="1"/>
        <i x="6264" nd="1"/>
        <i x="6265" nd="1"/>
        <i x="6266" nd="1"/>
        <i x="6267" nd="1"/>
        <i x="6268" nd="1"/>
        <i x="6269" nd="1"/>
        <i x="6270" nd="1"/>
        <i x="6271" nd="1"/>
        <i x="6272" nd="1"/>
        <i x="6273" nd="1"/>
        <i x="6274" nd="1"/>
        <i x="6275" nd="1"/>
        <i x="6276" nd="1"/>
        <i x="6277" nd="1"/>
        <i x="6278" nd="1"/>
        <i x="6279" nd="1"/>
        <i x="6280" nd="1"/>
        <i x="6281" nd="1"/>
        <i x="6282" nd="1"/>
        <i x="6283" nd="1"/>
        <i x="6284" nd="1"/>
        <i x="6285" nd="1"/>
        <i x="6286" nd="1"/>
        <i x="6287" nd="1"/>
        <i x="6288" nd="1"/>
        <i x="6289" nd="1"/>
        <i x="6290" nd="1"/>
        <i x="6291" nd="1"/>
        <i x="6292" nd="1"/>
        <i x="6293" nd="1"/>
        <i x="6294" nd="1"/>
        <i x="6295" nd="1"/>
        <i x="6296" nd="1"/>
        <i x="6297" nd="1"/>
        <i x="6298" nd="1"/>
        <i x="6299" nd="1"/>
        <i x="6300" nd="1"/>
        <i x="6301" nd="1"/>
        <i x="6302" nd="1"/>
        <i x="6303" nd="1"/>
        <i x="6304" nd="1"/>
        <i x="6305" nd="1"/>
        <i x="6306" nd="1"/>
        <i x="6307" nd="1"/>
        <i x="6308" nd="1"/>
        <i x="6309" nd="1"/>
        <i x="6310" nd="1"/>
        <i x="6311" nd="1"/>
        <i x="6312" nd="1"/>
        <i x="6313" nd="1"/>
        <i x="6314" nd="1"/>
        <i x="6315" nd="1"/>
        <i x="6316" nd="1"/>
        <i x="6317" nd="1"/>
        <i x="6318" nd="1"/>
        <i x="6319" nd="1"/>
        <i x="6320" nd="1"/>
        <i x="6321" nd="1"/>
        <i x="6322" nd="1"/>
        <i x="6323" nd="1"/>
        <i x="6324" nd="1"/>
        <i x="6325" nd="1"/>
        <i x="6326" nd="1"/>
        <i x="6327" nd="1"/>
        <i x="6328" nd="1"/>
        <i x="6329" nd="1"/>
        <i x="6330" nd="1"/>
        <i x="6331" nd="1"/>
        <i x="6332" nd="1"/>
        <i x="6333" nd="1"/>
        <i x="6334" nd="1"/>
        <i x="6335" nd="1"/>
        <i x="6336" nd="1"/>
        <i x="6337" nd="1"/>
        <i x="6338" nd="1"/>
        <i x="6339" nd="1"/>
        <i x="6340" nd="1"/>
        <i x="6341" nd="1"/>
        <i x="6342" nd="1"/>
        <i x="6343" nd="1"/>
        <i x="6344" nd="1"/>
        <i x="6345" nd="1"/>
        <i x="6346" nd="1"/>
        <i x="6347" nd="1"/>
        <i x="6348" nd="1"/>
        <i x="6349" nd="1"/>
        <i x="6350" nd="1"/>
        <i x="6351" nd="1"/>
        <i x="6352" nd="1"/>
        <i x="6353" nd="1"/>
        <i x="6354" nd="1"/>
        <i x="6355" nd="1"/>
        <i x="6356" nd="1"/>
        <i x="6357" nd="1"/>
        <i x="6358" nd="1"/>
        <i x="6359" nd="1"/>
        <i x="6360" nd="1"/>
        <i x="6361" nd="1"/>
        <i x="6362" nd="1"/>
        <i x="6363" nd="1"/>
        <i x="6364" nd="1"/>
        <i x="6365" nd="1"/>
        <i x="6366" nd="1"/>
        <i x="6367" nd="1"/>
        <i x="6368" nd="1"/>
        <i x="6369" nd="1"/>
        <i x="6370" nd="1"/>
        <i x="6371" nd="1"/>
        <i x="6372" nd="1"/>
        <i x="6373" nd="1"/>
        <i x="6374" nd="1"/>
        <i x="6375" nd="1"/>
        <i x="6376" nd="1"/>
        <i x="6377" nd="1"/>
        <i x="6378" nd="1"/>
        <i x="6379" nd="1"/>
        <i x="6380" nd="1"/>
        <i x="6381" nd="1"/>
        <i x="6382" nd="1"/>
        <i x="6383" nd="1"/>
        <i x="6384" nd="1"/>
        <i x="6385" nd="1"/>
        <i x="6386" nd="1"/>
        <i x="6387" nd="1"/>
        <i x="6388" nd="1"/>
        <i x="6389" nd="1"/>
        <i x="6390" nd="1"/>
        <i x="6391" nd="1"/>
        <i x="6392" nd="1"/>
        <i x="6393" nd="1"/>
        <i x="6394" nd="1"/>
        <i x="6395" nd="1"/>
        <i x="6396" nd="1"/>
        <i x="6397" nd="1"/>
        <i x="6398" nd="1"/>
        <i x="6399" nd="1"/>
        <i x="6400" nd="1"/>
        <i x="6401" nd="1"/>
        <i x="6402" nd="1"/>
        <i x="6403" nd="1"/>
        <i x="6404" nd="1"/>
        <i x="6405" nd="1"/>
        <i x="6406" nd="1"/>
        <i x="6407" nd="1"/>
        <i x="6408" nd="1"/>
        <i x="6409" nd="1"/>
        <i x="6410" nd="1"/>
        <i x="6411" nd="1"/>
        <i x="6412" nd="1"/>
        <i x="6413" nd="1"/>
        <i x="6414" nd="1"/>
        <i x="6415" nd="1"/>
        <i x="6416" nd="1"/>
        <i x="6417" nd="1"/>
        <i x="6418" nd="1"/>
        <i x="6419" nd="1"/>
        <i x="6420" nd="1"/>
        <i x="6421" nd="1"/>
        <i x="6422" nd="1"/>
        <i x="6423" nd="1"/>
        <i x="6424" nd="1"/>
        <i x="6425" nd="1"/>
        <i x="6426" nd="1"/>
        <i x="6427" nd="1"/>
        <i x="6428" nd="1"/>
        <i x="6429" nd="1"/>
        <i x="6430" nd="1"/>
        <i x="6431" nd="1"/>
        <i x="6432" nd="1"/>
        <i x="6433" nd="1"/>
        <i x="6434" nd="1"/>
        <i x="6435" nd="1"/>
        <i x="6436" nd="1"/>
        <i x="6437" nd="1"/>
        <i x="6438" nd="1"/>
        <i x="6439" nd="1"/>
        <i x="6440" nd="1"/>
        <i x="6441" nd="1"/>
        <i x="6442" nd="1"/>
        <i x="6443" nd="1"/>
        <i x="6444" nd="1"/>
        <i x="6445" nd="1"/>
        <i x="6446" nd="1"/>
        <i x="6447" nd="1"/>
        <i x="6448" nd="1"/>
        <i x="6449" nd="1"/>
        <i x="6450" nd="1"/>
        <i x="6451" nd="1"/>
        <i x="6452" nd="1"/>
        <i x="6453" nd="1"/>
        <i x="6454" nd="1"/>
        <i x="6455" nd="1"/>
        <i x="6456" nd="1"/>
        <i x="6457" nd="1"/>
        <i x="6458" nd="1"/>
        <i x="6459" nd="1"/>
        <i x="6460" nd="1"/>
        <i x="6461" nd="1"/>
        <i x="6462" nd="1"/>
        <i x="6463" nd="1"/>
        <i x="6464" nd="1"/>
        <i x="6465" nd="1"/>
        <i x="6466" nd="1"/>
        <i x="6467" nd="1"/>
        <i x="6468" nd="1"/>
        <i x="6469" nd="1"/>
        <i x="6470" nd="1"/>
        <i x="6471" nd="1"/>
        <i x="6472" nd="1"/>
        <i x="6473" nd="1"/>
        <i x="6474" nd="1"/>
        <i x="6475" nd="1"/>
        <i x="6476" nd="1"/>
        <i x="6477" nd="1"/>
        <i x="6478" nd="1"/>
        <i x="6479" nd="1"/>
        <i x="6480" nd="1"/>
        <i x="6481" nd="1"/>
        <i x="6482" nd="1"/>
        <i x="6483" nd="1"/>
        <i x="6484" nd="1"/>
        <i x="6485" nd="1"/>
        <i x="6486" nd="1"/>
        <i x="6487" nd="1"/>
        <i x="6488" nd="1"/>
        <i x="6489" nd="1"/>
        <i x="6490" nd="1"/>
        <i x="6491" nd="1"/>
        <i x="6492" nd="1"/>
        <i x="6493" nd="1"/>
        <i x="6494" nd="1"/>
        <i x="6495" nd="1"/>
        <i x="6496" nd="1"/>
        <i x="6497" nd="1"/>
        <i x="6498" nd="1"/>
        <i x="6499" nd="1"/>
        <i x="6500" nd="1"/>
        <i x="6501" nd="1"/>
        <i x="6502" nd="1"/>
        <i x="6503" nd="1"/>
        <i x="6504" nd="1"/>
        <i x="6505" nd="1"/>
        <i x="6506" nd="1"/>
        <i x="6507" nd="1"/>
        <i x="6508" nd="1"/>
        <i x="6509" nd="1"/>
        <i x="6510" nd="1"/>
        <i x="6511" nd="1"/>
        <i x="6512" nd="1"/>
        <i x="6513" nd="1"/>
        <i x="6514" nd="1"/>
        <i x="6515" nd="1"/>
        <i x="6516" nd="1"/>
        <i x="6517" nd="1"/>
        <i x="6518" nd="1"/>
        <i x="6519" nd="1"/>
        <i x="6520" nd="1"/>
        <i x="6521" nd="1"/>
        <i x="6522" nd="1"/>
        <i x="6523" nd="1"/>
        <i x="6524" nd="1"/>
        <i x="6525" nd="1"/>
        <i x="6526" nd="1"/>
        <i x="6527" nd="1"/>
        <i x="6528" nd="1"/>
        <i x="6529" nd="1"/>
        <i x="6530" nd="1"/>
        <i x="6531" nd="1"/>
        <i x="6532" nd="1"/>
        <i x="6533" nd="1"/>
        <i x="6534" nd="1"/>
        <i x="6535" nd="1"/>
        <i x="6536" nd="1"/>
        <i x="6537" nd="1"/>
        <i x="6538" nd="1"/>
        <i x="6539" nd="1"/>
        <i x="6540" nd="1"/>
        <i x="6541" nd="1"/>
        <i x="6542" nd="1"/>
        <i x="6543" nd="1"/>
        <i x="6544" nd="1"/>
        <i x="6545" nd="1"/>
        <i x="6546" nd="1"/>
        <i x="6547" nd="1"/>
        <i x="6548" nd="1"/>
        <i x="6549" nd="1"/>
        <i x="6550" nd="1"/>
        <i x="6551" nd="1"/>
        <i x="6552" nd="1"/>
        <i x="6553" nd="1"/>
        <i x="6554" nd="1"/>
        <i x="6555" nd="1"/>
        <i x="6556" nd="1"/>
        <i x="6557" nd="1"/>
        <i x="6558" nd="1"/>
        <i x="6559" nd="1"/>
        <i x="6560" nd="1"/>
        <i x="6561" nd="1"/>
        <i x="6562" nd="1"/>
        <i x="6563" nd="1"/>
        <i x="6564" nd="1"/>
        <i x="6565" nd="1"/>
        <i x="6566" nd="1"/>
        <i x="6567" nd="1"/>
        <i x="6568" nd="1"/>
        <i x="6569" nd="1"/>
        <i x="6570" nd="1"/>
        <i x="6571" nd="1"/>
        <i x="6572" nd="1"/>
        <i x="6573" nd="1"/>
        <i x="6574" nd="1"/>
        <i x="6575" nd="1"/>
        <i x="6576" nd="1"/>
        <i x="6577" nd="1"/>
        <i x="6578" nd="1"/>
        <i x="6579" nd="1"/>
        <i x="6580" nd="1"/>
        <i x="6581" nd="1"/>
        <i x="6582" nd="1"/>
        <i x="6583" nd="1"/>
        <i x="6584" nd="1"/>
        <i x="6585" nd="1"/>
        <i x="6586" nd="1"/>
        <i x="6587" nd="1"/>
        <i x="6588" nd="1"/>
        <i x="6589" nd="1"/>
        <i x="6590" nd="1"/>
        <i x="6591" nd="1"/>
        <i x="6592" nd="1"/>
        <i x="6593" nd="1"/>
        <i x="6594" nd="1"/>
        <i x="6595" nd="1"/>
        <i x="6596" nd="1"/>
        <i x="6597" nd="1"/>
        <i x="6598" nd="1"/>
        <i x="6599" nd="1"/>
        <i x="6600" nd="1"/>
        <i x="6601" nd="1"/>
        <i x="6602" nd="1"/>
        <i x="6603" nd="1"/>
        <i x="6604" nd="1"/>
        <i x="6605" nd="1"/>
        <i x="6606" nd="1"/>
        <i x="6607" nd="1"/>
        <i x="6608" nd="1"/>
        <i x="6609" nd="1"/>
        <i x="6610" nd="1"/>
        <i x="6611" nd="1"/>
        <i x="6612" nd="1"/>
        <i x="6613" nd="1"/>
        <i x="6614" nd="1"/>
        <i x="6615" nd="1"/>
        <i x="6616" nd="1"/>
        <i x="6617" nd="1"/>
        <i x="6618" nd="1"/>
        <i x="6619" nd="1"/>
        <i x="6620" nd="1"/>
        <i x="6621" nd="1"/>
        <i x="6622" nd="1"/>
        <i x="6623" nd="1"/>
        <i x="6624" nd="1"/>
        <i x="6625" nd="1"/>
        <i x="6626" nd="1"/>
        <i x="6627" nd="1"/>
        <i x="6628" nd="1"/>
        <i x="6629" nd="1"/>
        <i x="6630" nd="1"/>
        <i x="6631" nd="1"/>
        <i x="6632" nd="1"/>
        <i x="6633" nd="1"/>
        <i x="6634" nd="1"/>
        <i x="6635" nd="1"/>
        <i x="6636" nd="1"/>
        <i x="6637" nd="1"/>
        <i x="6638" nd="1"/>
        <i x="6639" nd="1"/>
        <i x="6640" nd="1"/>
        <i x="6641" nd="1"/>
        <i x="6642" nd="1"/>
        <i x="6643" nd="1"/>
        <i x="6644" nd="1"/>
        <i x="6645" nd="1"/>
        <i x="6646" nd="1"/>
        <i x="6647" nd="1"/>
        <i x="6648" nd="1"/>
        <i x="6649" nd="1"/>
        <i x="6650" nd="1"/>
        <i x="6651" nd="1"/>
        <i x="6652" nd="1"/>
        <i x="6653" nd="1"/>
        <i x="6654" nd="1"/>
        <i x="6655" nd="1"/>
        <i x="6656" nd="1"/>
        <i x="6657" nd="1"/>
        <i x="6658" nd="1"/>
        <i x="6659" nd="1"/>
        <i x="6660" nd="1"/>
        <i x="6661" nd="1"/>
        <i x="6662" nd="1"/>
        <i x="6663" nd="1"/>
        <i x="6664" nd="1"/>
        <i x="6665" nd="1"/>
        <i x="6666" nd="1"/>
        <i x="6667" nd="1"/>
        <i x="6668" nd="1"/>
        <i x="6669" nd="1"/>
        <i x="6670" nd="1"/>
        <i x="6671" nd="1"/>
        <i x="6672" nd="1"/>
        <i x="6673" nd="1"/>
        <i x="6674" nd="1"/>
        <i x="6675" nd="1"/>
        <i x="6676" nd="1"/>
        <i x="6677" nd="1"/>
        <i x="6678" nd="1"/>
        <i x="6679" nd="1"/>
        <i x="6680" nd="1"/>
        <i x="6681" nd="1"/>
        <i x="6682" nd="1"/>
        <i x="6683" nd="1"/>
        <i x="6684" nd="1"/>
        <i x="6685" nd="1"/>
        <i x="6686" nd="1"/>
        <i x="6687" nd="1"/>
        <i x="6688" nd="1"/>
        <i x="6689" nd="1"/>
        <i x="6690" nd="1"/>
        <i x="6691" nd="1"/>
        <i x="6692" nd="1"/>
        <i x="6693" nd="1"/>
        <i x="6694" nd="1"/>
        <i x="6695" nd="1"/>
        <i x="6696" nd="1"/>
        <i x="6697" nd="1"/>
        <i x="6698" nd="1"/>
        <i x="6699" nd="1"/>
        <i x="6700" nd="1"/>
        <i x="6701" nd="1"/>
        <i x="6702" nd="1"/>
        <i x="6703" nd="1"/>
        <i x="6704" nd="1"/>
        <i x="6705" nd="1"/>
        <i x="6706" nd="1"/>
        <i x="6707" nd="1"/>
        <i x="6708" nd="1"/>
        <i x="6709" nd="1"/>
        <i x="6710" nd="1"/>
        <i x="6711" nd="1"/>
        <i x="6712" nd="1"/>
        <i x="6713" nd="1"/>
        <i x="6714" nd="1"/>
        <i x="6715" nd="1"/>
        <i x="6716" nd="1"/>
        <i x="6717" nd="1"/>
        <i x="6718" nd="1"/>
        <i x="6719" nd="1"/>
        <i x="6720" nd="1"/>
        <i x="6721" nd="1"/>
        <i x="6722" nd="1"/>
        <i x="6723" nd="1"/>
        <i x="6724" nd="1"/>
        <i x="6725" nd="1"/>
        <i x="6726" nd="1"/>
        <i x="6727" nd="1"/>
        <i x="6728" nd="1"/>
        <i x="6729" nd="1"/>
        <i x="6730" nd="1"/>
        <i x="6731" nd="1"/>
        <i x="6732" nd="1"/>
        <i x="6733" nd="1"/>
        <i x="6734" nd="1"/>
        <i x="6735" nd="1"/>
        <i x="6736" nd="1"/>
        <i x="6737" nd="1"/>
        <i x="6738" nd="1"/>
        <i x="6739" nd="1"/>
        <i x="6740" nd="1"/>
        <i x="6741" nd="1"/>
        <i x="6742" nd="1"/>
        <i x="6743" nd="1"/>
        <i x="6744" nd="1"/>
        <i x="6745" nd="1"/>
        <i x="6746" nd="1"/>
        <i x="6747" nd="1"/>
        <i x="6748" nd="1"/>
        <i x="6749" nd="1"/>
        <i x="6750" nd="1"/>
        <i x="6751" nd="1"/>
        <i x="6752" nd="1"/>
        <i x="6753" nd="1"/>
        <i x="6754" nd="1"/>
        <i x="6755" nd="1"/>
        <i x="6756" nd="1"/>
        <i x="6757" nd="1"/>
        <i x="6758" nd="1"/>
        <i x="6759" nd="1"/>
        <i x="6760" nd="1"/>
        <i x="6761" nd="1"/>
        <i x="6762" nd="1"/>
        <i x="6763" nd="1"/>
        <i x="6764" nd="1"/>
        <i x="6765" nd="1"/>
        <i x="6766" nd="1"/>
        <i x="6767" nd="1"/>
        <i x="6768" nd="1"/>
        <i x="6769" nd="1"/>
        <i x="6770" nd="1"/>
        <i x="6771" nd="1"/>
        <i x="6772" nd="1"/>
        <i x="6773" nd="1"/>
        <i x="6774" nd="1"/>
        <i x="6775" nd="1"/>
        <i x="6776" nd="1"/>
        <i x="6777" nd="1"/>
        <i x="6778" nd="1"/>
        <i x="6779" nd="1"/>
        <i x="6780" nd="1"/>
        <i x="6781" nd="1"/>
        <i x="6782" nd="1"/>
        <i x="6783" nd="1"/>
        <i x="6784" nd="1"/>
        <i x="6785" nd="1"/>
        <i x="6786" nd="1"/>
        <i x="6787" nd="1"/>
        <i x="6788" nd="1"/>
        <i x="6789" nd="1"/>
        <i x="6790" nd="1"/>
        <i x="6791" nd="1"/>
        <i x="6792" nd="1"/>
        <i x="6793" nd="1"/>
        <i x="6794" nd="1"/>
        <i x="6795" nd="1"/>
        <i x="6796" nd="1"/>
        <i x="6797" nd="1"/>
        <i x="6798" nd="1"/>
        <i x="6799" nd="1"/>
        <i x="6800" nd="1"/>
        <i x="6801" nd="1"/>
        <i x="6802" nd="1"/>
        <i x="6803" nd="1"/>
        <i x="6804" nd="1"/>
        <i x="6805" nd="1"/>
        <i x="6806" nd="1"/>
        <i x="6807" nd="1"/>
        <i x="6808" nd="1"/>
        <i x="6809" nd="1"/>
        <i x="6810" nd="1"/>
        <i x="6811" nd="1"/>
        <i x="6812" nd="1"/>
        <i x="6813" nd="1"/>
        <i x="6814" nd="1"/>
        <i x="6815" nd="1"/>
        <i x="6816" nd="1"/>
        <i x="6817" nd="1"/>
        <i x="6818" nd="1"/>
        <i x="6819" nd="1"/>
        <i x="6820" nd="1"/>
        <i x="6821" nd="1"/>
        <i x="6822" nd="1"/>
        <i x="6823" nd="1"/>
        <i x="6824" nd="1"/>
        <i x="6825" nd="1"/>
        <i x="6826" nd="1"/>
        <i x="6827" nd="1"/>
        <i x="6828" nd="1"/>
        <i x="6829" nd="1"/>
        <i x="6830" nd="1"/>
        <i x="6831" nd="1"/>
        <i x="6832" nd="1"/>
        <i x="6833" nd="1"/>
        <i x="6834" nd="1"/>
        <i x="6835" nd="1"/>
        <i x="6836" nd="1"/>
        <i x="6837" nd="1"/>
        <i x="6838" nd="1"/>
        <i x="6839" nd="1"/>
        <i x="6840" nd="1"/>
        <i x="6841" nd="1"/>
        <i x="6842" nd="1"/>
        <i x="6843" nd="1"/>
        <i x="6844" nd="1"/>
        <i x="6845" nd="1"/>
        <i x="6846" nd="1"/>
        <i x="6847" nd="1"/>
        <i x="6848" nd="1"/>
        <i x="6849" nd="1"/>
        <i x="6850" nd="1"/>
        <i x="6851" nd="1"/>
        <i x="6852" nd="1"/>
        <i x="6853" nd="1"/>
        <i x="6854" nd="1"/>
        <i x="6855" nd="1"/>
        <i x="6856" nd="1"/>
        <i x="6857" nd="1"/>
        <i x="6858" nd="1"/>
        <i x="6859" nd="1"/>
        <i x="6860" nd="1"/>
        <i x="6861" nd="1"/>
        <i x="6862" nd="1"/>
        <i x="6863" nd="1"/>
        <i x="6864" nd="1"/>
        <i x="6865" nd="1"/>
        <i x="6866" nd="1"/>
        <i x="6867" nd="1"/>
        <i x="6868" nd="1"/>
        <i x="6869" nd="1"/>
        <i x="6870" nd="1"/>
        <i x="6871" nd="1"/>
        <i x="6872" nd="1"/>
        <i x="6873" nd="1"/>
        <i x="6874" nd="1"/>
        <i x="6875" nd="1"/>
        <i x="6876" nd="1"/>
        <i x="6877" nd="1"/>
        <i x="6878" nd="1"/>
        <i x="6879" nd="1"/>
        <i x="6880" nd="1"/>
        <i x="6881" nd="1"/>
        <i x="6882" nd="1"/>
        <i x="6883" nd="1"/>
        <i x="6884" nd="1"/>
        <i x="6885" nd="1"/>
        <i x="6886" nd="1"/>
        <i x="6887" nd="1"/>
        <i x="6888" nd="1"/>
        <i x="6889" nd="1"/>
        <i x="6890" nd="1"/>
        <i x="6891" nd="1"/>
        <i x="6892" nd="1"/>
        <i x="6893" nd="1"/>
        <i x="6894" nd="1"/>
        <i x="6895" nd="1"/>
        <i x="6896" nd="1"/>
        <i x="6897" nd="1"/>
        <i x="6898" nd="1"/>
        <i x="6899" nd="1"/>
        <i x="6900" nd="1"/>
        <i x="6901" nd="1"/>
        <i x="6902" nd="1"/>
        <i x="6903" nd="1"/>
        <i x="6904" nd="1"/>
        <i x="6905" nd="1"/>
        <i x="6906" nd="1"/>
        <i x="6907" nd="1"/>
        <i x="6908" nd="1"/>
        <i x="6909" nd="1"/>
        <i x="6910" nd="1"/>
        <i x="6911" nd="1"/>
        <i x="6912" nd="1"/>
        <i x="6913" nd="1"/>
        <i x="6914" nd="1"/>
        <i x="6915" nd="1"/>
        <i x="6916" nd="1"/>
        <i x="6917" nd="1"/>
        <i x="6918" nd="1"/>
        <i x="6919" nd="1"/>
        <i x="6920" nd="1"/>
        <i x="6921" nd="1"/>
        <i x="6922" nd="1"/>
        <i x="6923" nd="1"/>
        <i x="6924" nd="1"/>
        <i x="6925" nd="1"/>
        <i x="6926" nd="1"/>
        <i x="6927" nd="1"/>
        <i x="6928" nd="1"/>
        <i x="6929" nd="1"/>
        <i x="6930" nd="1"/>
        <i x="6931" nd="1"/>
        <i x="6932" nd="1"/>
        <i x="6933" nd="1"/>
        <i x="6934" nd="1"/>
        <i x="6935" nd="1"/>
        <i x="6936" nd="1"/>
        <i x="6937" nd="1"/>
        <i x="6938" nd="1"/>
        <i x="6939" nd="1"/>
        <i x="6940" nd="1"/>
        <i x="6941" nd="1"/>
        <i x="6942" nd="1"/>
        <i x="6943" nd="1"/>
        <i x="6944" nd="1"/>
        <i x="6945" nd="1"/>
        <i x="6946" nd="1"/>
        <i x="6947" nd="1"/>
        <i x="6948" nd="1"/>
        <i x="6949" nd="1"/>
        <i x="6950" nd="1"/>
        <i x="6951" nd="1"/>
        <i x="6952" nd="1"/>
        <i x="6953" nd="1"/>
        <i x="6954" nd="1"/>
        <i x="6955" nd="1"/>
        <i x="6956" nd="1"/>
        <i x="6957" nd="1"/>
        <i x="6958" nd="1"/>
        <i x="6959" nd="1"/>
        <i x="6960" nd="1"/>
        <i x="6961" nd="1"/>
        <i x="6962" nd="1"/>
        <i x="6963" nd="1"/>
        <i x="6964" nd="1"/>
        <i x="6965" nd="1"/>
        <i x="6966" nd="1"/>
        <i x="6967" nd="1"/>
        <i x="6968" nd="1"/>
        <i x="6969" nd="1"/>
        <i x="6970" nd="1"/>
        <i x="6971" nd="1"/>
        <i x="6972" nd="1"/>
        <i x="6973" nd="1"/>
        <i x="6974" nd="1"/>
        <i x="6975" nd="1"/>
        <i x="6976" nd="1"/>
        <i x="6977" nd="1"/>
        <i x="6978" nd="1"/>
        <i x="6979" nd="1"/>
        <i x="6980" nd="1"/>
        <i x="6981" nd="1"/>
        <i x="6982" nd="1"/>
        <i x="6983" nd="1"/>
        <i x="6984" nd="1"/>
        <i x="6985" nd="1"/>
        <i x="6986" nd="1"/>
        <i x="6987" nd="1"/>
        <i x="6988" nd="1"/>
        <i x="6989" nd="1"/>
        <i x="6990" nd="1"/>
        <i x="6991" nd="1"/>
        <i x="6992" nd="1"/>
        <i x="6993" nd="1"/>
        <i x="6994" nd="1"/>
        <i x="6995" nd="1"/>
        <i x="6996" nd="1"/>
        <i x="6997" nd="1"/>
        <i x="6998" nd="1"/>
        <i x="6999" nd="1"/>
        <i x="7000" nd="1"/>
        <i x="7001" nd="1"/>
        <i x="7002" nd="1"/>
        <i x="7003" nd="1"/>
        <i x="7004" nd="1"/>
        <i x="7005" nd="1"/>
        <i x="7006" nd="1"/>
        <i x="7007" nd="1"/>
        <i x="7008" nd="1"/>
        <i x="7009" nd="1"/>
        <i x="7010" nd="1"/>
        <i x="7011" nd="1"/>
        <i x="7012" nd="1"/>
        <i x="7013" nd="1"/>
        <i x="7014" nd="1"/>
        <i x="7015" nd="1"/>
        <i x="7016" nd="1"/>
        <i x="7017" nd="1"/>
        <i x="7018" nd="1"/>
        <i x="7019" nd="1"/>
        <i x="7020" nd="1"/>
        <i x="7021" nd="1"/>
        <i x="7022" nd="1"/>
        <i x="7023" nd="1"/>
        <i x="7024" nd="1"/>
        <i x="7025" nd="1"/>
        <i x="7026" nd="1"/>
        <i x="7027" nd="1"/>
        <i x="7028" nd="1"/>
        <i x="7029" nd="1"/>
        <i x="7030" nd="1"/>
        <i x="7031" nd="1"/>
        <i x="7032" nd="1"/>
        <i x="7033" nd="1"/>
        <i x="7034" nd="1"/>
        <i x="7035" nd="1"/>
        <i x="7036" nd="1"/>
        <i x="7037" nd="1"/>
        <i x="7038" nd="1"/>
        <i x="7039" nd="1"/>
        <i x="7040" nd="1"/>
        <i x="7041" nd="1"/>
        <i x="7042" nd="1"/>
        <i x="7043" nd="1"/>
        <i x="7044" nd="1"/>
        <i x="7045" nd="1"/>
        <i x="7046" nd="1"/>
        <i x="7047" nd="1"/>
        <i x="7048" nd="1"/>
        <i x="7049" nd="1"/>
        <i x="7050" nd="1"/>
        <i x="7051" nd="1"/>
        <i x="7052" nd="1"/>
        <i x="7053" nd="1"/>
        <i x="7054" nd="1"/>
        <i x="7055" nd="1"/>
        <i x="7056" nd="1"/>
        <i x="7057" nd="1"/>
        <i x="7058" nd="1"/>
        <i x="7059" nd="1"/>
        <i x="7060" nd="1"/>
        <i x="7061" nd="1"/>
        <i x="7062" nd="1"/>
        <i x="7063" nd="1"/>
        <i x="7064" nd="1"/>
        <i x="7065" nd="1"/>
        <i x="7066" nd="1"/>
        <i x="7067" nd="1"/>
        <i x="7068" nd="1"/>
        <i x="7069" nd="1"/>
        <i x="7070" nd="1"/>
        <i x="7071" nd="1"/>
        <i x="7072" nd="1"/>
        <i x="7073" nd="1"/>
        <i x="7074" nd="1"/>
        <i x="7075" nd="1"/>
        <i x="7076" nd="1"/>
        <i x="7077" nd="1"/>
        <i x="7078" nd="1"/>
        <i x="7079" nd="1"/>
        <i x="7080" nd="1"/>
        <i x="7081" nd="1"/>
        <i x="7082" nd="1"/>
        <i x="7083" nd="1"/>
        <i x="7084" nd="1"/>
        <i x="7085" nd="1"/>
        <i x="7086" nd="1"/>
        <i x="7087" nd="1"/>
        <i x="7088" nd="1"/>
        <i x="7089" nd="1"/>
        <i x="7090" nd="1"/>
        <i x="7091" nd="1"/>
        <i x="7092" nd="1"/>
        <i x="7093" nd="1"/>
        <i x="7094" nd="1"/>
        <i x="7095" nd="1"/>
        <i x="7096" nd="1"/>
        <i x="7097" nd="1"/>
        <i x="7098" nd="1"/>
        <i x="7099" nd="1"/>
        <i x="7100" nd="1"/>
        <i x="7101" nd="1"/>
        <i x="7102" nd="1"/>
        <i x="7103" nd="1"/>
        <i x="7104" nd="1"/>
        <i x="7105" nd="1"/>
        <i x="7106" nd="1"/>
        <i x="7107" nd="1"/>
        <i x="7108" nd="1"/>
        <i x="7109" nd="1"/>
        <i x="7110" nd="1"/>
        <i x="7111" nd="1"/>
        <i x="7112" nd="1"/>
        <i x="7113" nd="1"/>
        <i x="7114" nd="1"/>
        <i x="7115" nd="1"/>
        <i x="7116" nd="1"/>
        <i x="7117" nd="1"/>
        <i x="7118" nd="1"/>
        <i x="7119" nd="1"/>
        <i x="7120" nd="1"/>
        <i x="7121" nd="1"/>
        <i x="7122" nd="1"/>
        <i x="7123" nd="1"/>
        <i x="7124" nd="1"/>
        <i x="7125" nd="1"/>
        <i x="7126" nd="1"/>
        <i x="7127" nd="1"/>
        <i x="7128" nd="1"/>
        <i x="7129" nd="1"/>
        <i x="7130" nd="1"/>
        <i x="7131" nd="1"/>
        <i x="7132" nd="1"/>
        <i x="7133" nd="1"/>
        <i x="7134" nd="1"/>
        <i x="7135" nd="1"/>
        <i x="7136" nd="1"/>
        <i x="7137" nd="1"/>
        <i x="7138" nd="1"/>
        <i x="7139" nd="1"/>
        <i x="7140" nd="1"/>
        <i x="7141" nd="1"/>
        <i x="7142" nd="1"/>
        <i x="7143" nd="1"/>
        <i x="7144" nd="1"/>
        <i x="7145" nd="1"/>
        <i x="7146" nd="1"/>
        <i x="7147" nd="1"/>
        <i x="7148" nd="1"/>
        <i x="7149" nd="1"/>
        <i x="7150" nd="1"/>
        <i x="7151" nd="1"/>
        <i x="7152" nd="1"/>
        <i x="7153" nd="1"/>
        <i x="7154" nd="1"/>
        <i x="7155" nd="1"/>
        <i x="7156" nd="1"/>
        <i x="7157" nd="1"/>
        <i x="7158" nd="1"/>
        <i x="7159" nd="1"/>
        <i x="7160" nd="1"/>
        <i x="7161" nd="1"/>
        <i x="7162" nd="1"/>
        <i x="7163" nd="1"/>
        <i x="7164" nd="1"/>
        <i x="7165" nd="1"/>
        <i x="7166" nd="1"/>
        <i x="7167" nd="1"/>
        <i x="7168" nd="1"/>
        <i x="7169" nd="1"/>
        <i x="7170" nd="1"/>
        <i x="7171" nd="1"/>
        <i x="7172" nd="1"/>
        <i x="7173" nd="1"/>
        <i x="7174" nd="1"/>
        <i x="7175" nd="1"/>
        <i x="7176" nd="1"/>
        <i x="7177" nd="1"/>
        <i x="7178" nd="1"/>
        <i x="7179" nd="1"/>
        <i x="7180" nd="1"/>
        <i x="7181" nd="1"/>
        <i x="7182" nd="1"/>
        <i x="7183" nd="1"/>
        <i x="7184" nd="1"/>
        <i x="7185" nd="1"/>
        <i x="7186" nd="1"/>
        <i x="7187" nd="1"/>
        <i x="7188" nd="1"/>
        <i x="7189" nd="1"/>
        <i x="7190" nd="1"/>
        <i x="7191" nd="1"/>
        <i x="7192" nd="1"/>
        <i x="7193" nd="1"/>
        <i x="7194" nd="1"/>
        <i x="7195" nd="1"/>
        <i x="7196" nd="1"/>
        <i x="7197" nd="1"/>
        <i x="7198" nd="1"/>
        <i x="7199" nd="1"/>
        <i x="7200" nd="1"/>
        <i x="7201" nd="1"/>
        <i x="7202" nd="1"/>
        <i x="7203" nd="1"/>
        <i x="7204" nd="1"/>
        <i x="7205" nd="1"/>
        <i x="7206" nd="1"/>
        <i x="7207" nd="1"/>
        <i x="7208" nd="1"/>
        <i x="7209" nd="1"/>
        <i x="7210" nd="1"/>
        <i x="7211" nd="1"/>
        <i x="7212" nd="1"/>
        <i x="7213" nd="1"/>
        <i x="7214" nd="1"/>
        <i x="7215" nd="1"/>
        <i x="7216" nd="1"/>
        <i x="7217" nd="1"/>
        <i x="7218" nd="1"/>
        <i x="7219" nd="1"/>
        <i x="7220" nd="1"/>
        <i x="7221" nd="1"/>
        <i x="7222" nd="1"/>
        <i x="7223" nd="1"/>
        <i x="7224" nd="1"/>
        <i x="7225" nd="1"/>
        <i x="7226" nd="1"/>
        <i x="7227" nd="1"/>
        <i x="7228" nd="1"/>
        <i x="7229" nd="1"/>
        <i x="7230" nd="1"/>
        <i x="7231" nd="1"/>
        <i x="7232" nd="1"/>
        <i x="7233" nd="1"/>
        <i x="7234" nd="1"/>
        <i x="7235" nd="1"/>
        <i x="7236" nd="1"/>
        <i x="7237" nd="1"/>
        <i x="7238" nd="1"/>
        <i x="7239" nd="1"/>
        <i x="7240" nd="1"/>
        <i x="7241" nd="1"/>
        <i x="7242" nd="1"/>
        <i x="7243" nd="1"/>
        <i x="7244" nd="1"/>
        <i x="7245" nd="1"/>
        <i x="7246" nd="1"/>
        <i x="7247" nd="1"/>
        <i x="7248" nd="1"/>
        <i x="7249" nd="1"/>
        <i x="7250" nd="1"/>
        <i x="7251" nd="1"/>
        <i x="7252" nd="1"/>
        <i x="7253" nd="1"/>
        <i x="7254" nd="1"/>
        <i x="7255" nd="1"/>
        <i x="7256" nd="1"/>
        <i x="7257" nd="1"/>
        <i x="7258" nd="1"/>
        <i x="7259" nd="1"/>
        <i x="7260" nd="1"/>
        <i x="7261" nd="1"/>
        <i x="7262" nd="1"/>
        <i x="7263" nd="1"/>
        <i x="7264" nd="1"/>
        <i x="7265" nd="1"/>
        <i x="7266" nd="1"/>
        <i x="7267" nd="1"/>
        <i x="7268" nd="1"/>
        <i x="7269" nd="1"/>
        <i x="7270" nd="1"/>
        <i x="7271" nd="1"/>
        <i x="7272" nd="1"/>
        <i x="7273" nd="1"/>
        <i x="7274" nd="1"/>
        <i x="7275" nd="1"/>
        <i x="7276" nd="1"/>
        <i x="7277" nd="1"/>
        <i x="7278" nd="1"/>
        <i x="7279" nd="1"/>
        <i x="7280" nd="1"/>
        <i x="7281" nd="1"/>
        <i x="7282" nd="1"/>
        <i x="7283" nd="1"/>
        <i x="7284" nd="1"/>
        <i x="7285" nd="1"/>
        <i x="7286" nd="1"/>
        <i x="7287" nd="1"/>
        <i x="7288" nd="1"/>
        <i x="7289" nd="1"/>
        <i x="7290" nd="1"/>
        <i x="7291" nd="1"/>
        <i x="7292" nd="1"/>
        <i x="7293" nd="1"/>
        <i x="7294" nd="1"/>
        <i x="7295" nd="1"/>
        <i x="7296" nd="1"/>
        <i x="7297" nd="1"/>
        <i x="7298" nd="1"/>
        <i x="7299" nd="1"/>
        <i x="7300" nd="1"/>
        <i x="7301" nd="1"/>
        <i x="7302" nd="1"/>
        <i x="7303" nd="1"/>
        <i x="7304" nd="1"/>
        <i x="7305" nd="1"/>
        <i x="7306" nd="1"/>
        <i x="7307" nd="1"/>
        <i x="7308" nd="1"/>
        <i x="7309" nd="1"/>
        <i x="7310" nd="1"/>
        <i x="7311" nd="1"/>
        <i x="7312" nd="1"/>
        <i x="7313" nd="1"/>
        <i x="7314" nd="1"/>
        <i x="7315" nd="1"/>
        <i x="7316" nd="1"/>
        <i x="7317" nd="1"/>
        <i x="7318" nd="1"/>
        <i x="7319" nd="1"/>
        <i x="7320" nd="1"/>
        <i x="7321" nd="1"/>
        <i x="7322" nd="1"/>
        <i x="7323" nd="1"/>
        <i x="7324" nd="1"/>
        <i x="7325" nd="1"/>
        <i x="7326" nd="1"/>
        <i x="7327" nd="1"/>
        <i x="7328" nd="1"/>
        <i x="7329" nd="1"/>
        <i x="7330" nd="1"/>
        <i x="7331" nd="1"/>
        <i x="7332" nd="1"/>
        <i x="7333" nd="1"/>
        <i x="7334" nd="1"/>
        <i x="7335" nd="1"/>
        <i x="7336" nd="1"/>
        <i x="7337" nd="1"/>
        <i x="7338" nd="1"/>
        <i x="7339" nd="1"/>
        <i x="7340" nd="1"/>
        <i x="7341" nd="1"/>
        <i x="7342" nd="1"/>
        <i x="7343" nd="1"/>
        <i x="7344" nd="1"/>
        <i x="7345" nd="1"/>
        <i x="7346" nd="1"/>
        <i x="7347" nd="1"/>
        <i x="7348" nd="1"/>
        <i x="7349" nd="1"/>
        <i x="7350" nd="1"/>
        <i x="7351" nd="1"/>
        <i x="7352" nd="1"/>
        <i x="7353" nd="1"/>
        <i x="7354" nd="1"/>
        <i x="7355" nd="1"/>
        <i x="7356" nd="1"/>
        <i x="7357" nd="1"/>
        <i x="7358" nd="1"/>
        <i x="7359" nd="1"/>
        <i x="7360" nd="1"/>
        <i x="7361" nd="1"/>
        <i x="7362" nd="1"/>
        <i x="7363" nd="1"/>
        <i x="7364" nd="1"/>
        <i x="7365" nd="1"/>
        <i x="7366" nd="1"/>
        <i x="7367" nd="1"/>
        <i x="7368" nd="1"/>
        <i x="7369" nd="1"/>
        <i x="7370" nd="1"/>
        <i x="7371" nd="1"/>
        <i x="7372" nd="1"/>
        <i x="7373" nd="1"/>
        <i x="7374" nd="1"/>
        <i x="7375" nd="1"/>
        <i x="7376" nd="1"/>
        <i x="7377" nd="1"/>
        <i x="7378" nd="1"/>
        <i x="7379" nd="1"/>
        <i x="7380" nd="1"/>
        <i x="7381" nd="1"/>
        <i x="7382" nd="1"/>
        <i x="7383" nd="1"/>
        <i x="7384" nd="1"/>
        <i x="7385" nd="1"/>
        <i x="7386" nd="1"/>
        <i x="7387" nd="1"/>
        <i x="7388" nd="1"/>
        <i x="7389" nd="1"/>
        <i x="7390" nd="1"/>
        <i x="7391" nd="1"/>
        <i x="7392" nd="1"/>
        <i x="7393" nd="1"/>
        <i x="7394" nd="1"/>
        <i x="7395" nd="1"/>
        <i x="7396" nd="1"/>
        <i x="7397" nd="1"/>
        <i x="7398" nd="1"/>
        <i x="7399" nd="1"/>
        <i x="7400" nd="1"/>
        <i x="7401" nd="1"/>
        <i x="7402" nd="1"/>
        <i x="7403" nd="1"/>
        <i x="7404" nd="1"/>
        <i x="7405" nd="1"/>
        <i x="7406" nd="1"/>
        <i x="7407" nd="1"/>
        <i x="7408" nd="1"/>
        <i x="7409" nd="1"/>
        <i x="7410" nd="1"/>
        <i x="7411" nd="1"/>
        <i x="7412" nd="1"/>
        <i x="7413" nd="1"/>
        <i x="7414" nd="1"/>
        <i x="7415" nd="1"/>
        <i x="7416" nd="1"/>
        <i x="7417" nd="1"/>
        <i x="7418" nd="1"/>
        <i x="7419" nd="1"/>
        <i x="7420" nd="1"/>
        <i x="7421" nd="1"/>
        <i x="7422" nd="1"/>
        <i x="7423" nd="1"/>
        <i x="7424" nd="1"/>
        <i x="7425" nd="1"/>
        <i x="7426" nd="1"/>
        <i x="7427" nd="1"/>
        <i x="7428" nd="1"/>
        <i x="7429" nd="1"/>
        <i x="7430" nd="1"/>
        <i x="7431" nd="1"/>
        <i x="7432" nd="1"/>
        <i x="7433" nd="1"/>
        <i x="7434" nd="1"/>
        <i x="7435" nd="1"/>
        <i x="7436" nd="1"/>
        <i x="7437" nd="1"/>
        <i x="7438" nd="1"/>
        <i x="7439" nd="1"/>
        <i x="7440" nd="1"/>
        <i x="7441" nd="1"/>
        <i x="7442" nd="1"/>
        <i x="7443" nd="1"/>
        <i x="7444" nd="1"/>
        <i x="7445" nd="1"/>
        <i x="7446" nd="1"/>
        <i x="7447" nd="1"/>
        <i x="7448" nd="1"/>
        <i x="7449" nd="1"/>
        <i x="7450" nd="1"/>
        <i x="7451" nd="1"/>
        <i x="7452" nd="1"/>
        <i x="7453" nd="1"/>
        <i x="7454" nd="1"/>
        <i x="7455" nd="1"/>
        <i x="7456" nd="1"/>
        <i x="7457" nd="1"/>
        <i x="7458" nd="1"/>
        <i x="7459" nd="1"/>
        <i x="7460" nd="1"/>
        <i x="7461" nd="1"/>
        <i x="7462" nd="1"/>
        <i x="7463" nd="1"/>
        <i x="7464" nd="1"/>
        <i x="7465" nd="1"/>
        <i x="7466" nd="1"/>
        <i x="7467" nd="1"/>
        <i x="7468" nd="1"/>
        <i x="7469" nd="1"/>
        <i x="7470" nd="1"/>
        <i x="7471" nd="1"/>
        <i x="7472" nd="1"/>
        <i x="7473" nd="1"/>
        <i x="7474" nd="1"/>
        <i x="7475" nd="1"/>
        <i x="7476" nd="1"/>
        <i x="7477" nd="1"/>
        <i x="7478" nd="1"/>
        <i x="7479" nd="1"/>
        <i x="7480" nd="1"/>
        <i x="7481" nd="1"/>
        <i x="7482" nd="1"/>
        <i x="7483" nd="1"/>
        <i x="7484" nd="1"/>
        <i x="7485" nd="1"/>
        <i x="7486" nd="1"/>
        <i x="7487" nd="1"/>
        <i x="7488" nd="1"/>
        <i x="7489" nd="1"/>
        <i x="7490" nd="1"/>
        <i x="7491" nd="1"/>
        <i x="7492" nd="1"/>
        <i x="7493" nd="1"/>
        <i x="7494" nd="1"/>
        <i x="7495" nd="1"/>
        <i x="7496" nd="1"/>
        <i x="7497" nd="1"/>
        <i x="7498" nd="1"/>
        <i x="7499" nd="1"/>
        <i x="7500" nd="1"/>
        <i x="7501" nd="1"/>
        <i x="7502" nd="1"/>
        <i x="7503" nd="1"/>
        <i x="7504" nd="1"/>
        <i x="7505" nd="1"/>
        <i x="7506" nd="1"/>
        <i x="7507" nd="1"/>
        <i x="7508" nd="1"/>
        <i x="7509" nd="1"/>
        <i x="7510" nd="1"/>
        <i x="7511" nd="1"/>
        <i x="7512" nd="1"/>
        <i x="7513" nd="1"/>
        <i x="7514" nd="1"/>
        <i x="7515" nd="1"/>
        <i x="7516" nd="1"/>
        <i x="7517" nd="1"/>
        <i x="7518" nd="1"/>
        <i x="7519" nd="1"/>
        <i x="7520" nd="1"/>
        <i x="7521" nd="1"/>
        <i x="7522" nd="1"/>
        <i x="7523" nd="1"/>
        <i x="7524" nd="1"/>
        <i x="7525" nd="1"/>
        <i x="7526" nd="1"/>
        <i x="7527" nd="1"/>
        <i x="7528" nd="1"/>
        <i x="7529" nd="1"/>
        <i x="7530" nd="1"/>
        <i x="7531" nd="1"/>
        <i x="7532" nd="1"/>
        <i x="7533" nd="1"/>
        <i x="7534" nd="1"/>
        <i x="7535" nd="1"/>
        <i x="7536" nd="1"/>
        <i x="7537" nd="1"/>
        <i x="7538" nd="1"/>
        <i x="7539" nd="1"/>
        <i x="7540" nd="1"/>
        <i x="7541" nd="1"/>
        <i x="7542" nd="1"/>
        <i x="7543" nd="1"/>
        <i x="7544" nd="1"/>
        <i x="7545" nd="1"/>
        <i x="7546" nd="1"/>
        <i x="7547" nd="1"/>
        <i x="7548" nd="1"/>
        <i x="7549" nd="1"/>
        <i x="7550" nd="1"/>
        <i x="7551" nd="1"/>
        <i x="7552" nd="1"/>
        <i x="7553" nd="1"/>
        <i x="7554" nd="1"/>
        <i x="7555" nd="1"/>
        <i x="7556" nd="1"/>
        <i x="7557" nd="1"/>
        <i x="7558" nd="1"/>
        <i x="7559" nd="1"/>
        <i x="7560" nd="1"/>
        <i x="7561" nd="1"/>
        <i x="7562" nd="1"/>
        <i x="7563" nd="1"/>
        <i x="7564" nd="1"/>
        <i x="7565" nd="1"/>
        <i x="7566" nd="1"/>
        <i x="7567" nd="1"/>
        <i x="7568" nd="1"/>
        <i x="7569" nd="1"/>
        <i x="7570" nd="1"/>
        <i x="7571" nd="1"/>
        <i x="7572" nd="1"/>
        <i x="7573" nd="1"/>
        <i x="7574" nd="1"/>
        <i x="7575" nd="1"/>
        <i x="7576" nd="1"/>
        <i x="7577" nd="1"/>
        <i x="7578" nd="1"/>
        <i x="7579" nd="1"/>
        <i x="7580" nd="1"/>
        <i x="7581" nd="1"/>
        <i x="7582" nd="1"/>
        <i x="7583" nd="1"/>
        <i x="7584" nd="1"/>
        <i x="7585" nd="1"/>
        <i x="7586" nd="1"/>
        <i x="7587" nd="1"/>
        <i x="7588" nd="1"/>
        <i x="7589" nd="1"/>
        <i x="7590" nd="1"/>
        <i x="7591" nd="1"/>
        <i x="7592" nd="1"/>
        <i x="7593" nd="1"/>
        <i x="7594" nd="1"/>
        <i x="7595" nd="1"/>
        <i x="7596" nd="1"/>
        <i x="7597" nd="1"/>
        <i x="7598" nd="1"/>
        <i x="7599" nd="1"/>
        <i x="7600" nd="1"/>
        <i x="7601" nd="1"/>
        <i x="7602" nd="1"/>
        <i x="7603" nd="1"/>
        <i x="7604" nd="1"/>
        <i x="7605" nd="1"/>
        <i x="7606" nd="1"/>
        <i x="7607" nd="1"/>
        <i x="7608" nd="1"/>
        <i x="7609" nd="1"/>
        <i x="7610" nd="1"/>
        <i x="7611" nd="1"/>
        <i x="7612" nd="1"/>
        <i x="7613" nd="1"/>
        <i x="7614" nd="1"/>
        <i x="7615" nd="1"/>
        <i x="7616" nd="1"/>
        <i x="7617" nd="1"/>
        <i x="7618" nd="1"/>
        <i x="7619" nd="1"/>
        <i x="7620" nd="1"/>
        <i x="7621" nd="1"/>
        <i x="7622" nd="1"/>
        <i x="7623" nd="1"/>
        <i x="7624" nd="1"/>
        <i x="7625" nd="1"/>
        <i x="7626" nd="1"/>
        <i x="7627" nd="1"/>
        <i x="7628" nd="1"/>
        <i x="7629" nd="1"/>
        <i x="7630" nd="1"/>
        <i x="7631" nd="1"/>
        <i x="7632" nd="1"/>
        <i x="7633" nd="1"/>
        <i x="7634" nd="1"/>
        <i x="7635" nd="1"/>
        <i x="7636" nd="1"/>
        <i x="7637" nd="1"/>
        <i x="7638" nd="1"/>
        <i x="7639" nd="1"/>
        <i x="7640" nd="1"/>
        <i x="7641" nd="1"/>
        <i x="7642" nd="1"/>
        <i x="7643" nd="1"/>
        <i x="7644" nd="1"/>
        <i x="7645" nd="1"/>
        <i x="7646" nd="1"/>
        <i x="7647" nd="1"/>
        <i x="7648" nd="1"/>
        <i x="7649" nd="1"/>
        <i x="7650" nd="1"/>
        <i x="7651" nd="1"/>
        <i x="7652" nd="1"/>
        <i x="7653" nd="1"/>
        <i x="7654" nd="1"/>
        <i x="7655" nd="1"/>
        <i x="7656" nd="1"/>
        <i x="7657" nd="1"/>
        <i x="7658" nd="1"/>
        <i x="7659" nd="1"/>
        <i x="7660" nd="1"/>
        <i x="7661" nd="1"/>
        <i x="7662" nd="1"/>
        <i x="7663" nd="1"/>
        <i x="7664" nd="1"/>
        <i x="7665" nd="1"/>
        <i x="7666" nd="1"/>
        <i x="7667" nd="1"/>
        <i x="7668" nd="1"/>
        <i x="7669" nd="1"/>
        <i x="7670" nd="1"/>
        <i x="7671" nd="1"/>
        <i x="7672" nd="1"/>
        <i x="7673" nd="1"/>
        <i x="7674" nd="1"/>
        <i x="7675" nd="1"/>
        <i x="7676" nd="1"/>
        <i x="7677" nd="1"/>
        <i x="7678" nd="1"/>
        <i x="7679" nd="1"/>
        <i x="7680" nd="1"/>
        <i x="7681" nd="1"/>
        <i x="7682" nd="1"/>
        <i x="7683" nd="1"/>
        <i x="7684" nd="1"/>
        <i x="7685" nd="1"/>
        <i x="7686" nd="1"/>
        <i x="7687" nd="1"/>
        <i x="7688" nd="1"/>
        <i x="7689" nd="1"/>
        <i x="7690" nd="1"/>
        <i x="7691" nd="1"/>
        <i x="7692" nd="1"/>
        <i x="7693" nd="1"/>
        <i x="7694" nd="1"/>
        <i x="7695" nd="1"/>
        <i x="7696" nd="1"/>
        <i x="7697" nd="1"/>
        <i x="7698" nd="1"/>
        <i x="7699" nd="1"/>
        <i x="7700" nd="1"/>
        <i x="7701" nd="1"/>
        <i x="7702" nd="1"/>
        <i x="7703" nd="1"/>
        <i x="7704" nd="1"/>
        <i x="7705" nd="1"/>
        <i x="7706" nd="1"/>
        <i x="7707" nd="1"/>
        <i x="7708" nd="1"/>
        <i x="7709" nd="1"/>
        <i x="7710" nd="1"/>
        <i x="7711" nd="1"/>
        <i x="7712" nd="1"/>
        <i x="7713" nd="1"/>
        <i x="7714" nd="1"/>
        <i x="7715" nd="1"/>
        <i x="7716" nd="1"/>
        <i x="7717" nd="1"/>
        <i x="7718" nd="1"/>
        <i x="7719" nd="1"/>
        <i x="7720" nd="1"/>
        <i x="7721" nd="1"/>
        <i x="7722" nd="1"/>
        <i x="7723" nd="1"/>
        <i x="7724" nd="1"/>
        <i x="7725" nd="1"/>
        <i x="7726" nd="1"/>
        <i x="7727" nd="1"/>
        <i x="7728" nd="1"/>
        <i x="7729" nd="1"/>
        <i x="7730" nd="1"/>
        <i x="7731" nd="1"/>
        <i x="7732" nd="1"/>
        <i x="7733" nd="1"/>
        <i x="7734" nd="1"/>
        <i x="7735" nd="1"/>
        <i x="7736" nd="1"/>
        <i x="7737" nd="1"/>
        <i x="7738" nd="1"/>
        <i x="7739" nd="1"/>
        <i x="7740" nd="1"/>
        <i x="7741" nd="1"/>
        <i x="7742" nd="1"/>
        <i x="7743" nd="1"/>
        <i x="7744" nd="1"/>
        <i x="7745" nd="1"/>
        <i x="7746" nd="1"/>
        <i x="7747" nd="1"/>
        <i x="7748" nd="1"/>
        <i x="7749" nd="1"/>
        <i x="7750" nd="1"/>
        <i x="7751" nd="1"/>
        <i x="7752" nd="1"/>
        <i x="7753" nd="1"/>
        <i x="7754" nd="1"/>
        <i x="7755" nd="1"/>
        <i x="7756" nd="1"/>
        <i x="7757" nd="1"/>
        <i x="7758" nd="1"/>
        <i x="7759" nd="1"/>
        <i x="7760" nd="1"/>
        <i x="7761" nd="1"/>
        <i x="7762" nd="1"/>
        <i x="7763" nd="1"/>
        <i x="7764" nd="1"/>
        <i x="7765" nd="1"/>
        <i x="7766" nd="1"/>
        <i x="7767" nd="1"/>
        <i x="7768" nd="1"/>
        <i x="7769" nd="1"/>
        <i x="7770" nd="1"/>
        <i x="7771" nd="1"/>
        <i x="7772" nd="1"/>
        <i x="7773" nd="1"/>
        <i x="7774" nd="1"/>
        <i x="7775" nd="1"/>
        <i x="7776" nd="1"/>
        <i x="7777" nd="1"/>
        <i x="7778" nd="1"/>
        <i x="7779" nd="1"/>
        <i x="7780" nd="1"/>
        <i x="7781" nd="1"/>
        <i x="7782" nd="1"/>
        <i x="7783" nd="1"/>
        <i x="7784" nd="1"/>
        <i x="7785" nd="1"/>
        <i x="7786" nd="1"/>
        <i x="7787" nd="1"/>
        <i x="7788" nd="1"/>
        <i x="7789" nd="1"/>
        <i x="7790" nd="1"/>
        <i x="7791" nd="1"/>
        <i x="7792" nd="1"/>
        <i x="7793" nd="1"/>
        <i x="7794" nd="1"/>
        <i x="7795" nd="1"/>
        <i x="7796" nd="1"/>
        <i x="7797" nd="1"/>
        <i x="7798" nd="1"/>
        <i x="7799" nd="1"/>
        <i x="7800" nd="1"/>
        <i x="7801" nd="1"/>
        <i x="7802" nd="1"/>
        <i x="7803" nd="1"/>
        <i x="7804" nd="1"/>
        <i x="7805" nd="1"/>
        <i x="7806" nd="1"/>
        <i x="7807" nd="1"/>
        <i x="7808" nd="1"/>
        <i x="7809" nd="1"/>
        <i x="7810" nd="1"/>
        <i x="7811" nd="1"/>
        <i x="7812" nd="1"/>
        <i x="7813" nd="1"/>
        <i x="7814" nd="1"/>
        <i x="7815" nd="1"/>
        <i x="7816" nd="1"/>
        <i x="7817" nd="1"/>
        <i x="7818" nd="1"/>
        <i x="7819" nd="1"/>
        <i x="7820" nd="1"/>
        <i x="7821" nd="1"/>
        <i x="7822" nd="1"/>
        <i x="7823" nd="1"/>
        <i x="7824" nd="1"/>
        <i x="7825" nd="1"/>
        <i x="7826" nd="1"/>
        <i x="7827" nd="1"/>
        <i x="7828" nd="1"/>
        <i x="7829" nd="1"/>
        <i x="7830" nd="1"/>
        <i x="7831" nd="1"/>
        <i x="7832" nd="1"/>
        <i x="7833" nd="1"/>
        <i x="7834" nd="1"/>
        <i x="7835" nd="1"/>
        <i x="7836" nd="1"/>
        <i x="7837" nd="1"/>
        <i x="7838" nd="1"/>
        <i x="7839" nd="1"/>
        <i x="7840" nd="1"/>
        <i x="7841" nd="1"/>
        <i x="7842" nd="1"/>
        <i x="7843" nd="1"/>
        <i x="7844" nd="1"/>
        <i x="7845" nd="1"/>
        <i x="7846" nd="1"/>
        <i x="7847" nd="1"/>
        <i x="7848" nd="1"/>
        <i x="7849" nd="1"/>
        <i x="7850" nd="1"/>
        <i x="7851" nd="1"/>
        <i x="7852" nd="1"/>
        <i x="7853" nd="1"/>
        <i x="7854" nd="1"/>
        <i x="7855" nd="1"/>
        <i x="7856" nd="1"/>
        <i x="7857" nd="1"/>
        <i x="7858" nd="1"/>
        <i x="7859" nd="1"/>
        <i x="7860" nd="1"/>
        <i x="7861" nd="1"/>
        <i x="7862" nd="1"/>
        <i x="7863" nd="1"/>
        <i x="7864" nd="1"/>
        <i x="7865" nd="1"/>
        <i x="7866" nd="1"/>
        <i x="7867" nd="1"/>
        <i x="7868" nd="1"/>
        <i x="7869" nd="1"/>
        <i x="7870" nd="1"/>
        <i x="7871" nd="1"/>
        <i x="7872" nd="1"/>
        <i x="7873" nd="1"/>
        <i x="7874" nd="1"/>
        <i x="7875" nd="1"/>
        <i x="7876" nd="1"/>
        <i x="7877" nd="1"/>
        <i x="7878" nd="1"/>
        <i x="7879" nd="1"/>
        <i x="7880" nd="1"/>
        <i x="7881" nd="1"/>
        <i x="7882" nd="1"/>
        <i x="7883" nd="1"/>
        <i x="7884" nd="1"/>
        <i x="7885" nd="1"/>
        <i x="7886" nd="1"/>
        <i x="7887" nd="1"/>
        <i x="7888" nd="1"/>
        <i x="7889" nd="1"/>
        <i x="7890" nd="1"/>
        <i x="7891" nd="1"/>
        <i x="7892" nd="1"/>
        <i x="7893" nd="1"/>
        <i x="7894" nd="1"/>
        <i x="7895" nd="1"/>
        <i x="7896" nd="1"/>
        <i x="7897" nd="1"/>
        <i x="7898" nd="1"/>
        <i x="7899" nd="1"/>
        <i x="7900" nd="1"/>
        <i x="7901" nd="1"/>
        <i x="7902" nd="1"/>
        <i x="7903" nd="1"/>
        <i x="7904" nd="1"/>
        <i x="7905" nd="1"/>
        <i x="7906" nd="1"/>
        <i x="7907" nd="1"/>
        <i x="7908" nd="1"/>
        <i x="7909" nd="1"/>
        <i x="7910" nd="1"/>
        <i x="7911" nd="1"/>
        <i x="7912" nd="1"/>
        <i x="7913" nd="1"/>
        <i x="7914" nd="1"/>
        <i x="7915" nd="1"/>
        <i x="7916" nd="1"/>
        <i x="7917" nd="1"/>
        <i x="7918" nd="1"/>
        <i x="7919" nd="1"/>
        <i x="7920" nd="1"/>
        <i x="7921" nd="1"/>
        <i x="7922" nd="1"/>
        <i x="7923" nd="1"/>
        <i x="7924" nd="1"/>
        <i x="7925" nd="1"/>
        <i x="7926" nd="1"/>
        <i x="7927" nd="1"/>
        <i x="7928" nd="1"/>
        <i x="7929" nd="1"/>
        <i x="7930" nd="1"/>
        <i x="7931" nd="1"/>
        <i x="7932" nd="1"/>
        <i x="7933" nd="1"/>
        <i x="7934" nd="1"/>
        <i x="7935" nd="1"/>
        <i x="7936" nd="1"/>
        <i x="7937" nd="1"/>
        <i x="7938" nd="1"/>
        <i x="7939" nd="1"/>
        <i x="7940" nd="1"/>
        <i x="7941" nd="1"/>
        <i x="7942" nd="1"/>
        <i x="7943" nd="1"/>
        <i x="7944" nd="1"/>
        <i x="7945" nd="1"/>
        <i x="7946" nd="1"/>
        <i x="7947" nd="1"/>
        <i x="7948" nd="1"/>
        <i x="7949" nd="1"/>
        <i x="7950" nd="1"/>
        <i x="7951" nd="1"/>
        <i x="7952" nd="1"/>
        <i x="7953" nd="1"/>
        <i x="7954" nd="1"/>
        <i x="7955" nd="1"/>
        <i x="7956" nd="1"/>
        <i x="7957" nd="1"/>
        <i x="7958" nd="1"/>
        <i x="7959" nd="1"/>
        <i x="7960" nd="1"/>
        <i x="7961" nd="1"/>
        <i x="7962" nd="1"/>
        <i x="7963" nd="1"/>
        <i x="7964" nd="1"/>
        <i x="7965" nd="1"/>
        <i x="7966" nd="1"/>
        <i x="7967" nd="1"/>
        <i x="7968" nd="1"/>
        <i x="7969" nd="1"/>
        <i x="7970" nd="1"/>
        <i x="7971" nd="1"/>
        <i x="7972" nd="1"/>
        <i x="7973" nd="1"/>
        <i x="7974" nd="1"/>
        <i x="7975" nd="1"/>
        <i x="7976" nd="1"/>
        <i x="7977" nd="1"/>
        <i x="7978" nd="1"/>
        <i x="7979" nd="1"/>
        <i x="7980" nd="1"/>
        <i x="7981" nd="1"/>
        <i x="7982" nd="1"/>
        <i x="7983" nd="1"/>
        <i x="7984" nd="1"/>
        <i x="7985" nd="1"/>
        <i x="7986" nd="1"/>
        <i x="7987" nd="1"/>
        <i x="7988" nd="1"/>
        <i x="7989" nd="1"/>
        <i x="7990" nd="1"/>
        <i x="7991" nd="1"/>
        <i x="7992" nd="1"/>
        <i x="7993" nd="1"/>
        <i x="7994" nd="1"/>
        <i x="7995" nd="1"/>
        <i x="7996" nd="1"/>
        <i x="7997" nd="1"/>
        <i x="7998" nd="1"/>
        <i x="7999" nd="1"/>
        <i x="8000" nd="1"/>
        <i x="8001" nd="1"/>
        <i x="8002" nd="1"/>
        <i x="8003" nd="1"/>
        <i x="8004" nd="1"/>
        <i x="8005" nd="1"/>
        <i x="8006" nd="1"/>
        <i x="8007" nd="1"/>
        <i x="8008" nd="1"/>
        <i x="8009" nd="1"/>
        <i x="8010" nd="1"/>
        <i x="8011" nd="1"/>
        <i x="8012" nd="1"/>
        <i x="8013" nd="1"/>
        <i x="8014" nd="1"/>
        <i x="8015" nd="1"/>
        <i x="8016" nd="1"/>
        <i x="8017" nd="1"/>
        <i x="8018" nd="1"/>
        <i x="8019" nd="1"/>
        <i x="8020" nd="1"/>
        <i x="8021" nd="1"/>
        <i x="8022" nd="1"/>
        <i x="8023" nd="1"/>
        <i x="8024" nd="1"/>
        <i x="8025" nd="1"/>
        <i x="8026" nd="1"/>
        <i x="8027" nd="1"/>
        <i x="8028" nd="1"/>
        <i x="8029" nd="1"/>
        <i x="8030" nd="1"/>
        <i x="8031" nd="1"/>
        <i x="8032" nd="1"/>
        <i x="8033" nd="1"/>
        <i x="8034" nd="1"/>
        <i x="8035" nd="1"/>
        <i x="8036" nd="1"/>
        <i x="8037" nd="1"/>
        <i x="8038" nd="1"/>
        <i x="8039" nd="1"/>
        <i x="8040" nd="1"/>
        <i x="8041" nd="1"/>
        <i x="8042" nd="1"/>
        <i x="8043" nd="1"/>
        <i x="8044" nd="1"/>
        <i x="8045" nd="1"/>
        <i x="8046" nd="1"/>
        <i x="8047" nd="1"/>
        <i x="8048" nd="1"/>
        <i x="8049" nd="1"/>
        <i x="8050" nd="1"/>
        <i x="8051" nd="1"/>
        <i x="8052" nd="1"/>
        <i x="8053" nd="1"/>
        <i x="8054" nd="1"/>
        <i x="8055" nd="1"/>
        <i x="8056" nd="1"/>
        <i x="8057" nd="1"/>
        <i x="8058" nd="1"/>
        <i x="8059" nd="1"/>
        <i x="8060" nd="1"/>
        <i x="8061" nd="1"/>
        <i x="8062" nd="1"/>
        <i x="8063" nd="1"/>
        <i x="8064" nd="1"/>
        <i x="8065" nd="1"/>
        <i x="8066" nd="1"/>
        <i x="8067" nd="1"/>
        <i x="8068" nd="1"/>
        <i x="8069" nd="1"/>
        <i x="8070" nd="1"/>
        <i x="8071" nd="1"/>
        <i x="8072" nd="1"/>
        <i x="8073" nd="1"/>
        <i x="8074" nd="1"/>
        <i x="8075" nd="1"/>
        <i x="8076" nd="1"/>
        <i x="8077" nd="1"/>
        <i x="8078" nd="1"/>
        <i x="8079" nd="1"/>
        <i x="8080" nd="1"/>
        <i x="8081" nd="1"/>
        <i x="8082" nd="1"/>
        <i x="8083" nd="1"/>
        <i x="8084" nd="1"/>
        <i x="8085" nd="1"/>
        <i x="8086" nd="1"/>
        <i x="8087" nd="1"/>
        <i x="8088" nd="1"/>
        <i x="8089" nd="1"/>
        <i x="8090" nd="1"/>
        <i x="8091" nd="1"/>
        <i x="8092" nd="1"/>
        <i x="8093" nd="1"/>
        <i x="8094" nd="1"/>
        <i x="8095" nd="1"/>
        <i x="8096" nd="1"/>
        <i x="8097" nd="1"/>
        <i x="8098" nd="1"/>
        <i x="8099" nd="1"/>
        <i x="8100" nd="1"/>
        <i x="8101" nd="1"/>
        <i x="8102" nd="1"/>
        <i x="8103" nd="1"/>
        <i x="8104" nd="1"/>
        <i x="8105" nd="1"/>
        <i x="8106" nd="1"/>
        <i x="8107" nd="1"/>
        <i x="8108" nd="1"/>
        <i x="8109" nd="1"/>
        <i x="8110" nd="1"/>
        <i x="8111" nd="1"/>
        <i x="8112" nd="1"/>
        <i x="8113" nd="1"/>
        <i x="8114" nd="1"/>
        <i x="8115" nd="1"/>
        <i x="8116" nd="1"/>
        <i x="8117" nd="1"/>
        <i x="8118" nd="1"/>
        <i x="8119" nd="1"/>
        <i x="8120" nd="1"/>
        <i x="8121" nd="1"/>
        <i x="8122" nd="1"/>
        <i x="8123" nd="1"/>
        <i x="8124" nd="1"/>
        <i x="8125" nd="1"/>
        <i x="8126" nd="1"/>
        <i x="8127" nd="1"/>
        <i x="8128" nd="1"/>
        <i x="8129" nd="1"/>
        <i x="8130" nd="1"/>
        <i x="8131" nd="1"/>
        <i x="8132" nd="1"/>
        <i x="8133" nd="1"/>
        <i x="8134" nd="1"/>
        <i x="8135" nd="1"/>
        <i x="8136" nd="1"/>
        <i x="8137" nd="1"/>
        <i x="8138" nd="1"/>
        <i x="8139" nd="1"/>
        <i x="8140" nd="1"/>
        <i x="8141" nd="1"/>
        <i x="8142" nd="1"/>
        <i x="8143" nd="1"/>
        <i x="8144" nd="1"/>
        <i x="8145" nd="1"/>
        <i x="8146" nd="1"/>
        <i x="8147" nd="1"/>
        <i x="8148" nd="1"/>
        <i x="8149" nd="1"/>
        <i x="8150" nd="1"/>
        <i x="8151" nd="1"/>
        <i x="8152" nd="1"/>
        <i x="8153" nd="1"/>
        <i x="8154" nd="1"/>
        <i x="8155" nd="1"/>
        <i x="8156" nd="1"/>
        <i x="8157" nd="1"/>
        <i x="8158" nd="1"/>
        <i x="8159" nd="1"/>
        <i x="8160" nd="1"/>
        <i x="8161" nd="1"/>
        <i x="8162" nd="1"/>
        <i x="8163" nd="1"/>
        <i x="8164" nd="1"/>
        <i x="8165" nd="1"/>
        <i x="8166" nd="1"/>
        <i x="8167" nd="1"/>
        <i x="8168" nd="1"/>
        <i x="8169" nd="1"/>
        <i x="8170" nd="1"/>
        <i x="8171" nd="1"/>
        <i x="8172" nd="1"/>
        <i x="8173" nd="1"/>
        <i x="8174" nd="1"/>
        <i x="8175" nd="1"/>
        <i x="8176" nd="1"/>
        <i x="8177" nd="1"/>
        <i x="8178" nd="1"/>
        <i x="8179" nd="1"/>
        <i x="8180" nd="1"/>
        <i x="8181" nd="1"/>
        <i x="8182" nd="1"/>
        <i x="8183" nd="1"/>
        <i x="8184" nd="1"/>
        <i x="8185" nd="1"/>
        <i x="8186" nd="1"/>
        <i x="8187" nd="1"/>
        <i x="8188" nd="1"/>
        <i x="8189" nd="1"/>
        <i x="8190" nd="1"/>
        <i x="8191" nd="1"/>
        <i x="8192" nd="1"/>
        <i x="8193" nd="1"/>
        <i x="8194" nd="1"/>
        <i x="8195" nd="1"/>
        <i x="8196" nd="1"/>
        <i x="8197" nd="1"/>
        <i x="8198" nd="1"/>
        <i x="8199" nd="1"/>
        <i x="8200" nd="1"/>
        <i x="8201" nd="1"/>
        <i x="8202" nd="1"/>
        <i x="8203" nd="1"/>
        <i x="8204" nd="1"/>
        <i x="8205" nd="1"/>
        <i x="8206" nd="1"/>
        <i x="8207" nd="1"/>
        <i x="8208" nd="1"/>
        <i x="8209" nd="1"/>
        <i x="8210" nd="1"/>
        <i x="8211" nd="1"/>
        <i x="8212" nd="1"/>
        <i x="8213" nd="1"/>
        <i x="8214" nd="1"/>
        <i x="8215" nd="1"/>
        <i x="8216" nd="1"/>
        <i x="8217" nd="1"/>
        <i x="8218" nd="1"/>
        <i x="8219" nd="1"/>
        <i x="8220" nd="1"/>
        <i x="8221" nd="1"/>
        <i x="8222" nd="1"/>
        <i x="8223" nd="1"/>
        <i x="8224" nd="1"/>
        <i x="8225" nd="1"/>
        <i x="8226" nd="1"/>
        <i x="8227" nd="1"/>
        <i x="8228" nd="1"/>
        <i x="8229" nd="1"/>
        <i x="8230" nd="1"/>
        <i x="8231" nd="1"/>
        <i x="8232" nd="1"/>
        <i x="8233" nd="1"/>
        <i x="8234" nd="1"/>
        <i x="8235" nd="1"/>
        <i x="8236" nd="1"/>
        <i x="8237" nd="1"/>
        <i x="8238" nd="1"/>
        <i x="8239" nd="1"/>
        <i x="8240" nd="1"/>
        <i x="8241" nd="1"/>
        <i x="8242" nd="1"/>
        <i x="8243" nd="1"/>
        <i x="8244" nd="1"/>
        <i x="8245" nd="1"/>
        <i x="8246" nd="1"/>
        <i x="8247" nd="1"/>
        <i x="8248" nd="1"/>
        <i x="8249" nd="1"/>
        <i x="8250" nd="1"/>
        <i x="8251" nd="1"/>
        <i x="8252" nd="1"/>
        <i x="8253" nd="1"/>
        <i x="8254" nd="1"/>
        <i x="8255" nd="1"/>
        <i x="8256" nd="1"/>
        <i x="8257" nd="1"/>
        <i x="8258" nd="1"/>
        <i x="8259" nd="1"/>
        <i x="8260" nd="1"/>
        <i x="8261" nd="1"/>
        <i x="8262" nd="1"/>
        <i x="8263" nd="1"/>
        <i x="8264" nd="1"/>
        <i x="8265" nd="1"/>
        <i x="8266" nd="1"/>
        <i x="8267" nd="1"/>
        <i x="8268" nd="1"/>
        <i x="8269" nd="1"/>
        <i x="8270" nd="1"/>
        <i x="8271" nd="1"/>
        <i x="8272" nd="1"/>
        <i x="8273" nd="1"/>
        <i x="8274" nd="1"/>
        <i x="8275" nd="1"/>
        <i x="8276" nd="1"/>
        <i x="8277" nd="1"/>
        <i x="8278" nd="1"/>
        <i x="8279" nd="1"/>
        <i x="8280" nd="1"/>
        <i x="8281" nd="1"/>
        <i x="8282" nd="1"/>
        <i x="8283" nd="1"/>
        <i x="8284" nd="1"/>
        <i x="8285" nd="1"/>
        <i x="8286" nd="1"/>
        <i x="8287" nd="1"/>
        <i x="8288" nd="1"/>
        <i x="8289" nd="1"/>
        <i x="8290" nd="1"/>
        <i x="8291" nd="1"/>
        <i x="8292" nd="1"/>
        <i x="8293" nd="1"/>
        <i x="8294" nd="1"/>
        <i x="8295" nd="1"/>
        <i x="8296" nd="1"/>
        <i x="8297" nd="1"/>
        <i x="8298" nd="1"/>
        <i x="8299" nd="1"/>
        <i x="8300" nd="1"/>
        <i x="8301" nd="1"/>
        <i x="8302" nd="1"/>
        <i x="8303" nd="1"/>
        <i x="8304" nd="1"/>
        <i x="8305" nd="1"/>
        <i x="8306" nd="1"/>
        <i x="8307" nd="1"/>
        <i x="8308" nd="1"/>
        <i x="8309" nd="1"/>
        <i x="8310" nd="1"/>
        <i x="8311" nd="1"/>
        <i x="8312" nd="1"/>
        <i x="8313" nd="1"/>
        <i x="8314" nd="1"/>
        <i x="8315" nd="1"/>
        <i x="8316" nd="1"/>
        <i x="8317" nd="1"/>
        <i x="8318" nd="1"/>
        <i x="8319" nd="1"/>
        <i x="8320" nd="1"/>
        <i x="8321" nd="1"/>
        <i x="8322" nd="1"/>
        <i x="8323" nd="1"/>
        <i x="8324" nd="1"/>
        <i x="8325" nd="1"/>
        <i x="8326" nd="1"/>
        <i x="8327" nd="1"/>
        <i x="8328" nd="1"/>
        <i x="8329" nd="1"/>
        <i x="8330" nd="1"/>
        <i x="8331" nd="1"/>
        <i x="8332" nd="1"/>
        <i x="8333" nd="1"/>
        <i x="8334" nd="1"/>
        <i x="8335" nd="1"/>
        <i x="8336" nd="1"/>
        <i x="8337" nd="1"/>
        <i x="8338" nd="1"/>
        <i x="8339" nd="1"/>
        <i x="8340" nd="1"/>
        <i x="8341" nd="1"/>
        <i x="8342" nd="1"/>
        <i x="8343" nd="1"/>
        <i x="8344" nd="1"/>
        <i x="8345" nd="1"/>
        <i x="8346" nd="1"/>
        <i x="8347" nd="1"/>
        <i x="8348" nd="1"/>
        <i x="8349" nd="1"/>
        <i x="8350" nd="1"/>
        <i x="8351" nd="1"/>
        <i x="8352" nd="1"/>
        <i x="8353" nd="1"/>
        <i x="8354" nd="1"/>
        <i x="8355" nd="1"/>
        <i x="8356" nd="1"/>
        <i x="8357" nd="1"/>
        <i x="8358" nd="1"/>
        <i x="8359" nd="1"/>
        <i x="8360" nd="1"/>
        <i x="8361" nd="1"/>
        <i x="8362" nd="1"/>
        <i x="8363" nd="1"/>
        <i x="8364" nd="1"/>
        <i x="8365" nd="1"/>
        <i x="8366" nd="1"/>
        <i x="8367" nd="1"/>
        <i x="8368" nd="1"/>
        <i x="8369" nd="1"/>
        <i x="8370" nd="1"/>
        <i x="8371" nd="1"/>
        <i x="8372" nd="1"/>
        <i x="8373" nd="1"/>
        <i x="8374" nd="1"/>
        <i x="8375" nd="1"/>
        <i x="8376" nd="1"/>
        <i x="8377" nd="1"/>
        <i x="8378" nd="1"/>
        <i x="8379" nd="1"/>
        <i x="8380" nd="1"/>
        <i x="8381" nd="1"/>
        <i x="8382" nd="1"/>
        <i x="8383" nd="1"/>
        <i x="8384" nd="1"/>
        <i x="8385" nd="1"/>
        <i x="8386" nd="1"/>
        <i x="8387" nd="1"/>
        <i x="8388" nd="1"/>
        <i x="8389" nd="1"/>
        <i x="8390" nd="1"/>
        <i x="8391" nd="1"/>
        <i x="8392" nd="1"/>
        <i x="8393" nd="1"/>
        <i x="8394" nd="1"/>
        <i x="8395" nd="1"/>
        <i x="8396" nd="1"/>
        <i x="8397" nd="1"/>
        <i x="8398" nd="1"/>
        <i x="8399" nd="1"/>
        <i x="8400" nd="1"/>
        <i x="8401" nd="1"/>
        <i x="8402" nd="1"/>
        <i x="8403" nd="1"/>
        <i x="8404" nd="1"/>
        <i x="8405" nd="1"/>
        <i x="8406" nd="1"/>
        <i x="8407" nd="1"/>
        <i x="8408" nd="1"/>
        <i x="8409" nd="1"/>
        <i x="8410" nd="1"/>
        <i x="8411" nd="1"/>
        <i x="8412" nd="1"/>
        <i x="8413" nd="1"/>
        <i x="8414" nd="1"/>
        <i x="8415" nd="1"/>
        <i x="8416" nd="1"/>
        <i x="8417" nd="1"/>
        <i x="8418" nd="1"/>
        <i x="8419" nd="1"/>
        <i x="8420" nd="1"/>
        <i x="8421" nd="1"/>
        <i x="8422" nd="1"/>
        <i x="8423" nd="1"/>
        <i x="8424" nd="1"/>
        <i x="8425" nd="1"/>
        <i x="8426" nd="1"/>
        <i x="8427" nd="1"/>
        <i x="8428" nd="1"/>
        <i x="8429" nd="1"/>
        <i x="8430" nd="1"/>
        <i x="8431" nd="1"/>
        <i x="8432" nd="1"/>
        <i x="8433" nd="1"/>
        <i x="8434" nd="1"/>
        <i x="8435" nd="1"/>
        <i x="8436" nd="1"/>
        <i x="8437" nd="1"/>
        <i x="8438" nd="1"/>
        <i x="8439" nd="1"/>
        <i x="8440" nd="1"/>
        <i x="8441" nd="1"/>
        <i x="8442" nd="1"/>
        <i x="8443" nd="1"/>
        <i x="8444" nd="1"/>
        <i x="8445" nd="1"/>
        <i x="8446" nd="1"/>
        <i x="8447" nd="1"/>
        <i x="8448" nd="1"/>
        <i x="8449" nd="1"/>
        <i x="8450" nd="1"/>
        <i x="8451" nd="1"/>
        <i x="8452" nd="1"/>
        <i x="8453" nd="1"/>
        <i x="8454" nd="1"/>
        <i x="8455" nd="1"/>
        <i x="8456" nd="1"/>
        <i x="8457" nd="1"/>
        <i x="8458" nd="1"/>
        <i x="8459" nd="1"/>
        <i x="8460" nd="1"/>
        <i x="8461" nd="1"/>
        <i x="8462" nd="1"/>
        <i x="8463" nd="1"/>
        <i x="8464" nd="1"/>
        <i x="8465" nd="1"/>
        <i x="8466" nd="1"/>
        <i x="8467" nd="1"/>
        <i x="8468" nd="1"/>
        <i x="8469" nd="1"/>
        <i x="8470" nd="1"/>
        <i x="8471" nd="1"/>
        <i x="8472" nd="1"/>
        <i x="8473" nd="1"/>
        <i x="8474" nd="1"/>
        <i x="8475" nd="1"/>
        <i x="8476" nd="1"/>
        <i x="8477" nd="1"/>
        <i x="8478" nd="1"/>
        <i x="8479" nd="1"/>
        <i x="8480" nd="1"/>
        <i x="8481" nd="1"/>
        <i x="8482" nd="1"/>
        <i x="8483" nd="1"/>
        <i x="8484" nd="1"/>
        <i x="8485" nd="1"/>
        <i x="8486" nd="1"/>
        <i x="8487" nd="1"/>
        <i x="8488" nd="1"/>
        <i x="8489" nd="1"/>
        <i x="8490" nd="1"/>
        <i x="8491" nd="1"/>
        <i x="8492" nd="1"/>
        <i x="8493" nd="1"/>
        <i x="8494" nd="1"/>
        <i x="8495" nd="1"/>
        <i x="8496" nd="1"/>
        <i x="8497" nd="1"/>
        <i x="8498" nd="1"/>
        <i x="8499" nd="1"/>
        <i x="8500" nd="1"/>
        <i x="8501" nd="1"/>
        <i x="8502" nd="1"/>
        <i x="8503" nd="1"/>
        <i x="8504" nd="1"/>
        <i x="8505" nd="1"/>
        <i x="8506" nd="1"/>
        <i x="8507" nd="1"/>
        <i x="8508" nd="1"/>
        <i x="8509" nd="1"/>
        <i x="8510" nd="1"/>
        <i x="8511" nd="1"/>
        <i x="8512" nd="1"/>
        <i x="8513" nd="1"/>
        <i x="8514" nd="1"/>
        <i x="8515" nd="1"/>
        <i x="8516" nd="1"/>
        <i x="8517" nd="1"/>
        <i x="8518" nd="1"/>
        <i x="8519" nd="1"/>
        <i x="8520" nd="1"/>
        <i x="8521" nd="1"/>
        <i x="8522" nd="1"/>
        <i x="8523" nd="1"/>
        <i x="8524" nd="1"/>
        <i x="8525" nd="1"/>
        <i x="8526" nd="1"/>
        <i x="8527" nd="1"/>
        <i x="8528" nd="1"/>
        <i x="8529" nd="1"/>
        <i x="8530" nd="1"/>
        <i x="8531" nd="1"/>
        <i x="8532" nd="1"/>
        <i x="8533" nd="1"/>
        <i x="8534" nd="1"/>
        <i x="8535" nd="1"/>
        <i x="8536" nd="1"/>
        <i x="8537" nd="1"/>
        <i x="8538" nd="1"/>
        <i x="8539" nd="1"/>
        <i x="8540" nd="1"/>
        <i x="8541" nd="1"/>
        <i x="8542" nd="1"/>
        <i x="8543" nd="1"/>
        <i x="8544" nd="1"/>
        <i x="8545" nd="1"/>
        <i x="8546" nd="1"/>
        <i x="8547" nd="1"/>
        <i x="8548" nd="1"/>
        <i x="8549" nd="1"/>
        <i x="8550" nd="1"/>
        <i x="8551" nd="1"/>
        <i x="8552" nd="1"/>
        <i x="8553" nd="1"/>
        <i x="8554" nd="1"/>
        <i x="8555" nd="1"/>
        <i x="8556" nd="1"/>
        <i x="8557" nd="1"/>
        <i x="8558" nd="1"/>
        <i x="8559" nd="1"/>
        <i x="8560" nd="1"/>
        <i x="8561" nd="1"/>
        <i x="8562" nd="1"/>
        <i x="8563" nd="1"/>
        <i x="8564" nd="1"/>
        <i x="8565" nd="1"/>
        <i x="8566" nd="1"/>
        <i x="8567" nd="1"/>
        <i x="8568" nd="1"/>
        <i x="8569" nd="1"/>
        <i x="8570" nd="1"/>
        <i x="8571" nd="1"/>
        <i x="8572" nd="1"/>
        <i x="8573" nd="1"/>
        <i x="8574" nd="1"/>
        <i x="8575" nd="1"/>
        <i x="8576" nd="1"/>
        <i x="8577" nd="1"/>
        <i x="8578" nd="1"/>
        <i x="8579" nd="1"/>
        <i x="8580" nd="1"/>
        <i x="8581" nd="1"/>
        <i x="8582" nd="1"/>
        <i x="8583" nd="1"/>
        <i x="8584" nd="1"/>
        <i x="8585" nd="1"/>
        <i x="8586" nd="1"/>
        <i x="8587" nd="1"/>
        <i x="8588" nd="1"/>
        <i x="8589" nd="1"/>
        <i x="8590" nd="1"/>
        <i x="8591" nd="1"/>
        <i x="8592" nd="1"/>
        <i x="8593" nd="1"/>
        <i x="8594" nd="1"/>
        <i x="8595" nd="1"/>
        <i x="8596" nd="1"/>
        <i x="8597" nd="1"/>
        <i x="8598" nd="1"/>
        <i x="8599" nd="1"/>
        <i x="8600" nd="1"/>
        <i x="8601" nd="1"/>
        <i x="8602" nd="1"/>
        <i x="8603" nd="1"/>
        <i x="8604" nd="1"/>
        <i x="8605" nd="1"/>
        <i x="8606" nd="1"/>
        <i x="8607" nd="1"/>
        <i x="8608" nd="1"/>
        <i x="8609" nd="1"/>
        <i x="8610" nd="1"/>
        <i x="8611" nd="1"/>
        <i x="8612" nd="1"/>
        <i x="8613" nd="1"/>
        <i x="8614" nd="1"/>
        <i x="8615" nd="1"/>
        <i x="8616" nd="1"/>
        <i x="8617" nd="1"/>
        <i x="8618" nd="1"/>
        <i x="8619" nd="1"/>
        <i x="8620" nd="1"/>
        <i x="8621" nd="1"/>
        <i x="8622" nd="1"/>
        <i x="8623" nd="1"/>
        <i x="8624" nd="1"/>
        <i x="8625" nd="1"/>
        <i x="8626" nd="1"/>
        <i x="8627" nd="1"/>
        <i x="8628" nd="1"/>
        <i x="8629" nd="1"/>
        <i x="8630" nd="1"/>
        <i x="8631" nd="1"/>
        <i x="8632" nd="1"/>
        <i x="8633" nd="1"/>
        <i x="8634" nd="1"/>
        <i x="8635" nd="1"/>
        <i x="8636" nd="1"/>
        <i x="8637" nd="1"/>
        <i x="8638" nd="1"/>
        <i x="8639" nd="1"/>
        <i x="8640" nd="1"/>
        <i x="8641" nd="1"/>
        <i x="8642" nd="1"/>
        <i x="8643" nd="1"/>
        <i x="8644" nd="1"/>
        <i x="8645" nd="1"/>
        <i x="8646" nd="1"/>
        <i x="8647" nd="1"/>
        <i x="8648" nd="1"/>
        <i x="8649" nd="1"/>
        <i x="8650" nd="1"/>
        <i x="8651" nd="1"/>
        <i x="8652" nd="1"/>
        <i x="8653" nd="1"/>
        <i x="8654" nd="1"/>
        <i x="8655" nd="1"/>
        <i x="8656" nd="1"/>
        <i x="8657" nd="1"/>
        <i x="8658" nd="1"/>
        <i x="8659" nd="1"/>
        <i x="8660" nd="1"/>
        <i x="8661" nd="1"/>
        <i x="8662" nd="1"/>
        <i x="8663" nd="1"/>
        <i x="8664" nd="1"/>
        <i x="8665" nd="1"/>
        <i x="8666" nd="1"/>
        <i x="8667" nd="1"/>
        <i x="8668" nd="1"/>
        <i x="8669" nd="1"/>
        <i x="8670" nd="1"/>
        <i x="8671" nd="1"/>
        <i x="8672" nd="1"/>
        <i x="8673" nd="1"/>
        <i x="8674" nd="1"/>
        <i x="8675" nd="1"/>
        <i x="8676" nd="1"/>
        <i x="8677" nd="1"/>
        <i x="8678" nd="1"/>
        <i x="8679" nd="1"/>
        <i x="8680" nd="1"/>
        <i x="8681" nd="1"/>
        <i x="8682" nd="1"/>
        <i x="8683" nd="1"/>
        <i x="8684" nd="1"/>
        <i x="8685" nd="1"/>
        <i x="8686" nd="1"/>
        <i x="8687" nd="1"/>
        <i x="8688" nd="1"/>
        <i x="8689" nd="1"/>
        <i x="8690" nd="1"/>
        <i x="8691" nd="1"/>
        <i x="8692" nd="1"/>
        <i x="8693" nd="1"/>
        <i x="8694" nd="1"/>
        <i x="8695" nd="1"/>
        <i x="8696" nd="1"/>
        <i x="8697" nd="1"/>
        <i x="8698" nd="1"/>
        <i x="8699" nd="1"/>
        <i x="8700" nd="1"/>
        <i x="8701" nd="1"/>
        <i x="8702" nd="1"/>
        <i x="8703" nd="1"/>
        <i x="8704" nd="1"/>
        <i x="8705" nd="1"/>
        <i x="8706" nd="1"/>
        <i x="8707" nd="1"/>
        <i x="8708" nd="1"/>
        <i x="8709" nd="1"/>
        <i x="8710" nd="1"/>
        <i x="8711" nd="1"/>
        <i x="8712" nd="1"/>
        <i x="8713" nd="1"/>
        <i x="8714" nd="1"/>
        <i x="8715" nd="1"/>
        <i x="8716" nd="1"/>
        <i x="8717" nd="1"/>
        <i x="8718" nd="1"/>
        <i x="8719" nd="1"/>
        <i x="8720" nd="1"/>
        <i x="8721" nd="1"/>
        <i x="8722" nd="1"/>
        <i x="8723" nd="1"/>
        <i x="8724" nd="1"/>
        <i x="8725" nd="1"/>
        <i x="8726" nd="1"/>
        <i x="8727" nd="1"/>
        <i x="8728" nd="1"/>
        <i x="8729" nd="1"/>
        <i x="8730" nd="1"/>
        <i x="8731" nd="1"/>
        <i x="8732" nd="1"/>
        <i x="8733" nd="1"/>
        <i x="8734" nd="1"/>
        <i x="8735" nd="1"/>
        <i x="8736" nd="1"/>
        <i x="8737" nd="1"/>
        <i x="8738" nd="1"/>
        <i x="8739" nd="1"/>
        <i x="8740" nd="1"/>
        <i x="8741" nd="1"/>
        <i x="8742" nd="1"/>
        <i x="8743" nd="1"/>
        <i x="8744" nd="1"/>
        <i x="8745" nd="1"/>
        <i x="8746" nd="1"/>
        <i x="8747" nd="1"/>
        <i x="8748" nd="1"/>
        <i x="8749" nd="1"/>
        <i x="8750" nd="1"/>
        <i x="8751" nd="1"/>
        <i x="8752" nd="1"/>
        <i x="8753" nd="1"/>
        <i x="8754" nd="1"/>
        <i x="8755" nd="1"/>
        <i x="8756" nd="1"/>
        <i x="8757" nd="1"/>
        <i x="8758" nd="1"/>
        <i x="8759" nd="1"/>
        <i x="8760" nd="1"/>
        <i x="8761" nd="1"/>
        <i x="8762" nd="1"/>
        <i x="8763" nd="1"/>
        <i x="8764" nd="1"/>
        <i x="8765" nd="1"/>
        <i x="8766" nd="1"/>
        <i x="8767" nd="1"/>
        <i x="8768" nd="1"/>
        <i x="8769" nd="1"/>
        <i x="8770" nd="1"/>
        <i x="8771" nd="1"/>
        <i x="8772" nd="1"/>
        <i x="8773" nd="1"/>
        <i x="8774" nd="1"/>
        <i x="8775" nd="1"/>
        <i x="8776" nd="1"/>
        <i x="8777" nd="1"/>
        <i x="8778" nd="1"/>
        <i x="8779" nd="1"/>
        <i x="8780" nd="1"/>
        <i x="8781" nd="1"/>
        <i x="8782" nd="1"/>
        <i x="8783" nd="1"/>
        <i x="8784" nd="1"/>
        <i x="8785" nd="1"/>
        <i x="8786" nd="1"/>
        <i x="8787" nd="1"/>
        <i x="8788" nd="1"/>
        <i x="8789" nd="1"/>
        <i x="8790" nd="1"/>
        <i x="8791" nd="1"/>
        <i x="8792" nd="1"/>
        <i x="8793" nd="1"/>
        <i x="8794" nd="1"/>
        <i x="8795" nd="1"/>
        <i x="8796" nd="1"/>
        <i x="8797" nd="1"/>
        <i x="8798" nd="1"/>
        <i x="8799" nd="1"/>
        <i x="8800" nd="1"/>
        <i x="8801" nd="1"/>
        <i x="8802" nd="1"/>
        <i x="8803" nd="1"/>
        <i x="8804" nd="1"/>
        <i x="8805" nd="1"/>
        <i x="8806" nd="1"/>
        <i x="8807" nd="1"/>
        <i x="8808" nd="1"/>
        <i x="8809" nd="1"/>
        <i x="8810" nd="1"/>
        <i x="8811" nd="1"/>
        <i x="8812" nd="1"/>
        <i x="8813" nd="1"/>
        <i x="8814" nd="1"/>
        <i x="8815" nd="1"/>
        <i x="8816" nd="1"/>
        <i x="8817" nd="1"/>
        <i x="8818" nd="1"/>
        <i x="8819" nd="1"/>
        <i x="8820" nd="1"/>
        <i x="8821" nd="1"/>
        <i x="8822" nd="1"/>
        <i x="8823" nd="1"/>
        <i x="8824" nd="1"/>
        <i x="8825" nd="1"/>
        <i x="8826" nd="1"/>
        <i x="8827" nd="1"/>
        <i x="8828" nd="1"/>
        <i x="8829" nd="1"/>
        <i x="8830" nd="1"/>
        <i x="8831" nd="1"/>
        <i x="8832" nd="1"/>
        <i x="8833" nd="1"/>
        <i x="8834" nd="1"/>
        <i x="8835" nd="1"/>
        <i x="8836" nd="1"/>
        <i x="8837" nd="1"/>
        <i x="8838" nd="1"/>
        <i x="8839" nd="1"/>
        <i x="8840" nd="1"/>
        <i x="8841" nd="1"/>
        <i x="8842" nd="1"/>
        <i x="8843" nd="1"/>
        <i x="8844" nd="1"/>
        <i x="8845" nd="1"/>
        <i x="8846" nd="1"/>
        <i x="8847" nd="1"/>
        <i x="8848" nd="1"/>
        <i x="8849" nd="1"/>
        <i x="8850" nd="1"/>
        <i x="8851" nd="1"/>
        <i x="8852" nd="1"/>
        <i x="8853" nd="1"/>
        <i x="8854" nd="1"/>
        <i x="8855" nd="1"/>
        <i x="8856" nd="1"/>
        <i x="8857" nd="1"/>
        <i x="8858" nd="1"/>
        <i x="8859" nd="1"/>
        <i x="8860" nd="1"/>
        <i x="8861" nd="1"/>
        <i x="8862" nd="1"/>
        <i x="8863" nd="1"/>
        <i x="8864" nd="1"/>
        <i x="8865" nd="1"/>
        <i x="8866" nd="1"/>
        <i x="8867" nd="1"/>
        <i x="8868" nd="1"/>
        <i x="8869" nd="1"/>
        <i x="8870" nd="1"/>
        <i x="8871" nd="1"/>
        <i x="8872" nd="1"/>
        <i x="8873" nd="1"/>
        <i x="8874" nd="1"/>
        <i x="8875" nd="1"/>
        <i x="8876" nd="1"/>
        <i x="8877" nd="1"/>
        <i x="8878" nd="1"/>
        <i x="8879" nd="1"/>
        <i x="8880" nd="1"/>
        <i x="8881" nd="1"/>
        <i x="8882" nd="1"/>
        <i x="8883" nd="1"/>
        <i x="8884" nd="1"/>
        <i x="8885" nd="1"/>
        <i x="8886" nd="1"/>
        <i x="8887" nd="1"/>
        <i x="8888" nd="1"/>
        <i x="8889" nd="1"/>
        <i x="8890" nd="1"/>
        <i x="8891" nd="1"/>
        <i x="8892" nd="1"/>
        <i x="8893" nd="1"/>
        <i x="8894" nd="1"/>
        <i x="8895" nd="1"/>
        <i x="8896" nd="1"/>
        <i x="8897" nd="1"/>
        <i x="8898" nd="1"/>
        <i x="8899" nd="1"/>
        <i x="8900" nd="1"/>
        <i x="8901" nd="1"/>
        <i x="8902" nd="1"/>
        <i x="8903" nd="1"/>
        <i x="8904" nd="1"/>
        <i x="8905" nd="1"/>
        <i x="8906" nd="1"/>
        <i x="8907" nd="1"/>
        <i x="8908" nd="1"/>
        <i x="8909" nd="1"/>
        <i x="8910" nd="1"/>
        <i x="8911" nd="1"/>
        <i x="8912" nd="1"/>
        <i x="8913" nd="1"/>
        <i x="8914" nd="1"/>
        <i x="8915" nd="1"/>
        <i x="8916" nd="1"/>
        <i x="8917" nd="1"/>
        <i x="8918" nd="1"/>
        <i x="8919" nd="1"/>
        <i x="8920" nd="1"/>
        <i x="8921" nd="1"/>
        <i x="8922" nd="1"/>
        <i x="8923" nd="1"/>
        <i x="8924" nd="1"/>
        <i x="8925" nd="1"/>
        <i x="8926" nd="1"/>
        <i x="8927" nd="1"/>
        <i x="8928" nd="1"/>
        <i x="8929" nd="1"/>
        <i x="8930" nd="1"/>
        <i x="8931" nd="1"/>
        <i x="8932" nd="1"/>
        <i x="8933" nd="1"/>
        <i x="8934" nd="1"/>
        <i x="8935" nd="1"/>
        <i x="8936" nd="1"/>
        <i x="8937" nd="1"/>
        <i x="8938" nd="1"/>
        <i x="8939" nd="1"/>
        <i x="8940" nd="1"/>
        <i x="8941" nd="1"/>
        <i x="8942" nd="1"/>
        <i x="8943" nd="1"/>
        <i x="8944" nd="1"/>
        <i x="8945" nd="1"/>
        <i x="8946" nd="1"/>
        <i x="8947" nd="1"/>
        <i x="8948" nd="1"/>
        <i x="8949" nd="1"/>
        <i x="8950" nd="1"/>
        <i x="8951" nd="1"/>
        <i x="8952" nd="1"/>
        <i x="8953" nd="1"/>
        <i x="8954" nd="1"/>
        <i x="8955" nd="1"/>
        <i x="8956" nd="1"/>
        <i x="8957" nd="1"/>
        <i x="8958" nd="1"/>
        <i x="8959" nd="1"/>
        <i x="8960" nd="1"/>
        <i x="8961" nd="1"/>
        <i x="8962" nd="1"/>
        <i x="8963" nd="1"/>
        <i x="8964" nd="1"/>
        <i x="8965" nd="1"/>
        <i x="8966" nd="1"/>
        <i x="8967" nd="1"/>
        <i x="8968" nd="1"/>
        <i x="8969" nd="1"/>
        <i x="8970" nd="1"/>
        <i x="8971" nd="1"/>
        <i x="8972" nd="1"/>
        <i x="8973" nd="1"/>
        <i x="8974" nd="1"/>
        <i x="8975" nd="1"/>
        <i x="8976" nd="1"/>
        <i x="8977" nd="1"/>
        <i x="8978" nd="1"/>
        <i x="8979" nd="1"/>
        <i x="8980" nd="1"/>
        <i x="8981" nd="1"/>
        <i x="8982" nd="1"/>
        <i x="8983" nd="1"/>
        <i x="8984" nd="1"/>
        <i x="8985" nd="1"/>
        <i x="8986" nd="1"/>
        <i x="8987" nd="1"/>
        <i x="8988" nd="1"/>
        <i x="8989" nd="1"/>
        <i x="8990" nd="1"/>
        <i x="8991" nd="1"/>
        <i x="8992" nd="1"/>
        <i x="8993" nd="1"/>
        <i x="8994" nd="1"/>
        <i x="8995" nd="1"/>
        <i x="8996" nd="1"/>
        <i x="8997" nd="1"/>
        <i x="8998" nd="1"/>
        <i x="8999" nd="1"/>
        <i x="9000" nd="1"/>
        <i x="9001" nd="1"/>
        <i x="9002" nd="1"/>
        <i x="9003" nd="1"/>
        <i x="9004" nd="1"/>
        <i x="9005" nd="1"/>
        <i x="9006" nd="1"/>
        <i x="9007" nd="1"/>
        <i x="9008" nd="1"/>
        <i x="9009" nd="1"/>
        <i x="9010" nd="1"/>
        <i x="9011" nd="1"/>
        <i x="9012" nd="1"/>
        <i x="9013" nd="1"/>
        <i x="9014" nd="1"/>
        <i x="9015" nd="1"/>
        <i x="9016" nd="1"/>
        <i x="9017" nd="1"/>
        <i x="9018" nd="1"/>
        <i x="9019" nd="1"/>
        <i x="9020" nd="1"/>
        <i x="9021" nd="1"/>
        <i x="9022" nd="1"/>
        <i x="9023" nd="1"/>
        <i x="9024" nd="1"/>
        <i x="9025" nd="1"/>
        <i x="9026" nd="1"/>
        <i x="9027" nd="1"/>
        <i x="9028" nd="1"/>
        <i x="9029" nd="1"/>
        <i x="9030" nd="1"/>
        <i x="9031" nd="1"/>
        <i x="9032" nd="1"/>
        <i x="9033" nd="1"/>
        <i x="9034" nd="1"/>
        <i x="9035" nd="1"/>
        <i x="9036" nd="1"/>
        <i x="9037" nd="1"/>
        <i x="9038" nd="1"/>
        <i x="9039" nd="1"/>
        <i x="9040" nd="1"/>
        <i x="9041" nd="1"/>
        <i x="9042" nd="1"/>
        <i x="9043" nd="1"/>
        <i x="9044" nd="1"/>
        <i x="9045" nd="1"/>
        <i x="9046" nd="1"/>
        <i x="9047" nd="1"/>
        <i x="9048" nd="1"/>
        <i x="9049" nd="1"/>
        <i x="9050" nd="1"/>
        <i x="9051" nd="1"/>
        <i x="9052" nd="1"/>
        <i x="9053" nd="1"/>
        <i x="9054" nd="1"/>
        <i x="9055" nd="1"/>
        <i x="9056" nd="1"/>
        <i x="9057" nd="1"/>
        <i x="9058" nd="1"/>
        <i x="9059" nd="1"/>
        <i x="9060" nd="1"/>
        <i x="9061" nd="1"/>
        <i x="9062" nd="1"/>
        <i x="9063" nd="1"/>
        <i x="9064" nd="1"/>
        <i x="9065" nd="1"/>
        <i x="9066" nd="1"/>
        <i x="9067" nd="1"/>
        <i x="9068" nd="1"/>
        <i x="9069" nd="1"/>
        <i x="9070" nd="1"/>
        <i x="9071" nd="1"/>
        <i x="9072" nd="1"/>
        <i x="9073" nd="1"/>
        <i x="9074" nd="1"/>
        <i x="9075" nd="1"/>
        <i x="9076" nd="1"/>
        <i x="9077" nd="1"/>
        <i x="9078" nd="1"/>
        <i x="9079" nd="1"/>
        <i x="9080" nd="1"/>
        <i x="9081" nd="1"/>
        <i x="9082" nd="1"/>
        <i x="9083" nd="1"/>
        <i x="9084" nd="1"/>
        <i x="9085" nd="1"/>
        <i x="9086" nd="1"/>
        <i x="9087" nd="1"/>
        <i x="9088" nd="1"/>
        <i x="9089" nd="1"/>
        <i x="9090" nd="1"/>
        <i x="9091" nd="1"/>
        <i x="9092" nd="1"/>
        <i x="9093" nd="1"/>
        <i x="9094" nd="1"/>
        <i x="9095" nd="1"/>
        <i x="9096" nd="1"/>
        <i x="9097" nd="1"/>
        <i x="9098" nd="1"/>
        <i x="9099" nd="1"/>
        <i x="9100" nd="1"/>
        <i x="9101" nd="1"/>
        <i x="9102" nd="1"/>
        <i x="9103" nd="1"/>
        <i x="9104" nd="1"/>
        <i x="9105" nd="1"/>
        <i x="9106" nd="1"/>
        <i x="9107" nd="1"/>
        <i x="9108" nd="1"/>
        <i x="9109" nd="1"/>
        <i x="9110" nd="1"/>
        <i x="9111" nd="1"/>
        <i x="9112" nd="1"/>
        <i x="9113" nd="1"/>
        <i x="9114" nd="1"/>
        <i x="9115" nd="1"/>
        <i x="9116" nd="1"/>
        <i x="9117" nd="1"/>
        <i x="9118" nd="1"/>
        <i x="9119" nd="1"/>
        <i x="9120" nd="1"/>
        <i x="9121" nd="1"/>
        <i x="9122" nd="1"/>
        <i x="9123" nd="1"/>
        <i x="9124" nd="1"/>
        <i x="9125" nd="1"/>
        <i x="9126" nd="1"/>
        <i x="9127" nd="1"/>
        <i x="9128" nd="1"/>
        <i x="9129" nd="1"/>
        <i x="9130" nd="1"/>
        <i x="9131" nd="1"/>
        <i x="9132" nd="1"/>
        <i x="9133" nd="1"/>
        <i x="9134" nd="1"/>
        <i x="9135" nd="1"/>
        <i x="9136" nd="1"/>
        <i x="9137" nd="1"/>
        <i x="9138" nd="1"/>
        <i x="9139" nd="1"/>
        <i x="9140" nd="1"/>
        <i x="9141" nd="1"/>
        <i x="9142" nd="1"/>
        <i x="9143" nd="1"/>
        <i x="9144" nd="1"/>
        <i x="9145" nd="1"/>
        <i x="9146" nd="1"/>
        <i x="9147" nd="1"/>
        <i x="9148" nd="1"/>
        <i x="9149" nd="1"/>
        <i x="9150" nd="1"/>
        <i x="9151" nd="1"/>
        <i x="9152" nd="1"/>
        <i x="9153" nd="1"/>
        <i x="9154" nd="1"/>
        <i x="9155" nd="1"/>
        <i x="9156" nd="1"/>
        <i x="9157" nd="1"/>
        <i x="9158" nd="1"/>
        <i x="9159" nd="1"/>
        <i x="9160" nd="1"/>
        <i x="9161" nd="1"/>
        <i x="9162" nd="1"/>
        <i x="9163" nd="1"/>
        <i x="9164" nd="1"/>
        <i x="9165" nd="1"/>
        <i x="9166" nd="1"/>
        <i x="9167" nd="1"/>
        <i x="9168" nd="1"/>
        <i x="9169" nd="1"/>
        <i x="9170" nd="1"/>
        <i x="9171" nd="1"/>
        <i x="9172" nd="1"/>
        <i x="9173" nd="1"/>
        <i x="9174" nd="1"/>
        <i x="9175" nd="1"/>
        <i x="9176" nd="1"/>
        <i x="9177" nd="1"/>
        <i x="9178" nd="1"/>
        <i x="9179" nd="1"/>
        <i x="9180" nd="1"/>
        <i x="9181" nd="1"/>
        <i x="9182" nd="1"/>
        <i x="9183" nd="1"/>
        <i x="9184" nd="1"/>
        <i x="9185" nd="1"/>
        <i x="9186" nd="1"/>
        <i x="9187" nd="1"/>
        <i x="9188" nd="1"/>
        <i x="9189" nd="1"/>
        <i x="9190" nd="1"/>
        <i x="9191" nd="1"/>
        <i x="9192" nd="1"/>
        <i x="9193" nd="1"/>
        <i x="9194" nd="1"/>
        <i x="9195" nd="1"/>
        <i x="9196" nd="1"/>
        <i x="9197" nd="1"/>
        <i x="9198" nd="1"/>
        <i x="9199" nd="1"/>
        <i x="9200" nd="1"/>
        <i x="9201" nd="1"/>
        <i x="9202" nd="1"/>
        <i x="9203" nd="1"/>
        <i x="9204" nd="1"/>
        <i x="9205" nd="1"/>
        <i x="9206" nd="1"/>
        <i x="9207" nd="1"/>
        <i x="9208" nd="1"/>
        <i x="9209" nd="1"/>
        <i x="9210" nd="1"/>
        <i x="9211" nd="1"/>
        <i x="9212" nd="1"/>
        <i x="9213" nd="1"/>
        <i x="9214" nd="1"/>
        <i x="9215" nd="1"/>
        <i x="9216" nd="1"/>
        <i x="9217" nd="1"/>
        <i x="9218" nd="1"/>
        <i x="9219" nd="1"/>
        <i x="9220" nd="1"/>
        <i x="9221" nd="1"/>
        <i x="9222" nd="1"/>
        <i x="9223" nd="1"/>
        <i x="9224" nd="1"/>
        <i x="9225" nd="1"/>
        <i x="9226" nd="1"/>
        <i x="9227" nd="1"/>
        <i x="9228" nd="1"/>
        <i x="9229" nd="1"/>
        <i x="9230" nd="1"/>
        <i x="9231" nd="1"/>
        <i x="9232" nd="1"/>
        <i x="9233" nd="1"/>
        <i x="9234" nd="1"/>
        <i x="9235" nd="1"/>
        <i x="9236" nd="1"/>
        <i x="9237" nd="1"/>
        <i x="9238" nd="1"/>
        <i x="9239" nd="1"/>
        <i x="9240" nd="1"/>
        <i x="9241" nd="1"/>
        <i x="9242" nd="1"/>
        <i x="9243" nd="1"/>
        <i x="9244" nd="1"/>
        <i x="9245" nd="1"/>
        <i x="9246" nd="1"/>
        <i x="9247" nd="1"/>
        <i x="9248" nd="1"/>
        <i x="9249" nd="1"/>
        <i x="9250" nd="1"/>
        <i x="9251" nd="1"/>
        <i x="9252" nd="1"/>
        <i x="9253" nd="1"/>
        <i x="9254" nd="1"/>
        <i x="9255" nd="1"/>
        <i x="9256" nd="1"/>
        <i x="9257" nd="1"/>
        <i x="9258" nd="1"/>
        <i x="9259" nd="1"/>
        <i x="9260" nd="1"/>
        <i x="9261" nd="1"/>
        <i x="9262" nd="1"/>
        <i x="9263" nd="1"/>
        <i x="9264" nd="1"/>
        <i x="9265" nd="1"/>
        <i x="9266" nd="1"/>
        <i x="9267" nd="1"/>
        <i x="9268" nd="1"/>
        <i x="9269" nd="1"/>
        <i x="9270" nd="1"/>
        <i x="9271" nd="1"/>
        <i x="9272" nd="1"/>
        <i x="9273" nd="1"/>
        <i x="9274" nd="1"/>
        <i x="9275" nd="1"/>
        <i x="9276" nd="1"/>
        <i x="9277" nd="1"/>
        <i x="9278" nd="1"/>
        <i x="9279" nd="1"/>
        <i x="9280" nd="1"/>
        <i x="9281" nd="1"/>
        <i x="9282" nd="1"/>
        <i x="9283" nd="1"/>
        <i x="9284" nd="1"/>
        <i x="9285" nd="1"/>
        <i x="9286" nd="1"/>
        <i x="9287" nd="1"/>
        <i x="9288" nd="1"/>
        <i x="9289" nd="1"/>
        <i x="9290" nd="1"/>
        <i x="9291" nd="1"/>
        <i x="9292" nd="1"/>
        <i x="9293" nd="1"/>
        <i x="9294" nd="1"/>
        <i x="9295" nd="1"/>
        <i x="9296" nd="1"/>
        <i x="9297" nd="1"/>
        <i x="9298" nd="1"/>
        <i x="9299" nd="1"/>
        <i x="9300" nd="1"/>
        <i x="9301" nd="1"/>
        <i x="9302" nd="1"/>
        <i x="9303" nd="1"/>
        <i x="9304" nd="1"/>
        <i x="9305" nd="1"/>
        <i x="9306" nd="1"/>
        <i x="9307" nd="1"/>
        <i x="9308" nd="1"/>
        <i x="9309" nd="1"/>
        <i x="9310" nd="1"/>
        <i x="9311" nd="1"/>
        <i x="9312" nd="1"/>
        <i x="9313" nd="1"/>
        <i x="9314" nd="1"/>
        <i x="9315" nd="1"/>
        <i x="9316" nd="1"/>
        <i x="9317" nd="1"/>
        <i x="9318" nd="1"/>
        <i x="9319" nd="1"/>
        <i x="9320" nd="1"/>
        <i x="9321" nd="1"/>
        <i x="9322" nd="1"/>
        <i x="9323" nd="1"/>
        <i x="9324" nd="1"/>
        <i x="9325" nd="1"/>
        <i x="9326" nd="1"/>
        <i x="9327" nd="1"/>
        <i x="9328" nd="1"/>
        <i x="9329" nd="1"/>
        <i x="9330" nd="1"/>
        <i x="9331" nd="1"/>
        <i x="9332" nd="1"/>
        <i x="9333" nd="1"/>
        <i x="9334" nd="1"/>
        <i x="9335" nd="1"/>
        <i x="9336" nd="1"/>
        <i x="9337" nd="1"/>
        <i x="9338" nd="1"/>
        <i x="9339" nd="1"/>
        <i x="9340" nd="1"/>
        <i x="9341" nd="1"/>
        <i x="9342" nd="1"/>
        <i x="9343" nd="1"/>
        <i x="9344" nd="1"/>
        <i x="9345" nd="1"/>
        <i x="9346" nd="1"/>
        <i x="9347" nd="1"/>
        <i x="9348" nd="1"/>
        <i x="9349" nd="1"/>
        <i x="9350" nd="1"/>
        <i x="9351" nd="1"/>
        <i x="9352" nd="1"/>
        <i x="9353" nd="1"/>
        <i x="9354" nd="1"/>
        <i x="9355" nd="1"/>
        <i x="9356" nd="1"/>
        <i x="9357" nd="1"/>
        <i x="9358" nd="1"/>
        <i x="9359" nd="1"/>
        <i x="9360" nd="1"/>
        <i x="9361" nd="1"/>
        <i x="9362" nd="1"/>
        <i x="9363" nd="1"/>
        <i x="9364" nd="1"/>
        <i x="9365" nd="1"/>
        <i x="9366" nd="1"/>
        <i x="9367" nd="1"/>
        <i x="9368" nd="1"/>
        <i x="9369" nd="1"/>
        <i x="9370" nd="1"/>
        <i x="9371" nd="1"/>
        <i x="9372" nd="1"/>
        <i x="9373" nd="1"/>
        <i x="9374" nd="1"/>
        <i x="9375" nd="1"/>
        <i x="9376" nd="1"/>
        <i x="9377" nd="1"/>
        <i x="9378" nd="1"/>
        <i x="9379" nd="1"/>
        <i x="9380" nd="1"/>
        <i x="9381" nd="1"/>
        <i x="9382" nd="1"/>
        <i x="9383" nd="1"/>
        <i x="9384" nd="1"/>
        <i x="9385" nd="1"/>
        <i x="9386" nd="1"/>
        <i x="9387" nd="1"/>
        <i x="9388" nd="1"/>
        <i x="9389" nd="1"/>
        <i x="9390" nd="1"/>
        <i x="9391" nd="1"/>
        <i x="9392" nd="1"/>
        <i x="9393" nd="1"/>
        <i x="9394" nd="1"/>
        <i x="9395" nd="1"/>
        <i x="9396" nd="1"/>
        <i x="9397" nd="1"/>
        <i x="9398" nd="1"/>
        <i x="9399" nd="1"/>
        <i x="9400" nd="1"/>
        <i x="9401" nd="1"/>
        <i x="9402" nd="1"/>
        <i x="9403" nd="1"/>
        <i x="9404" nd="1"/>
        <i x="9405" nd="1"/>
        <i x="9406" nd="1"/>
        <i x="9407" nd="1"/>
        <i x="9408" nd="1"/>
        <i x="9409" nd="1"/>
        <i x="9410" nd="1"/>
        <i x="9411" nd="1"/>
        <i x="9412" nd="1"/>
        <i x="9413" nd="1"/>
        <i x="9414" nd="1"/>
        <i x="9415" nd="1"/>
        <i x="9416" nd="1"/>
        <i x="9417" nd="1"/>
        <i x="9418" nd="1"/>
        <i x="9419" nd="1"/>
        <i x="9420" nd="1"/>
        <i x="9421" nd="1"/>
        <i x="9422" nd="1"/>
        <i x="9423" nd="1"/>
        <i x="9424" nd="1"/>
        <i x="9425" nd="1"/>
        <i x="9426" nd="1"/>
        <i x="9427" nd="1"/>
        <i x="9428" nd="1"/>
        <i x="9429" nd="1"/>
        <i x="9430" nd="1"/>
        <i x="9431" nd="1"/>
        <i x="9432" nd="1"/>
        <i x="9433" nd="1"/>
        <i x="9434" nd="1"/>
        <i x="9435" nd="1"/>
        <i x="9436" nd="1"/>
        <i x="9437" nd="1"/>
        <i x="9438" nd="1"/>
        <i x="9439" nd="1"/>
        <i x="9440" nd="1"/>
        <i x="9441" nd="1"/>
        <i x="9442" nd="1"/>
        <i x="9443" nd="1"/>
        <i x="9444" nd="1"/>
        <i x="9445" nd="1"/>
        <i x="9446" nd="1"/>
        <i x="9447" nd="1"/>
        <i x="9448" nd="1"/>
        <i x="9449" nd="1"/>
        <i x="9450" nd="1"/>
        <i x="9451" nd="1"/>
        <i x="9452" nd="1"/>
        <i x="9453" nd="1"/>
        <i x="9454" nd="1"/>
        <i x="9455" nd="1"/>
        <i x="9456" nd="1"/>
        <i x="9457" nd="1"/>
        <i x="9458" nd="1"/>
        <i x="9459" nd="1"/>
        <i x="9460" nd="1"/>
        <i x="9461" nd="1"/>
        <i x="9462" nd="1"/>
        <i x="9463" nd="1"/>
        <i x="9464" nd="1"/>
        <i x="9465" nd="1"/>
        <i x="9466" nd="1"/>
        <i x="9467" nd="1"/>
        <i x="9468" nd="1"/>
        <i x="9469" nd="1"/>
        <i x="9470" nd="1"/>
        <i x="9471" nd="1"/>
        <i x="9472" nd="1"/>
        <i x="9473" nd="1"/>
        <i x="9474" nd="1"/>
        <i x="9475" nd="1"/>
        <i x="9476" nd="1"/>
        <i x="9477" nd="1"/>
        <i x="9478" nd="1"/>
        <i x="9479" nd="1"/>
        <i x="9480" nd="1"/>
        <i x="9481" nd="1"/>
        <i x="9482" nd="1"/>
        <i x="9483" nd="1"/>
        <i x="9484" nd="1"/>
        <i x="9485" nd="1"/>
        <i x="9486" nd="1"/>
        <i x="9487" nd="1"/>
        <i x="9488" nd="1"/>
        <i x="9489" nd="1"/>
        <i x="9490" nd="1"/>
        <i x="9491" nd="1"/>
        <i x="9492" nd="1"/>
        <i x="9493" nd="1"/>
        <i x="9494" nd="1"/>
        <i x="9495" nd="1"/>
        <i x="9496" nd="1"/>
        <i x="9497" nd="1"/>
        <i x="9498" nd="1"/>
        <i x="9499" nd="1"/>
        <i x="9500" nd="1"/>
        <i x="9501" nd="1"/>
        <i x="9502" nd="1"/>
        <i x="9503" nd="1"/>
        <i x="9504" nd="1"/>
        <i x="9505" nd="1"/>
        <i x="9506" nd="1"/>
        <i x="9507" nd="1"/>
        <i x="9508" nd="1"/>
        <i x="9509" nd="1"/>
        <i x="9510" nd="1"/>
        <i x="9511" nd="1"/>
        <i x="9512" nd="1"/>
        <i x="9513" nd="1"/>
        <i x="9514" nd="1"/>
        <i x="9515" nd="1"/>
        <i x="9516" nd="1"/>
        <i x="9517" nd="1"/>
        <i x="9518" nd="1"/>
        <i x="9519" nd="1"/>
        <i x="9520" nd="1"/>
        <i x="9521" nd="1"/>
        <i x="9522" nd="1"/>
        <i x="9523" nd="1"/>
        <i x="9524" nd="1"/>
        <i x="9525" nd="1"/>
        <i x="9526" nd="1"/>
        <i x="9527" nd="1"/>
        <i x="9528" nd="1"/>
        <i x="9529" nd="1"/>
        <i x="9530" nd="1"/>
        <i x="9531" nd="1"/>
        <i x="9532" nd="1"/>
        <i x="9533" nd="1"/>
        <i x="9534" nd="1"/>
        <i x="9535" nd="1"/>
        <i x="9536" nd="1"/>
        <i x="9537" nd="1"/>
        <i x="9538" nd="1"/>
        <i x="9539" nd="1"/>
        <i x="9540" nd="1"/>
        <i x="9541" nd="1"/>
        <i x="9542" nd="1"/>
        <i x="9543" nd="1"/>
        <i x="9544" nd="1"/>
        <i x="9545" nd="1"/>
        <i x="9546" nd="1"/>
        <i x="9547" nd="1"/>
        <i x="9548" nd="1"/>
        <i x="9549" nd="1"/>
        <i x="9550" nd="1"/>
        <i x="9551" nd="1"/>
        <i x="9552" nd="1"/>
        <i x="9553" nd="1"/>
        <i x="9554" nd="1"/>
        <i x="9555" nd="1"/>
        <i x="9556" nd="1"/>
        <i x="9557" nd="1"/>
        <i x="9558" nd="1"/>
        <i x="9559" nd="1"/>
        <i x="9560" nd="1"/>
        <i x="9561" nd="1"/>
        <i x="9562" nd="1"/>
        <i x="9563" nd="1"/>
        <i x="9564" nd="1"/>
        <i x="9565" nd="1"/>
        <i x="9566" nd="1"/>
        <i x="9567" nd="1"/>
        <i x="9568" nd="1"/>
        <i x="9569" nd="1"/>
        <i x="9570" nd="1"/>
        <i x="9571" nd="1"/>
        <i x="9572" nd="1"/>
        <i x="9573" nd="1"/>
        <i x="9574" nd="1"/>
        <i x="9575" nd="1"/>
        <i x="9576" nd="1"/>
        <i x="9577" nd="1"/>
        <i x="9578" nd="1"/>
        <i x="9579" nd="1"/>
        <i x="9580" nd="1"/>
        <i x="9581" nd="1"/>
        <i x="9582" nd="1"/>
        <i x="9583" nd="1"/>
        <i x="9584" nd="1"/>
        <i x="9585" nd="1"/>
        <i x="9586" nd="1"/>
        <i x="9587" nd="1"/>
        <i x="9588" nd="1"/>
        <i x="9589" nd="1"/>
        <i x="9590" nd="1"/>
        <i x="9591" nd="1"/>
        <i x="9592" nd="1"/>
        <i x="9593" nd="1"/>
        <i x="9594" nd="1"/>
        <i x="9595" nd="1"/>
        <i x="9596" nd="1"/>
        <i x="9597" nd="1"/>
        <i x="9598" nd="1"/>
        <i x="9599" nd="1"/>
        <i x="9600" nd="1"/>
        <i x="9601" nd="1"/>
        <i x="9602" nd="1"/>
        <i x="9603" nd="1"/>
        <i x="9604" nd="1"/>
        <i x="9605" nd="1"/>
        <i x="9606" nd="1"/>
        <i x="9607" nd="1"/>
        <i x="9608" nd="1"/>
        <i x="9609" nd="1"/>
        <i x="9610" nd="1"/>
        <i x="9611" nd="1"/>
        <i x="9612" nd="1"/>
        <i x="9613" nd="1"/>
        <i x="9614" nd="1"/>
        <i x="9615" nd="1"/>
        <i x="9616" nd="1"/>
        <i x="9617" nd="1"/>
        <i x="9618" nd="1"/>
        <i x="9619" nd="1"/>
        <i x="9620" nd="1"/>
        <i x="9621" nd="1"/>
        <i x="9622" nd="1"/>
        <i x="9623" nd="1"/>
        <i x="9624" nd="1"/>
        <i x="9625" nd="1"/>
        <i x="9626" nd="1"/>
        <i x="9627" nd="1"/>
        <i x="9628" nd="1"/>
        <i x="9629" nd="1"/>
        <i x="9630" nd="1"/>
        <i x="9631" nd="1"/>
        <i x="9632" nd="1"/>
        <i x="9633" nd="1"/>
        <i x="9634" nd="1"/>
        <i x="9635" nd="1"/>
        <i x="9636" nd="1"/>
        <i x="9637" nd="1"/>
        <i x="9638" nd="1"/>
        <i x="9639" nd="1"/>
        <i x="9640" nd="1"/>
        <i x="9641" nd="1"/>
        <i x="9642" nd="1"/>
        <i x="9643" nd="1"/>
        <i x="9644" nd="1"/>
        <i x="9645" nd="1"/>
        <i x="9646" nd="1"/>
        <i x="9647" nd="1"/>
        <i x="9648" nd="1"/>
        <i x="9649" nd="1"/>
        <i x="9650" nd="1"/>
        <i x="9651" nd="1"/>
        <i x="9652" nd="1"/>
        <i x="9653" nd="1"/>
        <i x="9654" nd="1"/>
        <i x="9655" nd="1"/>
        <i x="9656" nd="1"/>
        <i x="9657" nd="1"/>
        <i x="9658" nd="1"/>
        <i x="9659" nd="1"/>
        <i x="9660" nd="1"/>
        <i x="9661" nd="1"/>
        <i x="9662" nd="1"/>
        <i x="9663" nd="1"/>
        <i x="9664" nd="1"/>
        <i x="9665" nd="1"/>
        <i x="9666" nd="1"/>
        <i x="9667" nd="1"/>
        <i x="9668" nd="1"/>
        <i x="9669" nd="1"/>
        <i x="9670" nd="1"/>
        <i x="9671" nd="1"/>
        <i x="9672" nd="1"/>
        <i x="9673" nd="1"/>
        <i x="9674" nd="1"/>
        <i x="9675" nd="1"/>
        <i x="9676" nd="1"/>
        <i x="9677" nd="1"/>
        <i x="9678" nd="1"/>
        <i x="9679" nd="1"/>
        <i x="9680" nd="1"/>
        <i x="9681" nd="1"/>
        <i x="9682" nd="1"/>
        <i x="9683" nd="1"/>
        <i x="9684" nd="1"/>
        <i x="9685" nd="1"/>
        <i x="9686" nd="1"/>
        <i x="9687" nd="1"/>
        <i x="9688" nd="1"/>
        <i x="9689" nd="1"/>
        <i x="9690" nd="1"/>
        <i x="9691" nd="1"/>
        <i x="9692" nd="1"/>
        <i x="9693" nd="1"/>
        <i x="9694" nd="1"/>
        <i x="9695" nd="1"/>
        <i x="9696" nd="1"/>
        <i x="9697" nd="1"/>
        <i x="9698" nd="1"/>
        <i x="9699" nd="1"/>
        <i x="9700" nd="1"/>
        <i x="9701" nd="1"/>
        <i x="9702" nd="1"/>
        <i x="9703" nd="1"/>
        <i x="9704" nd="1"/>
        <i x="9705" nd="1"/>
        <i x="9706" nd="1"/>
        <i x="9707" nd="1"/>
        <i x="9708" nd="1"/>
        <i x="9709" nd="1"/>
        <i x="9710" nd="1"/>
        <i x="9711" nd="1"/>
        <i x="9712" nd="1"/>
        <i x="9713" nd="1"/>
        <i x="9714" nd="1"/>
        <i x="9715" nd="1"/>
        <i x="9716" nd="1"/>
        <i x="9717" nd="1"/>
        <i x="9718" nd="1"/>
        <i x="9719" nd="1"/>
        <i x="9720" nd="1"/>
        <i x="9721" nd="1"/>
        <i x="9722" nd="1"/>
        <i x="9723" nd="1"/>
        <i x="9724" nd="1"/>
        <i x="9725" nd="1"/>
        <i x="9726" nd="1"/>
        <i x="9727" nd="1"/>
        <i x="9728" nd="1"/>
        <i x="9729" nd="1"/>
        <i x="9730" nd="1"/>
        <i x="9731" nd="1"/>
        <i x="9732" nd="1"/>
        <i x="9733" nd="1"/>
        <i x="9734" nd="1"/>
        <i x="9735" nd="1"/>
        <i x="9736" nd="1"/>
        <i x="9737" nd="1"/>
        <i x="9738" nd="1"/>
        <i x="9739" nd="1"/>
        <i x="9740" nd="1"/>
        <i x="9741" nd="1"/>
        <i x="9742" nd="1"/>
        <i x="9743" nd="1"/>
        <i x="9744" nd="1"/>
        <i x="9745" nd="1"/>
        <i x="9746" nd="1"/>
        <i x="9747" nd="1"/>
        <i x="9748" nd="1"/>
        <i x="9749" nd="1"/>
        <i x="9750" nd="1"/>
        <i x="9751" nd="1"/>
        <i x="9752" nd="1"/>
        <i x="9753" nd="1"/>
        <i x="9754" nd="1"/>
        <i x="9755" nd="1"/>
        <i x="9756" nd="1"/>
        <i x="9757" nd="1"/>
        <i x="9758" nd="1"/>
        <i x="9759" nd="1"/>
        <i x="9760" nd="1"/>
        <i x="9761" nd="1"/>
        <i x="9762" nd="1"/>
        <i x="9763" nd="1"/>
        <i x="9764" nd="1"/>
        <i x="9765" nd="1"/>
        <i x="9766" nd="1"/>
        <i x="9767" nd="1"/>
        <i x="9768" nd="1"/>
        <i x="9769" nd="1"/>
        <i x="9770" nd="1"/>
        <i x="9771" nd="1"/>
        <i x="9772" nd="1"/>
        <i x="9773" nd="1"/>
        <i x="9774" nd="1"/>
        <i x="9775" nd="1"/>
        <i x="9776" nd="1"/>
        <i x="9777" nd="1"/>
        <i x="9778" nd="1"/>
        <i x="9779" nd="1"/>
        <i x="9780" nd="1"/>
        <i x="9781" nd="1"/>
        <i x="9782" nd="1"/>
        <i x="9783" nd="1"/>
        <i x="9784" nd="1"/>
        <i x="9785" nd="1"/>
        <i x="9786" nd="1"/>
        <i x="9787" nd="1"/>
        <i x="9788" nd="1"/>
        <i x="9789" nd="1"/>
        <i x="9790" nd="1"/>
        <i x="9791" nd="1"/>
        <i x="9792" nd="1"/>
        <i x="9793" nd="1"/>
        <i x="9794" nd="1"/>
        <i x="9795" nd="1"/>
        <i x="9796" nd="1"/>
        <i x="9797" nd="1"/>
        <i x="9798" nd="1"/>
        <i x="9799" nd="1"/>
        <i x="9800" nd="1"/>
        <i x="9801" nd="1"/>
        <i x="9802" nd="1"/>
        <i x="9803" nd="1"/>
        <i x="9804" nd="1"/>
        <i x="9805" nd="1"/>
        <i x="9806" nd="1"/>
        <i x="9807" nd="1"/>
        <i x="9808" nd="1"/>
        <i x="9809" nd="1"/>
        <i x="9810" nd="1"/>
        <i x="9811" nd="1"/>
        <i x="9812" nd="1"/>
        <i x="9813" nd="1"/>
        <i x="9814" nd="1"/>
        <i x="9815" nd="1"/>
        <i x="9816" nd="1"/>
        <i x="9817" nd="1"/>
        <i x="9818" nd="1"/>
        <i x="9819" nd="1"/>
        <i x="9820" nd="1"/>
        <i x="9821" nd="1"/>
        <i x="9822" nd="1"/>
        <i x="9823" nd="1"/>
        <i x="9824" nd="1"/>
        <i x="9825" nd="1"/>
        <i x="9826" nd="1"/>
        <i x="9827" nd="1"/>
        <i x="9828" nd="1"/>
        <i x="9829" nd="1"/>
        <i x="9830" nd="1"/>
        <i x="9831" nd="1"/>
        <i x="9832" nd="1"/>
        <i x="9833" nd="1"/>
        <i x="9834" nd="1"/>
        <i x="9835" nd="1"/>
        <i x="9836" nd="1"/>
        <i x="9837" nd="1"/>
        <i x="9838" nd="1"/>
        <i x="9839" nd="1"/>
        <i x="9840" nd="1"/>
        <i x="9841" nd="1"/>
        <i x="9842" nd="1"/>
        <i x="9843" nd="1"/>
        <i x="9844" nd="1"/>
        <i x="9845" nd="1"/>
        <i x="9846" nd="1"/>
        <i x="9847" nd="1"/>
        <i x="9848" nd="1"/>
        <i x="9849" nd="1"/>
        <i x="9850" nd="1"/>
        <i x="9851" nd="1"/>
        <i x="9852" nd="1"/>
        <i x="9853" nd="1"/>
        <i x="9854" nd="1"/>
        <i x="9855" nd="1"/>
        <i x="9856" nd="1"/>
        <i x="9857" nd="1"/>
        <i x="9858" nd="1"/>
        <i x="9859" nd="1"/>
        <i x="9860" nd="1"/>
        <i x="9861" nd="1"/>
        <i x="9862" nd="1"/>
        <i x="9863" nd="1"/>
        <i x="9864" nd="1"/>
        <i x="9865" nd="1"/>
        <i x="9866" nd="1"/>
        <i x="9867" nd="1"/>
        <i x="9868" nd="1"/>
        <i x="9869" nd="1"/>
        <i x="9870" nd="1"/>
        <i x="9871" nd="1"/>
        <i x="9872" nd="1"/>
        <i x="9873" nd="1"/>
        <i x="9874" nd="1"/>
        <i x="9875" nd="1"/>
        <i x="9876" nd="1"/>
        <i x="9877" nd="1"/>
        <i x="9878" nd="1"/>
        <i x="9879" nd="1"/>
        <i x="9880" nd="1"/>
        <i x="9881" nd="1"/>
        <i x="9882" nd="1"/>
        <i x="9883" nd="1"/>
        <i x="9884" nd="1"/>
        <i x="9885" nd="1"/>
        <i x="9886" nd="1"/>
        <i x="9887" nd="1"/>
        <i x="9888" nd="1"/>
        <i x="9889" nd="1"/>
        <i x="9890" nd="1"/>
        <i x="9891" nd="1"/>
        <i x="9892" nd="1"/>
        <i x="9893" nd="1"/>
        <i x="9894" nd="1"/>
        <i x="9895" nd="1"/>
        <i x="9896" nd="1"/>
        <i x="9897" nd="1"/>
        <i x="9898" nd="1"/>
        <i x="9899" nd="1"/>
        <i x="9900" nd="1"/>
        <i x="9901" nd="1"/>
        <i x="9902" nd="1"/>
        <i x="9903" nd="1"/>
        <i x="9904" nd="1"/>
        <i x="9905" nd="1"/>
        <i x="9906" nd="1"/>
        <i x="9907" nd="1"/>
        <i x="9908" nd="1"/>
        <i x="9909" nd="1"/>
        <i x="9910" nd="1"/>
        <i x="9911" nd="1"/>
        <i x="9912" nd="1"/>
        <i x="9913" nd="1"/>
        <i x="9914" nd="1"/>
        <i x="9915" nd="1"/>
        <i x="9916" nd="1"/>
        <i x="9917" nd="1"/>
        <i x="9918" nd="1"/>
        <i x="9919" nd="1"/>
        <i x="9920" nd="1"/>
        <i x="9921" nd="1"/>
        <i x="9922" nd="1"/>
        <i x="9923" nd="1"/>
        <i x="9924" nd="1"/>
        <i x="9925" nd="1"/>
        <i x="9926" nd="1"/>
        <i x="9927" nd="1"/>
        <i x="9928" nd="1"/>
        <i x="9929" nd="1"/>
        <i x="9930" nd="1"/>
        <i x="9931" nd="1"/>
        <i x="9932" nd="1"/>
        <i x="9933" nd="1"/>
        <i x="9934" nd="1"/>
        <i x="9935" nd="1"/>
        <i x="9936" nd="1"/>
        <i x="9937" nd="1"/>
        <i x="9938" nd="1"/>
        <i x="9939" nd="1"/>
        <i x="9940" nd="1"/>
        <i x="9941" nd="1"/>
        <i x="9942" nd="1"/>
        <i x="9943" nd="1"/>
        <i x="9944" nd="1"/>
        <i x="9945" nd="1"/>
        <i x="9946" nd="1"/>
        <i x="9947" nd="1"/>
        <i x="9948" nd="1"/>
        <i x="9949" nd="1"/>
        <i x="9950" nd="1"/>
        <i x="9951" nd="1"/>
        <i x="9952" nd="1"/>
        <i x="9953" nd="1"/>
        <i x="9954" nd="1"/>
        <i x="9955" nd="1"/>
        <i x="9956" nd="1"/>
        <i x="9957" nd="1"/>
        <i x="9958" nd="1"/>
        <i x="9959" nd="1"/>
        <i x="9960" nd="1"/>
        <i x="9961" nd="1"/>
        <i x="9962" nd="1"/>
        <i x="9963" nd="1"/>
        <i x="9964" nd="1"/>
        <i x="9965" nd="1"/>
        <i x="9966" nd="1"/>
        <i x="9967" nd="1"/>
        <i x="9968" nd="1"/>
        <i x="9969" nd="1"/>
        <i x="9970" nd="1"/>
        <i x="9971" nd="1"/>
        <i x="9972" nd="1"/>
        <i x="9973" nd="1"/>
        <i x="9974" nd="1"/>
        <i x="9975" nd="1"/>
        <i x="9976" nd="1"/>
        <i x="9977" nd="1"/>
        <i x="9978" nd="1"/>
        <i x="9979" nd="1"/>
        <i x="9980" nd="1"/>
        <i x="9981" nd="1"/>
        <i x="9982" nd="1"/>
        <i x="9983" nd="1"/>
        <i x="9984" nd="1"/>
        <i x="9985" nd="1"/>
        <i x="9986" nd="1"/>
        <i x="9987" nd="1"/>
        <i x="9988" nd="1"/>
        <i x="9989" nd="1"/>
        <i x="9990" nd="1"/>
        <i x="9991" nd="1"/>
        <i x="9992" nd="1"/>
        <i x="9993" nd="1"/>
        <i x="9994" nd="1"/>
        <i x="9995" nd="1"/>
        <i x="9996" nd="1"/>
        <i x="9997" nd="1"/>
        <i x="9998" nd="1"/>
        <i x="9999" nd="1"/>
        <i x="10000" nd="1"/>
        <i x="10001" nd="1"/>
        <i x="10002" nd="1"/>
        <i x="10003" nd="1"/>
        <i x="10004" nd="1"/>
        <i x="10005" nd="1"/>
        <i x="10006" nd="1"/>
        <i x="10007" nd="1"/>
        <i x="10008" nd="1"/>
        <i x="10009" nd="1"/>
        <i x="10010" nd="1"/>
        <i x="10011" nd="1"/>
        <i x="10012" nd="1"/>
        <i x="10013" nd="1"/>
        <i x="10014" nd="1"/>
        <i x="10015" nd="1"/>
        <i x="10016" nd="1"/>
        <i x="10017" nd="1"/>
        <i x="10018" nd="1"/>
        <i x="10019" nd="1"/>
        <i x="10020" nd="1"/>
        <i x="10021" nd="1"/>
        <i x="10022" nd="1"/>
        <i x="10023" nd="1"/>
        <i x="10024" nd="1"/>
        <i x="10025" nd="1"/>
        <i x="10026" nd="1"/>
        <i x="10027" nd="1"/>
        <i x="10028" nd="1"/>
        <i x="10029" nd="1"/>
        <i x="10030" nd="1"/>
        <i x="10031" nd="1"/>
        <i x="10032" nd="1"/>
        <i x="10033" nd="1"/>
        <i x="10034" nd="1"/>
        <i x="10035" nd="1"/>
        <i x="10036" nd="1"/>
        <i x="10037" nd="1"/>
        <i x="10038" nd="1"/>
        <i x="10039" nd="1"/>
        <i x="10040" nd="1"/>
        <i x="10041" nd="1"/>
        <i x="10042" nd="1"/>
        <i x="10043" nd="1"/>
        <i x="10044" nd="1"/>
        <i x="10045" nd="1"/>
        <i x="10046" nd="1"/>
        <i x="10047" nd="1"/>
        <i x="10048" nd="1"/>
        <i x="10049" nd="1"/>
        <i x="10050" nd="1"/>
        <i x="10051" nd="1"/>
        <i x="10052" nd="1"/>
        <i x="10053" nd="1"/>
        <i x="10054" nd="1"/>
        <i x="10055" nd="1"/>
        <i x="10056" nd="1"/>
        <i x="10057" nd="1"/>
        <i x="10058" nd="1"/>
        <i x="10059" nd="1"/>
        <i x="10060" nd="1"/>
        <i x="10061" nd="1"/>
        <i x="10062" nd="1"/>
        <i x="10063" nd="1"/>
        <i x="10064" nd="1"/>
        <i x="10065" nd="1"/>
        <i x="10066" nd="1"/>
        <i x="10067" nd="1"/>
        <i x="10068" nd="1"/>
        <i x="10069" nd="1"/>
        <i x="10070" nd="1"/>
        <i x="10071" nd="1"/>
        <i x="10072" nd="1"/>
        <i x="10073" nd="1"/>
        <i x="10074" nd="1"/>
        <i x="10075" nd="1"/>
        <i x="10076" nd="1"/>
        <i x="10077" nd="1"/>
        <i x="10078" nd="1"/>
        <i x="10079" nd="1"/>
        <i x="10080" nd="1"/>
        <i x="10081" nd="1"/>
        <i x="10082" nd="1"/>
        <i x="10083" nd="1"/>
        <i x="10084" nd="1"/>
        <i x="10085" nd="1"/>
        <i x="10086" nd="1"/>
        <i x="10087" nd="1"/>
        <i x="10088" nd="1"/>
        <i x="10089" nd="1"/>
        <i x="10090" nd="1"/>
        <i x="10091" nd="1"/>
        <i x="10092" nd="1"/>
        <i x="10093" nd="1"/>
        <i x="10094" nd="1"/>
        <i x="10095" nd="1"/>
        <i x="10096" nd="1"/>
        <i x="10097" nd="1"/>
        <i x="10098" nd="1"/>
        <i x="10099" nd="1"/>
        <i x="10100" nd="1"/>
        <i x="10101" nd="1"/>
        <i x="10102" nd="1"/>
        <i x="10103" nd="1"/>
        <i x="10104" nd="1"/>
        <i x="10105" nd="1"/>
        <i x="10106" nd="1"/>
        <i x="10107" nd="1"/>
        <i x="10108" nd="1"/>
        <i x="10109" nd="1"/>
        <i x="10110" nd="1"/>
        <i x="10111" nd="1"/>
        <i x="10112" nd="1"/>
        <i x="10113" nd="1"/>
        <i x="10114" nd="1"/>
        <i x="10115" nd="1"/>
        <i x="10116" nd="1"/>
        <i x="10117" nd="1"/>
        <i x="10118" nd="1"/>
        <i x="10119" nd="1"/>
        <i x="10120" nd="1"/>
        <i x="10121" nd="1"/>
        <i x="10122" nd="1"/>
        <i x="10123" nd="1"/>
        <i x="10124" nd="1"/>
        <i x="10125" nd="1"/>
        <i x="10126" nd="1"/>
        <i x="10127" nd="1"/>
        <i x="10128" nd="1"/>
        <i x="10129" nd="1"/>
        <i x="10130" nd="1"/>
        <i x="10131" nd="1"/>
        <i x="10132" nd="1"/>
        <i x="10133" nd="1"/>
        <i x="10134" nd="1"/>
        <i x="10135" nd="1"/>
        <i x="10136" nd="1"/>
        <i x="10137" nd="1"/>
        <i x="10138" nd="1"/>
        <i x="10139" nd="1"/>
        <i x="10140" nd="1"/>
        <i x="10141" nd="1"/>
        <i x="10142" nd="1"/>
        <i x="10143" nd="1"/>
        <i x="10144" nd="1"/>
        <i x="10145" nd="1"/>
        <i x="10146" nd="1"/>
        <i x="10147" nd="1"/>
        <i x="10148" nd="1"/>
        <i x="10149" nd="1"/>
        <i x="10150" nd="1"/>
        <i x="10151" nd="1"/>
        <i x="10152" nd="1"/>
        <i x="10153" nd="1"/>
        <i x="10154" nd="1"/>
        <i x="10155" nd="1"/>
        <i x="10156" nd="1"/>
        <i x="10157" nd="1"/>
        <i x="10158" nd="1"/>
        <i x="10159" nd="1"/>
        <i x="10160" nd="1"/>
        <i x="10161" nd="1"/>
        <i x="10162" nd="1"/>
        <i x="10163" nd="1"/>
        <i x="10164" nd="1"/>
        <i x="10165" nd="1"/>
        <i x="10166" nd="1"/>
        <i x="10167" nd="1"/>
        <i x="10168" nd="1"/>
        <i x="10169" nd="1"/>
        <i x="10170" nd="1"/>
        <i x="10171" nd="1"/>
        <i x="10172" nd="1"/>
        <i x="10173" nd="1"/>
        <i x="10174" nd="1"/>
        <i x="10175" nd="1"/>
        <i x="10176" nd="1"/>
        <i x="10177" nd="1"/>
        <i x="10178" nd="1"/>
        <i x="10179" nd="1"/>
        <i x="10180" nd="1"/>
        <i x="10181" nd="1"/>
        <i x="10182" nd="1"/>
        <i x="10183" nd="1"/>
        <i x="10184" nd="1"/>
        <i x="10185" nd="1"/>
        <i x="10186" nd="1"/>
        <i x="10187" nd="1"/>
        <i x="10188" nd="1"/>
        <i x="10189" nd="1"/>
        <i x="10190" nd="1"/>
        <i x="10191" nd="1"/>
        <i x="10192" nd="1"/>
        <i x="10193" nd="1"/>
        <i x="10194" nd="1"/>
        <i x="10195" nd="1"/>
        <i x="10196" nd="1"/>
        <i x="10197" nd="1"/>
        <i x="10198" nd="1"/>
        <i x="10199" nd="1"/>
        <i x="10200" nd="1"/>
        <i x="10201" nd="1"/>
        <i x="10202" nd="1"/>
        <i x="10203" nd="1"/>
        <i x="10204" nd="1"/>
        <i x="10205" nd="1"/>
        <i x="10206" nd="1"/>
        <i x="10207" nd="1"/>
        <i x="10208" nd="1"/>
        <i x="10209" nd="1"/>
        <i x="10210" nd="1"/>
        <i x="10211" nd="1"/>
        <i x="10212" nd="1"/>
        <i x="10213" nd="1"/>
        <i x="10214" nd="1"/>
        <i x="10215" nd="1"/>
        <i x="10216" nd="1"/>
        <i x="10217" nd="1"/>
        <i x="10218" nd="1"/>
        <i x="10219" nd="1"/>
        <i x="10220" nd="1"/>
        <i x="10221" nd="1"/>
        <i x="10222" nd="1"/>
        <i x="10223" nd="1"/>
        <i x="10224" nd="1"/>
        <i x="10225" nd="1"/>
        <i x="10226" nd="1"/>
        <i x="10227" nd="1"/>
        <i x="10228" nd="1"/>
        <i x="10229" nd="1"/>
        <i x="10230" nd="1"/>
        <i x="10231" nd="1"/>
        <i x="10232" nd="1"/>
        <i x="10233" nd="1"/>
        <i x="10234" nd="1"/>
        <i x="10235" nd="1"/>
        <i x="10236" nd="1"/>
        <i x="10237" nd="1"/>
        <i x="10238" nd="1"/>
        <i x="10239" nd="1"/>
        <i x="10240" nd="1"/>
        <i x="10241" nd="1"/>
        <i x="10242" nd="1"/>
        <i x="10243" nd="1"/>
        <i x="10244" nd="1"/>
        <i x="10245" nd="1"/>
        <i x="10246" nd="1"/>
        <i x="10247" nd="1"/>
        <i x="10248" nd="1"/>
        <i x="10249" nd="1"/>
        <i x="10250" nd="1"/>
        <i x="10251" nd="1"/>
        <i x="10252" nd="1"/>
        <i x="10253" nd="1"/>
        <i x="10254" nd="1"/>
        <i x="10255" nd="1"/>
        <i x="10256" nd="1"/>
        <i x="10257" nd="1"/>
        <i x="10258" nd="1"/>
        <i x="10259" nd="1"/>
        <i x="10260" nd="1"/>
        <i x="10261" nd="1"/>
        <i x="10262" nd="1"/>
        <i x="10263" nd="1"/>
        <i x="10264" nd="1"/>
        <i x="10265" nd="1"/>
        <i x="10266" nd="1"/>
        <i x="10267" nd="1"/>
        <i x="10268" nd="1"/>
        <i x="10269" nd="1"/>
        <i x="10270" nd="1"/>
        <i x="10271" nd="1"/>
        <i x="10272" nd="1"/>
        <i x="10273" nd="1"/>
        <i x="10274" nd="1"/>
        <i x="10275" nd="1"/>
        <i x="10276" nd="1"/>
        <i x="10277" nd="1"/>
        <i x="10278" nd="1"/>
        <i x="10279" nd="1"/>
        <i x="10280" nd="1"/>
        <i x="10281" nd="1"/>
        <i x="10282" nd="1"/>
        <i x="10283" nd="1"/>
        <i x="10284" nd="1"/>
        <i x="10285" nd="1"/>
        <i x="10286" nd="1"/>
        <i x="10287" nd="1"/>
        <i x="10288" nd="1"/>
        <i x="10289" nd="1"/>
        <i x="10290" nd="1"/>
        <i x="10291" nd="1"/>
        <i x="10292" nd="1"/>
        <i x="10293" nd="1"/>
        <i x="10294" nd="1"/>
        <i x="10295" nd="1"/>
        <i x="10296" nd="1"/>
        <i x="10297" nd="1"/>
        <i x="10298" nd="1"/>
        <i x="10299" nd="1"/>
        <i x="10300" nd="1"/>
        <i x="10301" nd="1"/>
        <i x="10302" nd="1"/>
        <i x="10303" nd="1"/>
        <i x="10304" nd="1"/>
        <i x="10305" nd="1"/>
        <i x="10306" nd="1"/>
        <i x="10307" nd="1"/>
        <i x="10308" nd="1"/>
        <i x="10309" nd="1"/>
        <i x="10310" nd="1"/>
        <i x="10311" nd="1"/>
        <i x="10312" nd="1"/>
        <i x="10313" nd="1"/>
        <i x="10314" nd="1"/>
        <i x="10315" nd="1"/>
        <i x="10316" nd="1"/>
        <i x="10317" nd="1"/>
        <i x="10318" nd="1"/>
        <i x="10319" nd="1"/>
        <i x="10320" nd="1"/>
        <i x="10321" nd="1"/>
        <i x="10322" nd="1"/>
        <i x="10323" nd="1"/>
        <i x="10324" nd="1"/>
        <i x="10325" nd="1"/>
        <i x="10326" nd="1"/>
        <i x="10327" nd="1"/>
        <i x="10328" nd="1"/>
        <i x="10329" nd="1"/>
        <i x="10330" nd="1"/>
        <i x="10331" nd="1"/>
        <i x="10332" nd="1"/>
        <i x="10333" nd="1"/>
        <i x="10334" nd="1"/>
        <i x="10335" nd="1"/>
        <i x="10336" nd="1"/>
        <i x="10337" nd="1"/>
        <i x="10338" nd="1"/>
        <i x="10339" nd="1"/>
        <i x="10340" nd="1"/>
        <i x="10341" nd="1"/>
        <i x="10342" nd="1"/>
        <i x="10343" nd="1"/>
        <i x="10344" nd="1"/>
        <i x="10345" nd="1"/>
        <i x="10346" nd="1"/>
        <i x="10347" nd="1"/>
        <i x="10348" nd="1"/>
        <i x="10349" nd="1"/>
        <i x="10350" nd="1"/>
        <i x="10351" nd="1"/>
        <i x="10352" nd="1"/>
        <i x="10353" nd="1"/>
        <i x="10354" nd="1"/>
        <i x="10355" nd="1"/>
        <i x="10356" nd="1"/>
        <i x="10357" nd="1"/>
        <i x="10358" nd="1"/>
        <i x="10359" nd="1"/>
        <i x="10360" nd="1"/>
        <i x="10361" nd="1"/>
        <i x="10362" nd="1"/>
        <i x="10363" nd="1"/>
        <i x="10364" nd="1"/>
        <i x="10365" nd="1"/>
        <i x="10366" nd="1"/>
        <i x="10367" nd="1"/>
        <i x="10368" nd="1"/>
        <i x="10369" nd="1"/>
        <i x="10370" nd="1"/>
        <i x="10371" nd="1"/>
        <i x="10372" nd="1"/>
        <i x="10373" nd="1"/>
        <i x="10374" nd="1"/>
        <i x="10375" nd="1"/>
        <i x="10376" nd="1"/>
        <i x="10377" nd="1"/>
        <i x="10378" nd="1"/>
        <i x="10379" nd="1"/>
        <i x="10380" nd="1"/>
        <i x="10381" nd="1"/>
        <i x="10382" nd="1"/>
        <i x="10383" nd="1"/>
        <i x="10384" nd="1"/>
        <i x="10385" nd="1"/>
        <i x="10386" nd="1"/>
        <i x="10387" nd="1"/>
        <i x="10388" nd="1"/>
        <i x="10389" nd="1"/>
        <i x="10390" nd="1"/>
        <i x="10391" nd="1"/>
        <i x="10392" nd="1"/>
        <i x="10393" nd="1"/>
        <i x="10394" nd="1"/>
        <i x="10395" nd="1"/>
        <i x="10396" nd="1"/>
        <i x="10397" nd="1"/>
        <i x="10398" nd="1"/>
        <i x="10399" nd="1"/>
        <i x="10400" nd="1"/>
        <i x="10401" nd="1"/>
        <i x="10402" nd="1"/>
        <i x="10403" nd="1"/>
        <i x="10404" nd="1"/>
        <i x="10405" nd="1"/>
        <i x="10406" nd="1"/>
        <i x="10407" nd="1"/>
        <i x="10408" nd="1"/>
        <i x="10409" nd="1"/>
        <i x="10410" nd="1"/>
        <i x="10411" nd="1"/>
        <i x="10412" nd="1"/>
        <i x="10413" nd="1"/>
        <i x="10414" nd="1"/>
        <i x="10415" nd="1"/>
        <i x="10416" nd="1"/>
        <i x="10417" nd="1"/>
        <i x="10418" nd="1"/>
        <i x="10419" nd="1"/>
        <i x="10420" nd="1"/>
        <i x="10421" nd="1"/>
        <i x="10422" nd="1"/>
        <i x="10423" nd="1"/>
        <i x="10424" nd="1"/>
        <i x="10425" nd="1"/>
        <i x="10426" nd="1"/>
        <i x="10427" nd="1"/>
        <i x="10428" nd="1"/>
        <i x="10429" nd="1"/>
        <i x="10430" nd="1"/>
        <i x="10431" nd="1"/>
        <i x="10432" nd="1"/>
        <i x="10433" nd="1"/>
        <i x="10434" nd="1"/>
        <i x="10435" nd="1"/>
        <i x="10436" nd="1"/>
        <i x="10437" nd="1"/>
        <i x="10438" nd="1"/>
        <i x="10439" nd="1"/>
        <i x="10440" nd="1"/>
        <i x="10441" nd="1"/>
        <i x="10442" nd="1"/>
        <i x="10443" nd="1"/>
        <i x="10444" nd="1"/>
        <i x="10445" nd="1"/>
        <i x="10446" nd="1"/>
        <i x="10447" nd="1"/>
        <i x="10448" nd="1"/>
        <i x="10449" nd="1"/>
        <i x="10450" nd="1"/>
        <i x="10451" nd="1"/>
        <i x="10452" nd="1"/>
        <i x="10453" nd="1"/>
        <i x="10454" nd="1"/>
        <i x="10455" nd="1"/>
        <i x="10456" nd="1"/>
        <i x="10457" nd="1"/>
        <i x="10458" nd="1"/>
        <i x="10459" nd="1"/>
        <i x="10460" nd="1"/>
        <i x="10461" nd="1"/>
        <i x="10462" nd="1"/>
        <i x="10463" nd="1"/>
        <i x="10464" nd="1"/>
        <i x="10465" nd="1"/>
        <i x="10466" nd="1"/>
        <i x="10467" nd="1"/>
        <i x="10468" nd="1"/>
        <i x="10469" nd="1"/>
        <i x="10470" nd="1"/>
        <i x="10471" nd="1"/>
        <i x="10472" nd="1"/>
        <i x="10473" nd="1"/>
        <i x="10474" nd="1"/>
        <i x="10475" nd="1"/>
        <i x="10476" nd="1"/>
        <i x="10477" nd="1"/>
        <i x="10478" nd="1"/>
        <i x="10479" nd="1"/>
        <i x="10480" nd="1"/>
        <i x="10481" nd="1"/>
        <i x="10482" nd="1"/>
        <i x="10483" nd="1"/>
        <i x="10484" nd="1"/>
        <i x="10485" nd="1"/>
        <i x="10486" nd="1"/>
        <i x="10487" nd="1"/>
        <i x="10488" nd="1"/>
        <i x="10489" nd="1"/>
        <i x="10490" nd="1"/>
        <i x="10491" nd="1"/>
        <i x="10492" nd="1"/>
        <i x="10493" nd="1"/>
        <i x="10494" nd="1"/>
        <i x="10495" nd="1"/>
        <i x="10496" nd="1"/>
        <i x="10497" nd="1"/>
        <i x="10498" nd="1"/>
        <i x="10499" nd="1"/>
        <i x="10500" nd="1"/>
        <i x="10501" nd="1"/>
        <i x="10502" nd="1"/>
        <i x="10503" nd="1"/>
        <i x="10504" nd="1"/>
        <i x="10505" nd="1"/>
        <i x="10506" nd="1"/>
        <i x="10507" nd="1"/>
        <i x="10508" nd="1"/>
        <i x="10509" nd="1"/>
        <i x="10510" nd="1"/>
        <i x="10511" nd="1"/>
        <i x="10512" nd="1"/>
        <i x="10513" nd="1"/>
        <i x="10514" nd="1"/>
        <i x="10515" nd="1"/>
        <i x="10516" nd="1"/>
        <i x="10517" nd="1"/>
        <i x="10518" nd="1"/>
        <i x="10519" nd="1"/>
        <i x="10520" nd="1"/>
        <i x="10521" nd="1"/>
        <i x="10522" nd="1"/>
        <i x="10523" nd="1"/>
        <i x="10524" nd="1"/>
        <i x="10525" nd="1"/>
        <i x="10526" nd="1"/>
        <i x="10527" nd="1"/>
        <i x="10528" nd="1"/>
        <i x="10529" nd="1"/>
        <i x="10530" nd="1"/>
        <i x="10531" nd="1"/>
        <i x="10532" nd="1"/>
        <i x="10533" nd="1"/>
        <i x="10534" nd="1"/>
        <i x="10535" nd="1"/>
        <i x="10536" nd="1"/>
        <i x="10537" nd="1"/>
        <i x="10538" nd="1"/>
        <i x="10539" nd="1"/>
        <i x="10540" nd="1"/>
        <i x="10541" nd="1"/>
        <i x="10542" nd="1"/>
        <i x="10543" nd="1"/>
        <i x="10544" nd="1"/>
        <i x="10545" nd="1"/>
        <i x="10546" nd="1"/>
        <i x="10547" nd="1"/>
        <i x="10548" nd="1"/>
        <i x="10549" nd="1"/>
        <i x="10550" nd="1"/>
        <i x="10551" nd="1"/>
        <i x="10552" nd="1"/>
        <i x="10553" nd="1"/>
        <i x="10554" nd="1"/>
        <i x="10555" nd="1"/>
        <i x="10556" nd="1"/>
        <i x="10557" nd="1"/>
        <i x="10558" nd="1"/>
        <i x="10559" nd="1"/>
        <i x="10560" nd="1"/>
        <i x="10561" nd="1"/>
        <i x="10562" nd="1"/>
        <i x="10563" nd="1"/>
        <i x="10564" nd="1"/>
        <i x="10565" nd="1"/>
        <i x="10566" nd="1"/>
        <i x="10567" nd="1"/>
        <i x="10568" nd="1"/>
        <i x="10569" nd="1"/>
        <i x="10570" nd="1"/>
        <i x="10571" nd="1"/>
        <i x="10572" nd="1"/>
        <i x="10573" nd="1"/>
        <i x="10574" nd="1"/>
        <i x="10575" nd="1"/>
        <i x="10576" nd="1"/>
        <i x="10577" nd="1"/>
        <i x="10578" nd="1"/>
        <i x="10579" nd="1"/>
        <i x="10580" nd="1"/>
        <i x="10581" nd="1"/>
        <i x="10582" nd="1"/>
        <i x="10583" nd="1"/>
        <i x="10584" nd="1"/>
        <i x="10585" nd="1"/>
        <i x="10586" nd="1"/>
        <i x="10587" nd="1"/>
        <i x="10588" nd="1"/>
        <i x="10589" nd="1"/>
        <i x="10590" nd="1"/>
        <i x="10591" nd="1"/>
        <i x="10592" nd="1"/>
        <i x="10593" nd="1"/>
        <i x="10594" nd="1"/>
        <i x="10595" nd="1"/>
        <i x="10596" nd="1"/>
        <i x="10597" nd="1"/>
        <i x="10598" nd="1"/>
        <i x="10599" nd="1"/>
        <i x="10600" nd="1"/>
        <i x="10601" nd="1"/>
        <i x="10602" nd="1"/>
        <i x="10603" nd="1"/>
        <i x="10604" nd="1"/>
        <i x="10605" nd="1"/>
        <i x="10606" nd="1"/>
        <i x="10607" nd="1"/>
        <i x="10608" nd="1"/>
        <i x="10609" nd="1"/>
        <i x="10610" nd="1"/>
        <i x="10611" nd="1"/>
        <i x="10612" nd="1"/>
        <i x="10613" nd="1"/>
        <i x="10614" nd="1"/>
        <i x="10615" nd="1"/>
        <i x="10616" nd="1"/>
        <i x="10617" nd="1"/>
        <i x="10618" nd="1"/>
        <i x="10619" nd="1"/>
        <i x="10620" nd="1"/>
        <i x="10621" nd="1"/>
        <i x="10622" nd="1"/>
        <i x="10623" nd="1"/>
        <i x="10624" nd="1"/>
        <i x="10625" nd="1"/>
        <i x="10626" nd="1"/>
        <i x="10627" nd="1"/>
        <i x="10628" nd="1"/>
        <i x="10629" nd="1"/>
        <i x="10630" nd="1"/>
        <i x="10631" nd="1"/>
        <i x="10632" nd="1"/>
        <i x="10633" nd="1"/>
        <i x="10634" nd="1"/>
        <i x="10635" nd="1"/>
        <i x="10636" nd="1"/>
        <i x="10637" nd="1"/>
        <i x="10638" nd="1"/>
        <i x="10639" nd="1"/>
        <i x="10640" nd="1"/>
        <i x="10641" nd="1"/>
        <i x="10642" nd="1"/>
        <i x="10643" nd="1"/>
        <i x="10644" nd="1"/>
        <i x="10645" nd="1"/>
        <i x="10646" nd="1"/>
        <i x="10647" nd="1"/>
        <i x="10648" nd="1"/>
        <i x="10649" nd="1"/>
        <i x="10650" nd="1"/>
        <i x="10651" nd="1"/>
        <i x="10652" nd="1"/>
        <i x="10653" nd="1"/>
        <i x="10654" nd="1"/>
        <i x="10655" nd="1"/>
        <i x="10656" nd="1"/>
        <i x="10657" nd="1"/>
        <i x="10658" nd="1"/>
        <i x="10659" nd="1"/>
        <i x="10660" nd="1"/>
        <i x="10661" nd="1"/>
        <i x="10662" nd="1"/>
        <i x="10663" nd="1"/>
        <i x="10664" nd="1"/>
        <i x="10665" nd="1"/>
        <i x="10666" nd="1"/>
        <i x="10667" nd="1"/>
        <i x="10668" nd="1"/>
        <i x="10669" nd="1"/>
        <i x="10670" nd="1"/>
        <i x="10671" nd="1"/>
        <i x="10672" nd="1"/>
        <i x="10673" nd="1"/>
        <i x="10674" nd="1"/>
        <i x="10675" nd="1"/>
        <i x="10676" nd="1"/>
        <i x="10677" nd="1"/>
        <i x="10678" nd="1"/>
        <i x="10679" nd="1"/>
        <i x="10680" nd="1"/>
        <i x="10681" nd="1"/>
        <i x="10682" nd="1"/>
        <i x="10683" nd="1"/>
        <i x="10684" nd="1"/>
        <i x="10685" nd="1"/>
        <i x="10686" nd="1"/>
        <i x="10687" nd="1"/>
        <i x="10688" nd="1"/>
        <i x="10689" nd="1"/>
        <i x="10690" nd="1"/>
        <i x="10691" nd="1"/>
        <i x="10692" nd="1"/>
        <i x="10693" nd="1"/>
        <i x="10694" nd="1"/>
        <i x="10695" nd="1"/>
        <i x="10696" nd="1"/>
        <i x="10697" nd="1"/>
        <i x="10698" nd="1"/>
        <i x="10699" nd="1"/>
        <i x="10700" nd="1"/>
        <i x="10701" nd="1"/>
        <i x="10702" nd="1"/>
        <i x="10703" nd="1"/>
        <i x="10704" nd="1"/>
        <i x="10705" nd="1"/>
        <i x="10706" nd="1"/>
        <i x="10707" nd="1"/>
        <i x="10708" nd="1"/>
        <i x="10709" nd="1"/>
        <i x="10710" nd="1"/>
        <i x="10711" nd="1"/>
        <i x="10712" nd="1"/>
        <i x="10713" nd="1"/>
        <i x="10714" nd="1"/>
        <i x="10715" nd="1"/>
        <i x="10716" nd="1"/>
        <i x="10717" nd="1"/>
        <i x="10718" nd="1"/>
        <i x="10719" nd="1"/>
        <i x="10720" nd="1"/>
        <i x="10721" nd="1"/>
        <i x="10722" nd="1"/>
        <i x="10723" nd="1"/>
        <i x="10724" nd="1"/>
        <i x="10725" nd="1"/>
        <i x="10726" nd="1"/>
        <i x="10727" nd="1"/>
        <i x="10728" nd="1"/>
        <i x="10729" nd="1"/>
        <i x="10730" nd="1"/>
        <i x="10731" nd="1"/>
        <i x="10732" nd="1"/>
        <i x="10733" nd="1"/>
        <i x="10734" nd="1"/>
        <i x="10735" nd="1"/>
        <i x="10736" nd="1"/>
        <i x="10737" nd="1"/>
        <i x="10738" nd="1"/>
        <i x="10739" nd="1"/>
        <i x="10740" nd="1"/>
        <i x="10741" nd="1"/>
        <i x="10742" nd="1"/>
        <i x="10743" nd="1"/>
        <i x="10744" nd="1"/>
        <i x="10745" nd="1"/>
        <i x="10746" nd="1"/>
        <i x="10747" nd="1"/>
        <i x="10748" nd="1"/>
        <i x="10749" nd="1"/>
        <i x="10750" nd="1"/>
        <i x="10751" nd="1"/>
        <i x="10752" nd="1"/>
        <i x="10753" nd="1"/>
        <i x="10754" nd="1"/>
        <i x="10755" nd="1"/>
        <i x="10756" nd="1"/>
        <i x="10757" nd="1"/>
        <i x="10758" nd="1"/>
        <i x="10759" nd="1"/>
        <i x="10760" nd="1"/>
        <i x="10761" nd="1"/>
        <i x="10762" nd="1"/>
        <i x="10763" nd="1"/>
        <i x="10764" nd="1"/>
        <i x="10765" nd="1"/>
        <i x="10766" nd="1"/>
        <i x="10767" nd="1"/>
        <i x="10768" nd="1"/>
        <i x="10769" nd="1"/>
        <i x="10770" nd="1"/>
        <i x="10771" nd="1"/>
        <i x="10772" nd="1"/>
        <i x="10773" nd="1"/>
        <i x="10774" nd="1"/>
        <i x="10775" nd="1"/>
        <i x="10776" nd="1"/>
        <i x="10777" nd="1"/>
        <i x="10778" nd="1"/>
        <i x="10779" nd="1"/>
        <i x="10780" nd="1"/>
        <i x="10781" nd="1"/>
        <i x="10782" nd="1"/>
        <i x="10783" nd="1"/>
        <i x="10784" nd="1"/>
        <i x="10785" nd="1"/>
        <i x="10786" nd="1"/>
        <i x="10787" nd="1"/>
        <i x="10788" nd="1"/>
        <i x="10789" nd="1"/>
        <i x="10790" nd="1"/>
        <i x="10791" nd="1"/>
        <i x="10792" nd="1"/>
        <i x="10793" nd="1"/>
        <i x="10794" nd="1"/>
        <i x="10795" nd="1"/>
        <i x="10796" nd="1"/>
        <i x="10797" nd="1"/>
        <i x="10798" nd="1"/>
        <i x="10799" nd="1"/>
        <i x="10800" nd="1"/>
        <i x="10801" nd="1"/>
        <i x="10802" nd="1"/>
        <i x="10803" nd="1"/>
        <i x="10804" nd="1"/>
        <i x="10805" nd="1"/>
        <i x="10806" nd="1"/>
        <i x="10807" nd="1"/>
        <i x="10808" nd="1"/>
        <i x="10809" nd="1"/>
        <i x="10810" nd="1"/>
        <i x="10811" nd="1"/>
        <i x="10812" nd="1"/>
        <i x="10813" nd="1"/>
        <i x="10814" nd="1"/>
        <i x="10815" nd="1"/>
        <i x="10816" nd="1"/>
        <i x="10817" nd="1"/>
        <i x="10818" nd="1"/>
        <i x="10819" nd="1"/>
        <i x="10820" nd="1"/>
        <i x="10821" nd="1"/>
        <i x="10822" nd="1"/>
        <i x="10823" nd="1"/>
        <i x="10824" nd="1"/>
        <i x="10825" nd="1"/>
        <i x="10826" nd="1"/>
        <i x="10827" nd="1"/>
        <i x="10828" nd="1"/>
        <i x="10829" nd="1"/>
        <i x="10830" nd="1"/>
        <i x="10831" nd="1"/>
        <i x="10832" nd="1"/>
        <i x="10833" nd="1"/>
        <i x="10834" nd="1"/>
        <i x="10835" nd="1"/>
        <i x="10836" nd="1"/>
        <i x="10837" nd="1"/>
        <i x="10838" nd="1"/>
        <i x="10839" nd="1"/>
        <i x="10840" nd="1"/>
        <i x="10841" nd="1"/>
        <i x="10842" nd="1"/>
        <i x="10843" nd="1"/>
        <i x="10844" nd="1"/>
        <i x="10845" nd="1"/>
        <i x="10846" nd="1"/>
        <i x="10847" nd="1"/>
        <i x="10848" nd="1"/>
        <i x="10849" nd="1"/>
        <i x="10850" nd="1"/>
        <i x="10851" nd="1"/>
        <i x="10852" nd="1"/>
        <i x="10853" nd="1"/>
        <i x="10854" nd="1"/>
        <i x="10855" nd="1"/>
        <i x="10856" nd="1"/>
        <i x="10857" nd="1"/>
        <i x="10858" nd="1"/>
        <i x="10859" nd="1"/>
        <i x="10860" nd="1"/>
        <i x="10861" nd="1"/>
        <i x="10862" nd="1"/>
        <i x="10863" nd="1"/>
        <i x="10864" nd="1"/>
        <i x="10865" nd="1"/>
        <i x="10866" nd="1"/>
        <i x="10867" nd="1"/>
        <i x="10868" nd="1"/>
        <i x="10869" nd="1"/>
        <i x="10870" nd="1"/>
        <i x="10871" nd="1"/>
        <i x="10872" nd="1"/>
        <i x="10873" nd="1"/>
        <i x="10874" nd="1"/>
        <i x="10875" nd="1"/>
        <i x="10876" nd="1"/>
        <i x="10877" nd="1"/>
        <i x="10878" nd="1"/>
        <i x="10879" nd="1"/>
        <i x="10880" nd="1"/>
        <i x="10881" nd="1"/>
        <i x="10882" nd="1"/>
        <i x="10883" nd="1"/>
        <i x="10884" nd="1"/>
        <i x="10885" nd="1"/>
        <i x="10886" nd="1"/>
        <i x="10887" nd="1"/>
        <i x="10888" nd="1"/>
        <i x="10889" nd="1"/>
        <i x="10890" nd="1"/>
        <i x="10891" nd="1"/>
        <i x="10892" nd="1"/>
        <i x="10893" nd="1"/>
        <i x="10894" nd="1"/>
        <i x="10895" nd="1"/>
        <i x="10896" nd="1"/>
        <i x="10897" nd="1"/>
        <i x="10898" nd="1"/>
        <i x="10899" nd="1"/>
        <i x="10900" nd="1"/>
        <i x="10901" nd="1"/>
        <i x="10902" nd="1"/>
        <i x="10903" nd="1"/>
        <i x="10904" nd="1"/>
        <i x="10905" nd="1"/>
        <i x="10906" nd="1"/>
        <i x="10907" nd="1"/>
        <i x="10908" nd="1"/>
        <i x="10909" nd="1"/>
        <i x="10910" nd="1"/>
        <i x="10911" nd="1"/>
        <i x="10912" nd="1"/>
        <i x="10913" nd="1"/>
        <i x="10914" nd="1"/>
        <i x="10915" nd="1"/>
        <i x="10916" nd="1"/>
        <i x="10917" nd="1"/>
        <i x="10918" nd="1"/>
        <i x="10919" nd="1"/>
        <i x="10920" nd="1"/>
        <i x="10921" nd="1"/>
        <i x="10922" nd="1"/>
        <i x="10923" nd="1"/>
        <i x="10924" nd="1"/>
        <i x="10925" nd="1"/>
        <i x="10926" nd="1"/>
        <i x="10927" nd="1"/>
        <i x="10928" nd="1"/>
        <i x="10929" nd="1"/>
        <i x="10930" nd="1"/>
        <i x="10931" nd="1"/>
        <i x="10932" nd="1"/>
        <i x="10933" nd="1"/>
        <i x="10934" nd="1"/>
        <i x="10935" nd="1"/>
        <i x="10936" nd="1"/>
        <i x="10937" nd="1"/>
        <i x="10938" nd="1"/>
        <i x="10939" nd="1"/>
        <i x="10940" nd="1"/>
        <i x="10941" nd="1"/>
        <i x="10942" nd="1"/>
        <i x="10943" nd="1"/>
        <i x="10944" nd="1"/>
        <i x="10945" nd="1"/>
        <i x="10946" nd="1"/>
        <i x="10947" nd="1"/>
        <i x="10948" nd="1"/>
        <i x="10949" nd="1"/>
        <i x="10950" nd="1"/>
        <i x="10951" nd="1"/>
        <i x="10952" nd="1"/>
        <i x="10953" nd="1"/>
        <i x="10954" nd="1"/>
        <i x="10955" nd="1"/>
        <i x="10956" nd="1"/>
        <i x="10957" nd="1"/>
        <i x="10958" nd="1"/>
        <i x="10959" nd="1"/>
        <i x="10960" nd="1"/>
        <i x="10961" nd="1"/>
        <i x="10962" nd="1"/>
        <i x="10963" nd="1"/>
        <i x="10964" nd="1"/>
        <i x="10965" nd="1"/>
        <i x="10966" nd="1"/>
        <i x="10967" nd="1"/>
        <i x="10968" nd="1"/>
        <i x="10969" nd="1"/>
        <i x="10970" nd="1"/>
        <i x="10971" nd="1"/>
        <i x="10972" nd="1"/>
        <i x="10973" nd="1"/>
        <i x="10974" nd="1"/>
        <i x="10975" nd="1"/>
        <i x="10976" nd="1"/>
        <i x="10977" nd="1"/>
        <i x="10978" nd="1"/>
        <i x="10979" nd="1"/>
        <i x="10980" nd="1"/>
        <i x="10981" nd="1"/>
        <i x="10982" nd="1"/>
        <i x="10983" nd="1"/>
        <i x="10984" nd="1"/>
        <i x="10985" nd="1"/>
        <i x="10986" nd="1"/>
        <i x="10987" nd="1"/>
        <i x="10988" nd="1"/>
        <i x="10989" nd="1"/>
        <i x="10990" nd="1"/>
        <i x="10991" nd="1"/>
        <i x="10992" nd="1"/>
        <i x="10993" nd="1"/>
        <i x="10994" nd="1"/>
        <i x="10995" nd="1"/>
        <i x="10996" nd="1"/>
        <i x="10997" nd="1"/>
        <i x="10998" nd="1"/>
        <i x="10999" nd="1"/>
        <i x="11000" nd="1"/>
        <i x="11001" nd="1"/>
        <i x="11002" nd="1"/>
        <i x="11003" nd="1"/>
        <i x="11004" nd="1"/>
        <i x="11005" nd="1"/>
        <i x="11006" nd="1"/>
        <i x="11007" nd="1"/>
        <i x="11008" nd="1"/>
        <i x="11009" nd="1"/>
        <i x="11010" nd="1"/>
        <i x="11011" nd="1"/>
        <i x="11012" nd="1"/>
        <i x="11013" nd="1"/>
        <i x="11014" nd="1"/>
        <i x="11015" nd="1"/>
        <i x="11016" nd="1"/>
        <i x="11017" nd="1"/>
        <i x="11018" nd="1"/>
        <i x="11019" nd="1"/>
        <i x="11020" nd="1"/>
        <i x="11021" nd="1"/>
        <i x="11022" nd="1"/>
        <i x="11023" nd="1"/>
        <i x="11024" nd="1"/>
        <i x="11025" nd="1"/>
        <i x="11026" nd="1"/>
        <i x="11027" nd="1"/>
        <i x="11028" nd="1"/>
        <i x="11029" nd="1"/>
        <i x="11030" nd="1"/>
        <i x="11031" nd="1"/>
        <i x="11032" nd="1"/>
        <i x="11033" nd="1"/>
        <i x="11034" nd="1"/>
        <i x="11035" nd="1"/>
        <i x="11036" nd="1"/>
        <i x="11037" nd="1"/>
        <i x="11038" nd="1"/>
        <i x="11039" nd="1"/>
        <i x="11040" nd="1"/>
        <i x="11041" nd="1"/>
        <i x="11042" nd="1"/>
        <i x="11043" nd="1"/>
        <i x="11044" nd="1"/>
        <i x="11045" nd="1"/>
        <i x="11046" nd="1"/>
        <i x="11047" nd="1"/>
        <i x="11048" nd="1"/>
        <i x="11049" nd="1"/>
        <i x="11050" nd="1"/>
        <i x="11051" nd="1"/>
        <i x="11052" nd="1"/>
        <i x="11053" nd="1"/>
        <i x="11054" nd="1"/>
        <i x="11055" nd="1"/>
        <i x="11056" nd="1"/>
        <i x="11057" nd="1"/>
        <i x="11058" nd="1"/>
        <i x="11059" nd="1"/>
        <i x="11060" nd="1"/>
        <i x="11061" nd="1"/>
        <i x="11062" nd="1"/>
        <i x="11063" nd="1"/>
        <i x="11064" nd="1"/>
        <i x="11065" nd="1"/>
        <i x="11066" nd="1"/>
        <i x="11067" nd="1"/>
        <i x="11068" nd="1"/>
        <i x="11069" nd="1"/>
        <i x="11070" nd="1"/>
        <i x="11071" nd="1"/>
        <i x="11072" nd="1"/>
        <i x="11073" nd="1"/>
        <i x="11074" nd="1"/>
        <i x="11075" nd="1"/>
        <i x="11076" nd="1"/>
        <i x="11077" nd="1"/>
        <i x="11078" nd="1"/>
        <i x="11079" nd="1"/>
        <i x="11080" nd="1"/>
        <i x="11081" nd="1"/>
        <i x="11082" nd="1"/>
        <i x="11083" nd="1"/>
        <i x="11084" nd="1"/>
        <i x="11085" nd="1"/>
        <i x="11086" nd="1"/>
        <i x="11087" nd="1"/>
        <i x="11088" nd="1"/>
        <i x="11089" nd="1"/>
        <i x="11090" nd="1"/>
        <i x="11091" nd="1"/>
        <i x="11092" nd="1"/>
        <i x="11093" nd="1"/>
        <i x="11094" nd="1"/>
        <i x="11095" nd="1"/>
        <i x="11096" nd="1"/>
        <i x="11097" nd="1"/>
        <i x="11098" nd="1"/>
        <i x="11099" nd="1"/>
        <i x="11100" nd="1"/>
        <i x="11101" nd="1"/>
        <i x="11102" nd="1"/>
        <i x="11103" nd="1"/>
        <i x="11104" nd="1"/>
        <i x="11105" nd="1"/>
        <i x="11106" nd="1"/>
        <i x="11107" nd="1"/>
        <i x="11108" nd="1"/>
        <i x="11109" nd="1"/>
        <i x="11110" nd="1"/>
        <i x="11111" nd="1"/>
        <i x="11112" nd="1"/>
        <i x="11113" nd="1"/>
        <i x="11114" nd="1"/>
        <i x="11115" nd="1"/>
        <i x="11116" nd="1"/>
        <i x="11117" nd="1"/>
        <i x="11118" nd="1"/>
        <i x="11119" nd="1"/>
        <i x="11120" nd="1"/>
        <i x="11121" nd="1"/>
        <i x="11122" nd="1"/>
        <i x="11123" nd="1"/>
        <i x="11124" nd="1"/>
        <i x="11125" nd="1"/>
        <i x="11126" nd="1"/>
        <i x="11127" nd="1"/>
        <i x="11128" nd="1"/>
        <i x="11129" nd="1"/>
        <i x="11130" nd="1"/>
        <i x="11131" nd="1"/>
        <i x="11132" nd="1"/>
        <i x="11133" nd="1"/>
        <i x="11134" nd="1"/>
        <i x="11135" nd="1"/>
        <i x="11136" nd="1"/>
        <i x="11137" nd="1"/>
        <i x="11138" nd="1"/>
        <i x="11139" nd="1"/>
        <i x="11140" nd="1"/>
        <i x="11141" nd="1"/>
        <i x="11142" nd="1"/>
        <i x="11143" nd="1"/>
        <i x="11144" nd="1"/>
        <i x="11145" nd="1"/>
        <i x="11146" nd="1"/>
        <i x="11147" nd="1"/>
        <i x="11148" nd="1"/>
        <i x="11149" nd="1"/>
        <i x="11150" nd="1"/>
        <i x="11151" nd="1"/>
        <i x="11152" nd="1"/>
        <i x="11153" nd="1"/>
        <i x="11154" nd="1"/>
        <i x="11155" nd="1"/>
        <i x="11156" nd="1"/>
        <i x="11157" nd="1"/>
        <i x="11158" nd="1"/>
        <i x="11159" nd="1"/>
        <i x="11160" nd="1"/>
        <i x="11161" nd="1"/>
        <i x="11162" nd="1"/>
        <i x="11163" nd="1"/>
        <i x="11164" nd="1"/>
        <i x="11165" nd="1"/>
        <i x="11166" nd="1"/>
        <i x="11167" nd="1"/>
        <i x="11168" nd="1"/>
        <i x="11169" nd="1"/>
        <i x="11170" nd="1"/>
        <i x="11171" nd="1"/>
        <i x="11172" nd="1"/>
        <i x="11173" nd="1"/>
        <i x="11174" nd="1"/>
        <i x="11175" nd="1"/>
        <i x="11176" nd="1"/>
        <i x="11177" nd="1"/>
        <i x="11178" nd="1"/>
        <i x="11179" nd="1"/>
        <i x="11180" nd="1"/>
        <i x="11181" nd="1"/>
        <i x="11182" nd="1"/>
        <i x="11183" nd="1"/>
        <i x="11184" nd="1"/>
        <i x="11185" nd="1"/>
        <i x="11186" nd="1"/>
        <i x="11187" nd="1"/>
        <i x="11188" nd="1"/>
        <i x="11189" nd="1"/>
        <i x="11190" nd="1"/>
        <i x="11191" nd="1"/>
        <i x="11192" nd="1"/>
        <i x="11193" nd="1"/>
        <i x="11194" nd="1"/>
        <i x="11195" nd="1"/>
        <i x="11196" nd="1"/>
        <i x="11197" nd="1"/>
        <i x="11198" nd="1"/>
        <i x="11199" nd="1"/>
        <i x="11200" nd="1"/>
        <i x="11201" nd="1"/>
        <i x="11202" nd="1"/>
        <i x="11203" nd="1"/>
        <i x="11204" nd="1"/>
        <i x="11205" nd="1"/>
        <i x="11206" nd="1"/>
        <i x="11207" nd="1"/>
        <i x="11208" nd="1"/>
        <i x="11209" nd="1"/>
        <i x="11210" nd="1"/>
        <i x="11211" nd="1"/>
        <i x="11212" nd="1"/>
        <i x="11213" nd="1"/>
        <i x="11214" nd="1"/>
        <i x="11215" nd="1"/>
        <i x="11216" nd="1"/>
        <i x="11217" nd="1"/>
        <i x="11218" nd="1"/>
        <i x="11219" nd="1"/>
        <i x="11220" nd="1"/>
        <i x="11221" nd="1"/>
        <i x="11222" nd="1"/>
        <i x="11223" nd="1"/>
        <i x="11224" nd="1"/>
        <i x="11225" nd="1"/>
        <i x="11226" nd="1"/>
        <i x="11227" nd="1"/>
        <i x="11228" nd="1"/>
        <i x="11229" nd="1"/>
        <i x="11230" nd="1"/>
        <i x="11231" nd="1"/>
        <i x="11232" nd="1"/>
        <i x="11233" nd="1"/>
        <i x="11234" nd="1"/>
        <i x="11235" nd="1"/>
        <i x="11236" nd="1"/>
        <i x="11237" nd="1"/>
        <i x="11238" nd="1"/>
        <i x="11239" nd="1"/>
        <i x="11240" nd="1"/>
        <i x="11241" nd="1"/>
        <i x="11242" nd="1"/>
        <i x="11243" nd="1"/>
        <i x="11244" nd="1"/>
        <i x="11245" nd="1"/>
        <i x="11246" nd="1"/>
        <i x="11247" nd="1"/>
        <i x="11248" nd="1"/>
        <i x="11249" nd="1"/>
        <i x="11250" nd="1"/>
        <i x="11251" nd="1"/>
        <i x="11252" nd="1"/>
        <i x="11253" nd="1"/>
        <i x="11254" nd="1"/>
        <i x="11255" nd="1"/>
        <i x="11256" nd="1"/>
        <i x="11257" nd="1"/>
        <i x="11258" nd="1"/>
        <i x="11259" nd="1"/>
        <i x="11260" nd="1"/>
        <i x="11261" nd="1"/>
        <i x="11262" nd="1"/>
        <i x="11263" nd="1"/>
        <i x="11264" nd="1"/>
        <i x="11265" nd="1"/>
        <i x="11266" nd="1"/>
        <i x="11267" nd="1"/>
        <i x="11268" nd="1"/>
        <i x="11269" nd="1"/>
        <i x="11270" nd="1"/>
        <i x="11271" nd="1"/>
        <i x="11272" nd="1"/>
        <i x="11273" nd="1"/>
        <i x="11274" nd="1"/>
        <i x="11275" nd="1"/>
        <i x="11276" nd="1"/>
        <i x="11277" nd="1"/>
        <i x="11278" nd="1"/>
        <i x="11279" nd="1"/>
        <i x="11280" nd="1"/>
        <i x="11281" nd="1"/>
        <i x="11282" nd="1"/>
        <i x="11283" nd="1"/>
        <i x="11284" nd="1"/>
        <i x="11285" nd="1"/>
        <i x="11286" nd="1"/>
        <i x="11287" nd="1"/>
        <i x="11288" nd="1"/>
        <i x="11289" nd="1"/>
        <i x="11290" nd="1"/>
        <i x="11291" nd="1"/>
        <i x="11292" nd="1"/>
        <i x="11293" nd="1"/>
        <i x="11294" nd="1"/>
        <i x="11295" nd="1"/>
        <i x="11296" nd="1"/>
        <i x="11297" nd="1"/>
        <i x="11298" nd="1"/>
        <i x="11299" nd="1"/>
        <i x="11300" nd="1"/>
        <i x="11301" nd="1"/>
        <i x="11302" nd="1"/>
        <i x="11303" nd="1"/>
        <i x="11304" nd="1"/>
        <i x="11305" nd="1"/>
        <i x="11306" nd="1"/>
        <i x="11307" nd="1"/>
        <i x="11308" nd="1"/>
        <i x="11309" nd="1"/>
        <i x="11310" nd="1"/>
        <i x="11311" nd="1"/>
        <i x="11312" nd="1"/>
        <i x="11313" nd="1"/>
        <i x="11314" nd="1"/>
        <i x="11315" nd="1"/>
        <i x="11316" nd="1"/>
        <i x="11317" nd="1"/>
        <i x="11318" nd="1"/>
        <i x="11319" nd="1"/>
        <i x="11320" nd="1"/>
        <i x="11321" nd="1"/>
        <i x="11322" nd="1"/>
        <i x="11323" nd="1"/>
        <i x="11324" nd="1"/>
        <i x="11325" nd="1"/>
        <i x="11326" nd="1"/>
        <i x="11327" nd="1"/>
        <i x="11328" nd="1"/>
        <i x="11329" nd="1"/>
        <i x="11330" nd="1"/>
        <i x="11331" nd="1"/>
        <i x="11332" nd="1"/>
        <i x="11333" nd="1"/>
        <i x="11334" nd="1"/>
        <i x="11335" nd="1"/>
        <i x="11336" nd="1"/>
        <i x="11337" nd="1"/>
        <i x="11338" nd="1"/>
        <i x="11339" nd="1"/>
        <i x="11340" nd="1"/>
        <i x="11341" nd="1"/>
        <i x="11342" nd="1"/>
        <i x="11343" nd="1"/>
        <i x="11344" nd="1"/>
        <i x="11345" nd="1"/>
        <i x="11346" nd="1"/>
        <i x="11347" nd="1"/>
        <i x="11348" nd="1"/>
        <i x="11349" nd="1"/>
        <i x="11350" nd="1"/>
        <i x="11351" nd="1"/>
        <i x="11352" nd="1"/>
        <i x="11353" nd="1"/>
        <i x="11354" nd="1"/>
        <i x="11355" nd="1"/>
        <i x="11356" nd="1"/>
        <i x="11357" nd="1"/>
        <i x="11358" nd="1"/>
        <i x="11359" nd="1"/>
        <i x="11360" nd="1"/>
        <i x="11361" nd="1"/>
        <i x="11362" nd="1"/>
        <i x="11363" nd="1"/>
        <i x="11364" nd="1"/>
        <i x="11365" nd="1"/>
        <i x="11366" nd="1"/>
        <i x="11367" nd="1"/>
        <i x="11368" nd="1"/>
        <i x="11369" nd="1"/>
        <i x="11370" nd="1"/>
        <i x="11371" nd="1"/>
        <i x="11372" nd="1"/>
        <i x="11373" nd="1"/>
        <i x="11374" nd="1"/>
        <i x="11375" nd="1"/>
        <i x="11376" nd="1"/>
        <i x="11377" nd="1"/>
        <i x="11378" nd="1"/>
        <i x="11379" nd="1"/>
        <i x="11380" nd="1"/>
        <i x="11381" nd="1"/>
        <i x="11382" nd="1"/>
        <i x="11383" nd="1"/>
        <i x="11384" nd="1"/>
        <i x="11385" nd="1"/>
        <i x="11386" nd="1"/>
        <i x="11387" nd="1"/>
        <i x="11388" nd="1"/>
        <i x="11389" nd="1"/>
        <i x="11390" nd="1"/>
        <i x="11391" nd="1"/>
        <i x="11392" nd="1"/>
        <i x="11393" nd="1"/>
        <i x="11394" nd="1"/>
        <i x="11395" nd="1"/>
        <i x="11396" nd="1"/>
        <i x="11397" nd="1"/>
        <i x="11398" nd="1"/>
        <i x="11399" nd="1"/>
        <i x="11400" nd="1"/>
        <i x="11401" nd="1"/>
        <i x="11402" nd="1"/>
        <i x="11403" nd="1"/>
        <i x="11404" nd="1"/>
        <i x="11405" nd="1"/>
        <i x="11406" nd="1"/>
        <i x="11407" nd="1"/>
        <i x="11408" nd="1"/>
        <i x="11409" nd="1"/>
        <i x="11410" nd="1"/>
        <i x="11411" nd="1"/>
        <i x="11412" nd="1"/>
        <i x="11413" nd="1"/>
        <i x="11414" nd="1"/>
        <i x="11415" nd="1"/>
        <i x="11416" nd="1"/>
        <i x="11417" nd="1"/>
        <i x="11418" nd="1"/>
        <i x="11419" nd="1"/>
        <i x="11420" nd="1"/>
        <i x="11421" nd="1"/>
        <i x="11422" nd="1"/>
        <i x="11423" nd="1"/>
        <i x="11424" nd="1"/>
        <i x="11425" nd="1"/>
        <i x="11426" nd="1"/>
        <i x="11427" nd="1"/>
        <i x="11428" nd="1"/>
        <i x="11429" nd="1"/>
        <i x="11430" nd="1"/>
        <i x="11431" nd="1"/>
        <i x="11432" nd="1"/>
        <i x="11433" nd="1"/>
        <i x="11434" nd="1"/>
        <i x="11435" nd="1"/>
        <i x="11436" nd="1"/>
        <i x="11437" nd="1"/>
        <i x="11438" nd="1"/>
        <i x="11439" nd="1"/>
        <i x="11440" nd="1"/>
        <i x="11441" nd="1"/>
        <i x="11442" nd="1"/>
        <i x="11443" nd="1"/>
        <i x="11444" nd="1"/>
        <i x="11445" nd="1"/>
        <i x="11446" nd="1"/>
        <i x="11447" nd="1"/>
        <i x="11448" nd="1"/>
        <i x="11449" nd="1"/>
        <i x="11450" nd="1"/>
        <i x="11451" nd="1"/>
        <i x="11452" nd="1"/>
        <i x="11453" nd="1"/>
        <i x="11454" nd="1"/>
        <i x="11455" nd="1"/>
        <i x="11456" nd="1"/>
        <i x="11457" nd="1"/>
        <i x="11458" nd="1"/>
        <i x="11459" nd="1"/>
        <i x="11460" nd="1"/>
        <i x="11461" nd="1"/>
        <i x="11462" nd="1"/>
        <i x="11463" nd="1"/>
        <i x="11464" nd="1"/>
        <i x="11465" nd="1"/>
        <i x="11466" nd="1"/>
        <i x="11467" nd="1"/>
        <i x="11468" nd="1"/>
        <i x="11469" nd="1"/>
        <i x="11470" nd="1"/>
        <i x="11471" nd="1"/>
        <i x="11472" nd="1"/>
        <i x="11473" nd="1"/>
        <i x="11474" nd="1"/>
        <i x="11475" nd="1"/>
        <i x="11476" nd="1"/>
        <i x="11477" nd="1"/>
        <i x="11478" nd="1"/>
        <i x="11479" nd="1"/>
        <i x="11480" nd="1"/>
        <i x="11481" nd="1"/>
        <i x="11482" nd="1"/>
        <i x="11483" nd="1"/>
        <i x="11484" nd="1"/>
        <i x="11485" nd="1"/>
        <i x="11486" nd="1"/>
        <i x="11487" nd="1"/>
        <i x="11488" nd="1"/>
        <i x="11489" nd="1"/>
        <i x="11490" nd="1"/>
        <i x="11491" nd="1"/>
        <i x="11492" nd="1"/>
        <i x="11493" nd="1"/>
        <i x="11494" nd="1"/>
        <i x="11495" nd="1"/>
        <i x="11496" nd="1"/>
        <i x="11497" nd="1"/>
        <i x="11498" nd="1"/>
        <i x="11499" nd="1"/>
        <i x="11500" nd="1"/>
        <i x="11501" nd="1"/>
        <i x="11502" nd="1"/>
        <i x="11503" nd="1"/>
        <i x="11504" nd="1"/>
        <i x="11505" nd="1"/>
        <i x="11506" nd="1"/>
        <i x="11507" nd="1"/>
        <i x="11508" nd="1"/>
        <i x="11509" nd="1"/>
        <i x="11510" nd="1"/>
        <i x="11511" nd="1"/>
        <i x="11512" nd="1"/>
        <i x="11513" nd="1"/>
        <i x="11514" nd="1"/>
        <i x="11515" nd="1"/>
        <i x="11516" nd="1"/>
        <i x="11517" nd="1"/>
        <i x="11518" nd="1"/>
        <i x="11519" nd="1"/>
        <i x="11520" nd="1"/>
        <i x="11521" nd="1"/>
        <i x="11522" nd="1"/>
        <i x="11523" nd="1"/>
        <i x="11524" nd="1"/>
        <i x="11525" nd="1"/>
        <i x="11526" nd="1"/>
        <i x="11527" nd="1"/>
        <i x="11528" nd="1"/>
        <i x="11529" nd="1"/>
        <i x="11530" nd="1"/>
        <i x="11531" nd="1"/>
        <i x="11532" nd="1"/>
        <i x="11533" nd="1"/>
        <i x="11534" nd="1"/>
        <i x="11535" nd="1"/>
        <i x="11536" nd="1"/>
        <i x="11537" nd="1"/>
        <i x="11538" nd="1"/>
        <i x="11539" nd="1"/>
        <i x="11540" nd="1"/>
        <i x="11541" nd="1"/>
        <i x="11542" nd="1"/>
        <i x="11543" nd="1"/>
        <i x="11544" nd="1"/>
        <i x="11545" nd="1"/>
        <i x="11546" nd="1"/>
        <i x="11547" nd="1"/>
        <i x="11548" nd="1"/>
        <i x="11549" nd="1"/>
        <i x="11550" nd="1"/>
        <i x="11551" nd="1"/>
        <i x="11552" nd="1"/>
        <i x="11553" nd="1"/>
        <i x="11554" nd="1"/>
        <i x="11555" nd="1"/>
        <i x="11556" nd="1"/>
        <i x="11557" nd="1"/>
        <i x="11558" nd="1"/>
        <i x="11559" nd="1"/>
        <i x="11560" nd="1"/>
        <i x="11561" nd="1"/>
        <i x="11562" nd="1"/>
        <i x="11563" nd="1"/>
        <i x="11564" nd="1"/>
        <i x="11565" nd="1"/>
        <i x="11566" nd="1"/>
        <i x="11567" nd="1"/>
        <i x="11568" nd="1"/>
        <i x="11569" nd="1"/>
        <i x="11570" nd="1"/>
        <i x="11571" nd="1"/>
        <i x="11572" nd="1"/>
        <i x="11573" nd="1"/>
        <i x="11574" nd="1"/>
        <i x="11575" nd="1"/>
        <i x="11576" nd="1"/>
        <i x="11577" nd="1"/>
        <i x="11578" nd="1"/>
        <i x="11579" nd="1"/>
        <i x="11580" nd="1"/>
        <i x="11581" nd="1"/>
        <i x="11582" nd="1"/>
        <i x="11583" nd="1"/>
        <i x="11584" nd="1"/>
        <i x="11585" nd="1"/>
        <i x="11586" nd="1"/>
        <i x="11587" nd="1"/>
        <i x="11588" nd="1"/>
        <i x="11589" nd="1"/>
        <i x="11590" nd="1"/>
        <i x="11591" nd="1"/>
        <i x="11592" nd="1"/>
        <i x="11593" nd="1"/>
        <i x="11594" nd="1"/>
        <i x="11595" nd="1"/>
        <i x="11596" nd="1"/>
        <i x="11597" nd="1"/>
        <i x="11598" nd="1"/>
        <i x="11599" nd="1"/>
        <i x="11600" nd="1"/>
        <i x="11601" nd="1"/>
        <i x="11602" nd="1"/>
        <i x="11603" nd="1"/>
        <i x="11604" nd="1"/>
        <i x="11605" nd="1"/>
        <i x="11606" nd="1"/>
        <i x="11607" nd="1"/>
        <i x="11608" nd="1"/>
        <i x="11609" nd="1"/>
        <i x="11610" nd="1"/>
        <i x="11611" nd="1"/>
        <i x="11612" nd="1"/>
        <i x="11613" nd="1"/>
        <i x="11614" nd="1"/>
        <i x="11615" nd="1"/>
        <i x="11616" nd="1"/>
        <i x="11617" nd="1"/>
        <i x="11618" nd="1"/>
        <i x="11619" nd="1"/>
        <i x="11620" nd="1"/>
        <i x="11621" nd="1"/>
        <i x="11622" nd="1"/>
        <i x="11623" nd="1"/>
        <i x="11624" nd="1"/>
        <i x="11625" nd="1"/>
        <i x="11626" nd="1"/>
        <i x="11627" nd="1"/>
        <i x="11628" nd="1"/>
        <i x="11629" nd="1"/>
        <i x="11630" nd="1"/>
        <i x="11631" nd="1"/>
        <i x="11632" nd="1"/>
        <i x="11633" nd="1"/>
        <i x="11634" nd="1"/>
        <i x="11635" nd="1"/>
        <i x="11636" nd="1"/>
        <i x="11637" nd="1"/>
        <i x="11638" nd="1"/>
        <i x="11639" nd="1"/>
        <i x="11640" nd="1"/>
        <i x="11641" nd="1"/>
        <i x="11642" nd="1"/>
        <i x="11643" nd="1"/>
        <i x="11644" nd="1"/>
        <i x="11645" nd="1"/>
        <i x="11646" nd="1"/>
        <i x="11647" nd="1"/>
        <i x="11648" nd="1"/>
        <i x="11649" nd="1"/>
        <i x="11650" nd="1"/>
        <i x="11651" nd="1"/>
        <i x="11652" nd="1"/>
        <i x="11653" nd="1"/>
        <i x="11654" nd="1"/>
        <i x="11655" nd="1"/>
        <i x="11656" nd="1"/>
        <i x="11657" nd="1"/>
        <i x="11658" nd="1"/>
        <i x="11659" nd="1"/>
        <i x="11660" nd="1"/>
        <i x="11661" nd="1"/>
        <i x="11662" nd="1"/>
        <i x="11663" nd="1"/>
        <i x="11664" nd="1"/>
        <i x="11665" nd="1"/>
        <i x="11666" nd="1"/>
        <i x="11667" nd="1"/>
        <i x="11668" nd="1"/>
        <i x="11669" nd="1"/>
        <i x="11670" nd="1"/>
        <i x="11671" nd="1"/>
        <i x="11672" nd="1"/>
        <i x="11673" nd="1"/>
        <i x="11674" nd="1"/>
        <i x="11675" nd="1"/>
        <i x="11676" nd="1"/>
        <i x="11677" nd="1"/>
        <i x="11678" nd="1"/>
        <i x="11679" nd="1"/>
        <i x="11680" nd="1"/>
        <i x="11681" nd="1"/>
        <i x="11682" nd="1"/>
        <i x="11683" nd="1"/>
        <i x="11684" nd="1"/>
        <i x="11685" nd="1"/>
        <i x="11686" nd="1"/>
        <i x="11687" nd="1"/>
        <i x="11688" nd="1"/>
        <i x="11689" nd="1"/>
        <i x="11690" nd="1"/>
        <i x="11691" nd="1"/>
        <i x="11692" nd="1"/>
        <i x="11693" nd="1"/>
        <i x="11694" nd="1"/>
        <i x="11695" nd="1"/>
        <i x="11696" nd="1"/>
        <i x="11697" nd="1"/>
        <i x="11698" nd="1"/>
        <i x="11699" nd="1"/>
        <i x="11700" nd="1"/>
        <i x="11701" nd="1"/>
        <i x="11702" nd="1"/>
        <i x="11703" nd="1"/>
        <i x="11704" nd="1"/>
        <i x="11705" nd="1"/>
        <i x="11706" nd="1"/>
        <i x="11707" nd="1"/>
        <i x="11708" nd="1"/>
        <i x="11709" nd="1"/>
        <i x="11710" nd="1"/>
        <i x="11711" nd="1"/>
        <i x="11712" nd="1"/>
        <i x="11713" nd="1"/>
        <i x="11714" nd="1"/>
        <i x="11715" nd="1"/>
        <i x="11716" nd="1"/>
        <i x="11717" nd="1"/>
        <i x="11718" nd="1"/>
        <i x="11719" nd="1"/>
        <i x="11720" nd="1"/>
        <i x="11721" nd="1"/>
        <i x="11722" nd="1"/>
        <i x="11723" nd="1"/>
        <i x="11724" nd="1"/>
        <i x="11725" nd="1"/>
        <i x="11726" nd="1"/>
        <i x="11727" nd="1"/>
        <i x="11728" nd="1"/>
        <i x="11729" nd="1"/>
        <i x="11730" nd="1"/>
        <i x="11731" nd="1"/>
        <i x="11732" nd="1"/>
        <i x="11733" nd="1"/>
        <i x="11734" nd="1"/>
        <i x="11735" nd="1"/>
        <i x="11736" nd="1"/>
        <i x="11737" nd="1"/>
        <i x="11738" nd="1"/>
        <i x="11739" nd="1"/>
        <i x="11740" nd="1"/>
        <i x="11741" nd="1"/>
        <i x="11742" nd="1"/>
        <i x="11743" nd="1"/>
        <i x="11744" nd="1"/>
        <i x="11745" nd="1"/>
        <i x="11746" nd="1"/>
        <i x="11747" nd="1"/>
        <i x="11748" nd="1"/>
        <i x="11749" nd="1"/>
        <i x="11750" nd="1"/>
        <i x="11751" nd="1"/>
        <i x="11752" nd="1"/>
        <i x="11753" nd="1"/>
        <i x="11754" nd="1"/>
        <i x="11755" nd="1"/>
        <i x="11756" nd="1"/>
        <i x="11757" nd="1"/>
        <i x="11758" nd="1"/>
        <i x="11759" nd="1"/>
        <i x="11760" nd="1"/>
        <i x="11761" nd="1"/>
        <i x="11762" nd="1"/>
        <i x="11763" nd="1"/>
        <i x="11764" nd="1"/>
        <i x="11765" nd="1"/>
        <i x="11766" nd="1"/>
        <i x="11767" nd="1"/>
        <i x="11768" nd="1"/>
        <i x="11769" nd="1"/>
        <i x="11770" nd="1"/>
        <i x="11771" nd="1"/>
        <i x="11772" nd="1"/>
        <i x="11773" nd="1"/>
        <i x="11774" nd="1"/>
        <i x="11775" nd="1"/>
        <i x="11776" nd="1"/>
        <i x="11777" nd="1"/>
        <i x="11778" nd="1"/>
        <i x="11779" nd="1"/>
        <i x="11780" nd="1"/>
        <i x="11781" nd="1"/>
        <i x="11782" nd="1"/>
        <i x="11783" nd="1"/>
        <i x="11784" nd="1"/>
        <i x="11785" nd="1"/>
        <i x="11786" nd="1"/>
        <i x="11787" nd="1"/>
        <i x="11788" nd="1"/>
        <i x="11789" nd="1"/>
        <i x="11790" nd="1"/>
        <i x="11791" nd="1"/>
        <i x="11792" nd="1"/>
        <i x="11793" nd="1"/>
        <i x="11794" nd="1"/>
        <i x="11795" nd="1"/>
        <i x="11796" nd="1"/>
        <i x="11797" nd="1"/>
        <i x="11798" nd="1"/>
        <i x="11799" nd="1"/>
        <i x="11800" nd="1"/>
        <i x="11801" nd="1"/>
        <i x="11802" nd="1"/>
        <i x="11803" nd="1"/>
        <i x="11804" nd="1"/>
        <i x="11805" nd="1"/>
        <i x="11806" nd="1"/>
        <i x="11807" nd="1"/>
        <i x="11808" nd="1"/>
        <i x="11809" nd="1"/>
        <i x="11810" nd="1"/>
        <i x="11811" nd="1"/>
        <i x="11812" nd="1"/>
        <i x="11813" nd="1"/>
        <i x="11814" nd="1"/>
        <i x="11815" nd="1"/>
        <i x="11816" nd="1"/>
        <i x="11817" nd="1"/>
        <i x="11818" nd="1"/>
        <i x="11819" nd="1"/>
        <i x="11820" nd="1"/>
        <i x="11821" nd="1"/>
        <i x="11822" nd="1"/>
        <i x="11823" nd="1"/>
        <i x="11824" nd="1"/>
        <i x="11825" nd="1"/>
        <i x="11826" nd="1"/>
        <i x="11827" nd="1"/>
        <i x="11828" nd="1"/>
        <i x="11829" nd="1"/>
        <i x="11830" nd="1"/>
        <i x="11831" nd="1"/>
        <i x="11832" nd="1"/>
        <i x="11833" nd="1"/>
        <i x="11834" nd="1"/>
        <i x="11835" nd="1"/>
        <i x="11836" nd="1"/>
        <i x="11837" nd="1"/>
        <i x="11838" nd="1"/>
        <i x="11839" nd="1"/>
        <i x="11840" nd="1"/>
        <i x="11841" nd="1"/>
        <i x="11842" nd="1"/>
        <i x="11843" nd="1"/>
        <i x="11844" nd="1"/>
        <i x="11845" nd="1"/>
        <i x="11846" nd="1"/>
        <i x="11847" nd="1"/>
        <i x="11848" nd="1"/>
        <i x="11849" nd="1"/>
        <i x="11850" nd="1"/>
        <i x="11851" nd="1"/>
        <i x="11852" nd="1"/>
        <i x="11853" nd="1"/>
        <i x="11854" nd="1"/>
        <i x="11855" nd="1"/>
        <i x="11856" nd="1"/>
        <i x="11857" nd="1"/>
        <i x="11858" nd="1"/>
        <i x="11859" nd="1"/>
        <i x="11860" nd="1"/>
        <i x="11861" nd="1"/>
        <i x="11862" nd="1"/>
        <i x="11863" nd="1"/>
        <i x="11864" nd="1"/>
        <i x="11865" nd="1"/>
        <i x="11866" nd="1"/>
        <i x="11867" nd="1"/>
        <i x="11868" nd="1"/>
        <i x="11869" nd="1"/>
        <i x="11870" nd="1"/>
        <i x="11871" nd="1"/>
        <i x="11872" nd="1"/>
        <i x="11873" nd="1"/>
        <i x="11874" nd="1"/>
        <i x="11875" nd="1"/>
        <i x="11876" nd="1"/>
        <i x="11877" nd="1"/>
        <i x="11878" nd="1"/>
        <i x="11879" nd="1"/>
        <i x="11880" nd="1"/>
        <i x="11881" nd="1"/>
        <i x="11882" nd="1"/>
        <i x="11883" nd="1"/>
        <i x="11884" nd="1"/>
        <i x="11885" nd="1"/>
        <i x="11886" nd="1"/>
        <i x="11887" nd="1"/>
        <i x="11888" nd="1"/>
        <i x="11889" nd="1"/>
        <i x="11890" nd="1"/>
        <i x="11891" nd="1"/>
        <i x="11892" nd="1"/>
        <i x="11893" nd="1"/>
        <i x="11894" nd="1"/>
        <i x="11895" nd="1"/>
        <i x="11896" nd="1"/>
        <i x="11897" nd="1"/>
        <i x="11898" nd="1"/>
        <i x="11899" nd="1"/>
        <i x="11900" nd="1"/>
        <i x="11901" nd="1"/>
        <i x="11902" nd="1"/>
        <i x="11903" nd="1"/>
        <i x="11904" nd="1"/>
        <i x="11905" nd="1"/>
        <i x="11906" nd="1"/>
        <i x="11907" nd="1"/>
        <i x="11908" nd="1"/>
        <i x="11909" nd="1"/>
        <i x="11910" nd="1"/>
        <i x="11911" nd="1"/>
        <i x="11912" nd="1"/>
        <i x="11913" nd="1"/>
        <i x="11914" nd="1"/>
        <i x="11915" nd="1"/>
        <i x="11916" nd="1"/>
        <i x="11917" nd="1"/>
        <i x="11918" nd="1"/>
        <i x="11919" nd="1"/>
        <i x="11920" nd="1"/>
        <i x="11921" nd="1"/>
        <i x="11922" nd="1"/>
        <i x="11923" nd="1"/>
        <i x="11924" nd="1"/>
        <i x="11925" nd="1"/>
        <i x="11926" nd="1"/>
        <i x="11927" nd="1"/>
        <i x="11928" nd="1"/>
        <i x="11929" nd="1"/>
        <i x="11930" nd="1"/>
        <i x="11931" nd="1"/>
        <i x="11932" nd="1"/>
        <i x="11933" nd="1"/>
        <i x="11934" nd="1"/>
        <i x="11935" nd="1"/>
        <i x="11936" nd="1"/>
        <i x="11937" nd="1"/>
        <i x="11938" nd="1"/>
        <i x="11939" nd="1"/>
        <i x="11940" nd="1"/>
        <i x="11941" nd="1"/>
        <i x="11942" nd="1"/>
        <i x="11943" nd="1"/>
        <i x="11944" nd="1"/>
        <i x="11945" nd="1"/>
        <i x="11946" nd="1"/>
        <i x="11947" nd="1"/>
        <i x="11948" nd="1"/>
        <i x="11949" nd="1"/>
        <i x="11950" nd="1"/>
        <i x="11951" nd="1"/>
        <i x="11952" nd="1"/>
        <i x="11953" nd="1"/>
        <i x="11954" nd="1"/>
        <i x="11955" nd="1"/>
        <i x="11956" nd="1"/>
        <i x="11957" nd="1"/>
        <i x="11958" nd="1"/>
        <i x="11959" nd="1"/>
        <i x="11960" nd="1"/>
        <i x="11961" nd="1"/>
        <i x="11962" nd="1"/>
        <i x="11963" nd="1"/>
        <i x="11964" nd="1"/>
        <i x="11965" nd="1"/>
        <i x="11966" nd="1"/>
        <i x="11967" nd="1"/>
        <i x="11968" nd="1"/>
        <i x="11969" nd="1"/>
        <i x="11970" nd="1"/>
        <i x="11971" nd="1"/>
        <i x="11972" nd="1"/>
        <i x="11973" nd="1"/>
        <i x="11974" nd="1"/>
        <i x="11975" nd="1"/>
        <i x="11976" nd="1"/>
        <i x="11977" nd="1"/>
        <i x="11978" nd="1"/>
        <i x="11979" nd="1"/>
        <i x="11980" nd="1"/>
        <i x="11981" nd="1"/>
        <i x="11982" nd="1"/>
        <i x="11983" nd="1"/>
        <i x="11984" nd="1"/>
        <i x="11985" nd="1"/>
        <i x="11986" nd="1"/>
        <i x="11987" nd="1"/>
        <i x="11988" nd="1"/>
        <i x="11989" nd="1"/>
        <i x="11990" nd="1"/>
        <i x="11991" nd="1"/>
        <i x="11992" nd="1"/>
        <i x="11993" nd="1"/>
        <i x="11994" nd="1"/>
        <i x="11995" nd="1"/>
        <i x="11996" nd="1"/>
        <i x="11997" nd="1"/>
        <i x="11998" nd="1"/>
        <i x="11999" nd="1"/>
        <i x="12000" nd="1"/>
        <i x="12001" nd="1"/>
        <i x="12002" nd="1"/>
        <i x="12003" nd="1"/>
        <i x="12004" nd="1"/>
        <i x="12005" nd="1"/>
        <i x="12006" nd="1"/>
        <i x="12007" nd="1"/>
        <i x="12008" nd="1"/>
        <i x="12009" nd="1"/>
        <i x="12010" nd="1"/>
        <i x="12011" nd="1"/>
        <i x="12012" nd="1"/>
        <i x="12013" nd="1"/>
        <i x="12014" nd="1"/>
        <i x="12015" nd="1"/>
        <i x="12016" nd="1"/>
        <i x="12017" nd="1"/>
        <i x="12018" nd="1"/>
        <i x="12019" nd="1"/>
        <i x="12020" nd="1"/>
        <i x="12021" nd="1"/>
        <i x="12022" nd="1"/>
        <i x="12023" nd="1"/>
        <i x="12024" nd="1"/>
        <i x="12025" nd="1"/>
        <i x="12026" nd="1"/>
        <i x="12027" nd="1"/>
        <i x="12028" nd="1"/>
        <i x="12029" nd="1"/>
        <i x="12030" nd="1"/>
        <i x="12031" nd="1"/>
        <i x="12032" nd="1"/>
        <i x="12033" nd="1"/>
        <i x="12034" nd="1"/>
        <i x="12035" nd="1"/>
        <i x="12036" nd="1"/>
        <i x="12037" nd="1"/>
        <i x="12038" nd="1"/>
        <i x="12039" nd="1"/>
        <i x="12040" nd="1"/>
        <i x="12041" nd="1"/>
        <i x="12042" nd="1"/>
        <i x="12043" nd="1"/>
        <i x="12044" nd="1"/>
        <i x="12045" nd="1"/>
        <i x="12046" nd="1"/>
        <i x="12047" nd="1"/>
        <i x="12048" nd="1"/>
        <i x="12049" nd="1"/>
        <i x="12050" nd="1"/>
        <i x="12051" nd="1"/>
        <i x="12052" nd="1"/>
        <i x="12053" nd="1"/>
        <i x="12054" nd="1"/>
        <i x="12055" nd="1"/>
        <i x="12056" nd="1"/>
        <i x="12057" nd="1"/>
        <i x="12058" nd="1"/>
        <i x="12059" nd="1"/>
        <i x="12060" nd="1"/>
        <i x="12061" nd="1"/>
        <i x="12062" nd="1"/>
        <i x="12063" nd="1"/>
        <i x="12064" nd="1"/>
        <i x="12065" nd="1"/>
        <i x="12066" nd="1"/>
        <i x="12067" nd="1"/>
        <i x="12068" nd="1"/>
        <i x="12069" nd="1"/>
        <i x="12070" nd="1"/>
        <i x="12071" nd="1"/>
        <i x="12072" nd="1"/>
        <i x="12073" nd="1"/>
        <i x="12074" nd="1"/>
        <i x="12075" nd="1"/>
        <i x="12076" nd="1"/>
        <i x="12077" nd="1"/>
        <i x="12078" nd="1"/>
        <i x="12079" nd="1"/>
        <i x="12080" nd="1"/>
        <i x="12081" nd="1"/>
        <i x="12082" nd="1"/>
        <i x="12083" nd="1"/>
        <i x="12084" nd="1"/>
        <i x="12085" nd="1"/>
        <i x="12086" nd="1"/>
        <i x="12087" nd="1"/>
        <i x="12088" nd="1"/>
        <i x="12089" nd="1"/>
        <i x="12090" nd="1"/>
        <i x="12091" nd="1"/>
        <i x="12092" nd="1"/>
        <i x="12093" nd="1"/>
        <i x="12094" nd="1"/>
        <i x="12095" nd="1"/>
        <i x="12096" nd="1"/>
        <i x="12097" nd="1"/>
        <i x="12098" nd="1"/>
        <i x="12099" nd="1"/>
        <i x="12100" nd="1"/>
        <i x="12101" nd="1"/>
        <i x="12102" nd="1"/>
        <i x="12103" nd="1"/>
        <i x="12104" nd="1"/>
        <i x="12105" nd="1"/>
        <i x="12106" nd="1"/>
        <i x="12107" nd="1"/>
        <i x="12108" nd="1"/>
        <i x="12109" nd="1"/>
        <i x="12110" nd="1"/>
        <i x="12111" nd="1"/>
        <i x="12112" nd="1"/>
        <i x="12113" nd="1"/>
        <i x="12114" nd="1"/>
        <i x="12115" nd="1"/>
        <i x="12116" nd="1"/>
        <i x="12117" nd="1"/>
        <i x="12118" nd="1"/>
        <i x="12119" nd="1"/>
        <i x="12120" nd="1"/>
        <i x="12121" nd="1"/>
        <i x="12122" nd="1"/>
        <i x="12123" nd="1"/>
        <i x="12124" nd="1"/>
        <i x="12125" nd="1"/>
        <i x="12126" nd="1"/>
        <i x="12127" nd="1"/>
        <i x="12128" nd="1"/>
        <i x="12129" nd="1"/>
        <i x="12130" nd="1"/>
        <i x="12131" nd="1"/>
        <i x="12132" nd="1"/>
        <i x="12133" nd="1"/>
        <i x="12134" nd="1"/>
        <i x="12135" nd="1"/>
        <i x="12136" nd="1"/>
        <i x="12137" nd="1"/>
        <i x="12138" nd="1"/>
        <i x="12139" nd="1"/>
        <i x="12140" nd="1"/>
        <i x="12141" nd="1"/>
        <i x="12142" nd="1"/>
        <i x="12143" nd="1"/>
        <i x="12144" nd="1"/>
        <i x="12145" nd="1"/>
        <i x="12146" nd="1"/>
        <i x="12147" nd="1"/>
        <i x="12148" nd="1"/>
        <i x="12149" nd="1"/>
        <i x="12150" nd="1"/>
        <i x="12151" nd="1"/>
        <i x="12152" nd="1"/>
        <i x="12153" nd="1"/>
        <i x="12154" nd="1"/>
        <i x="12155" nd="1"/>
        <i x="12156" nd="1"/>
        <i x="12157" nd="1"/>
        <i x="12158" nd="1"/>
        <i x="12159" nd="1"/>
        <i x="12160" nd="1"/>
        <i x="12161" nd="1"/>
        <i x="12162" nd="1"/>
        <i x="12163" nd="1"/>
        <i x="12164" nd="1"/>
        <i x="12165" nd="1"/>
        <i x="12166" nd="1"/>
        <i x="12167" nd="1"/>
        <i x="12168" nd="1"/>
        <i x="12169" nd="1"/>
        <i x="12170" nd="1"/>
        <i x="12171" nd="1"/>
        <i x="12172" nd="1"/>
        <i x="12173" nd="1"/>
        <i x="12174" nd="1"/>
        <i x="12175" nd="1"/>
        <i x="12176" nd="1"/>
        <i x="12177" nd="1"/>
        <i x="12178" nd="1"/>
        <i x="12179" nd="1"/>
        <i x="12180" nd="1"/>
        <i x="12181" nd="1"/>
        <i x="12182" nd="1"/>
        <i x="12183" nd="1"/>
        <i x="12184" nd="1"/>
        <i x="12185" nd="1"/>
        <i x="12186" nd="1"/>
        <i x="12187" nd="1"/>
        <i x="12188" nd="1"/>
        <i x="12189" nd="1"/>
        <i x="12190" nd="1"/>
        <i x="12191" nd="1"/>
        <i x="12192" nd="1"/>
        <i x="12193" nd="1"/>
        <i x="12194" nd="1"/>
        <i x="12195" nd="1"/>
        <i x="12196" nd="1"/>
        <i x="12197" nd="1"/>
        <i x="12198" nd="1"/>
        <i x="12199" nd="1"/>
        <i x="12200" nd="1"/>
        <i x="12201" nd="1"/>
        <i x="12202" nd="1"/>
        <i x="12203" nd="1"/>
        <i x="12204" nd="1"/>
        <i x="12205" nd="1"/>
        <i x="12206" nd="1"/>
        <i x="12207" nd="1"/>
        <i x="12208" nd="1"/>
        <i x="12209" nd="1"/>
        <i x="12210" nd="1"/>
        <i x="12211" nd="1"/>
        <i x="12212" nd="1"/>
        <i x="12213" nd="1"/>
        <i x="12214" nd="1"/>
        <i x="12215" nd="1"/>
        <i x="12216" nd="1"/>
        <i x="12217" nd="1"/>
        <i x="12218" nd="1"/>
        <i x="12219" nd="1"/>
        <i x="12220" nd="1"/>
        <i x="12221" nd="1"/>
        <i x="12222" nd="1"/>
        <i x="12223" nd="1"/>
        <i x="12224" nd="1"/>
        <i x="12225" nd="1"/>
        <i x="12226" nd="1"/>
        <i x="12227" nd="1"/>
        <i x="12228" nd="1"/>
        <i x="12229" nd="1"/>
        <i x="12230" nd="1"/>
        <i x="12231" nd="1"/>
        <i x="12232" nd="1"/>
        <i x="12233" nd="1"/>
        <i x="12234" nd="1"/>
        <i x="12235" nd="1"/>
        <i x="12236" nd="1"/>
        <i x="12237" nd="1"/>
        <i x="12238" nd="1"/>
        <i x="12239" nd="1"/>
        <i x="12240" nd="1"/>
        <i x="12241" nd="1"/>
        <i x="12242" nd="1"/>
        <i x="12243" nd="1"/>
        <i x="12244" nd="1"/>
        <i x="12245" nd="1"/>
        <i x="12246" nd="1"/>
        <i x="12247" nd="1"/>
        <i x="12248" nd="1"/>
        <i x="12249" nd="1"/>
        <i x="12250" nd="1"/>
        <i x="12251" nd="1"/>
        <i x="12252" nd="1"/>
        <i x="12253" nd="1"/>
        <i x="12254" nd="1"/>
        <i x="12255" nd="1"/>
        <i x="12256" nd="1"/>
        <i x="12257" nd="1"/>
        <i x="12258" nd="1"/>
        <i x="12259" nd="1"/>
        <i x="12260" nd="1"/>
        <i x="12261" nd="1"/>
        <i x="12262" nd="1"/>
        <i x="12263" nd="1"/>
        <i x="12264" nd="1"/>
        <i x="12265" nd="1"/>
        <i x="12266" nd="1"/>
        <i x="12267" nd="1"/>
        <i x="12268" nd="1"/>
        <i x="12269" nd="1"/>
        <i x="12270" nd="1"/>
        <i x="12271" nd="1"/>
        <i x="12272" nd="1"/>
        <i x="12273" nd="1"/>
        <i x="12274" nd="1"/>
        <i x="12275" nd="1"/>
        <i x="12276" nd="1"/>
        <i x="12277" nd="1"/>
        <i x="12278" nd="1"/>
        <i x="12279" nd="1"/>
        <i x="12280" nd="1"/>
        <i x="12281" nd="1"/>
        <i x="12282" nd="1"/>
        <i x="12283" nd="1"/>
        <i x="12284" nd="1"/>
        <i x="12285" nd="1"/>
        <i x="12286" nd="1"/>
        <i x="12287" nd="1"/>
        <i x="12288" nd="1"/>
        <i x="12289" nd="1"/>
        <i x="12290" nd="1"/>
        <i x="12291" nd="1"/>
        <i x="12292" nd="1"/>
        <i x="12293" nd="1"/>
        <i x="12294" nd="1"/>
        <i x="12295" nd="1"/>
        <i x="12296" nd="1"/>
        <i x="12297" nd="1"/>
        <i x="12298" nd="1"/>
        <i x="12299" nd="1"/>
        <i x="12300" nd="1"/>
        <i x="12301" nd="1"/>
        <i x="12302" nd="1"/>
        <i x="12303" nd="1"/>
        <i x="12304" nd="1"/>
        <i x="12305" nd="1"/>
        <i x="12306" nd="1"/>
        <i x="12307" nd="1"/>
        <i x="12308" nd="1"/>
        <i x="12309" nd="1"/>
        <i x="12310" nd="1"/>
        <i x="12311" nd="1"/>
        <i x="12312" nd="1"/>
        <i x="12313" nd="1"/>
        <i x="12314" nd="1"/>
        <i x="12315" nd="1"/>
        <i x="12316" nd="1"/>
        <i x="12317" nd="1"/>
        <i x="12318" nd="1"/>
        <i x="12319" nd="1"/>
        <i x="12320" nd="1"/>
        <i x="12321" nd="1"/>
        <i x="12322" nd="1"/>
        <i x="12323" nd="1"/>
        <i x="12324" nd="1"/>
        <i x="12325" nd="1"/>
        <i x="12326" nd="1"/>
        <i x="12327" nd="1"/>
        <i x="12328" nd="1"/>
        <i x="12329" nd="1"/>
        <i x="12330" nd="1"/>
        <i x="12331" nd="1"/>
        <i x="12332" nd="1"/>
        <i x="12333" nd="1"/>
        <i x="12334" nd="1"/>
        <i x="12335" nd="1"/>
        <i x="12336" nd="1"/>
        <i x="12337" nd="1"/>
        <i x="12338" nd="1"/>
        <i x="12339" nd="1"/>
        <i x="12340" nd="1"/>
        <i x="12341" nd="1"/>
        <i x="12342" nd="1"/>
        <i x="12343" nd="1"/>
        <i x="12344" nd="1"/>
        <i x="12345" nd="1"/>
        <i x="12346" nd="1"/>
        <i x="12347" nd="1"/>
        <i x="12348" nd="1"/>
        <i x="12349" nd="1"/>
        <i x="12350" nd="1"/>
        <i x="12351" nd="1"/>
        <i x="12352" nd="1"/>
        <i x="12353" nd="1"/>
        <i x="12354" nd="1"/>
        <i x="12355" nd="1"/>
        <i x="12356" nd="1"/>
        <i x="12357" nd="1"/>
        <i x="12358" nd="1"/>
        <i x="12359" nd="1"/>
        <i x="12360" nd="1"/>
        <i x="12361" nd="1"/>
        <i x="12362" nd="1"/>
        <i x="12363" nd="1"/>
        <i x="12364" nd="1"/>
        <i x="12365" nd="1"/>
        <i x="12366" nd="1"/>
        <i x="12367" nd="1"/>
        <i x="12368" nd="1"/>
        <i x="12369" nd="1"/>
        <i x="12370" nd="1"/>
        <i x="12371" nd="1"/>
        <i x="12372" nd="1"/>
        <i x="12373" nd="1"/>
        <i x="12374" nd="1"/>
        <i x="12375" nd="1"/>
        <i x="12376" nd="1"/>
        <i x="12377" nd="1"/>
        <i x="12378" nd="1"/>
        <i x="12379" nd="1"/>
        <i x="12380" nd="1"/>
        <i x="12381" nd="1"/>
        <i x="12382" nd="1"/>
        <i x="12383" nd="1"/>
        <i x="12384" nd="1"/>
        <i x="12385" nd="1"/>
        <i x="12386" nd="1"/>
        <i x="12387" nd="1"/>
        <i x="12388" nd="1"/>
        <i x="12389" nd="1"/>
        <i x="12390" nd="1"/>
        <i x="12391" nd="1"/>
        <i x="12392" nd="1"/>
        <i x="12393" nd="1"/>
        <i x="12394" nd="1"/>
        <i x="12395" nd="1"/>
        <i x="12396" nd="1"/>
        <i x="12397" nd="1"/>
        <i x="12398" nd="1"/>
        <i x="12399" nd="1"/>
        <i x="12400" nd="1"/>
        <i x="12401" nd="1"/>
        <i x="12402" nd="1"/>
        <i x="12403" nd="1"/>
        <i x="12404" nd="1"/>
        <i x="12405" nd="1"/>
        <i x="12406" nd="1"/>
        <i x="12407" nd="1"/>
        <i x="12408" nd="1"/>
        <i x="12409" nd="1"/>
        <i x="12410" nd="1"/>
        <i x="12411" nd="1"/>
        <i x="12412" nd="1"/>
        <i x="12413" nd="1"/>
        <i x="12414" nd="1"/>
        <i x="12415" nd="1"/>
        <i x="12416" nd="1"/>
        <i x="12417" nd="1"/>
        <i x="12418" nd="1"/>
        <i x="12419" nd="1"/>
        <i x="12420" nd="1"/>
        <i x="12421" nd="1"/>
        <i x="12422" nd="1"/>
        <i x="12423" nd="1"/>
        <i x="12424" nd="1"/>
        <i x="12425" nd="1"/>
        <i x="12426" nd="1"/>
        <i x="12427" nd="1"/>
        <i x="12428" nd="1"/>
        <i x="12429" nd="1"/>
        <i x="12430" nd="1"/>
        <i x="12431" nd="1"/>
        <i x="12432" nd="1"/>
        <i x="12433" nd="1"/>
        <i x="12434" nd="1"/>
        <i x="12435" nd="1"/>
        <i x="12436" nd="1"/>
        <i x="12437" nd="1"/>
        <i x="12438" nd="1"/>
        <i x="12439" nd="1"/>
        <i x="12440" nd="1"/>
        <i x="12441" nd="1"/>
        <i x="12442" nd="1"/>
        <i x="12443" nd="1"/>
        <i x="12444" nd="1"/>
        <i x="12445" nd="1"/>
        <i x="12446" nd="1"/>
        <i x="12447" nd="1"/>
        <i x="12448" nd="1"/>
        <i x="12449" nd="1"/>
        <i x="12450" nd="1"/>
        <i x="12451" nd="1"/>
        <i x="12452" nd="1"/>
        <i x="12453" nd="1"/>
        <i x="12454" nd="1"/>
        <i x="12455" nd="1"/>
        <i x="12456" nd="1"/>
        <i x="12457" nd="1"/>
        <i x="12458" nd="1"/>
        <i x="12459" nd="1"/>
        <i x="12460" nd="1"/>
        <i x="12461" nd="1"/>
        <i x="12462" nd="1"/>
        <i x="12463" nd="1"/>
        <i x="12464" nd="1"/>
        <i x="12465" nd="1"/>
        <i x="12466" nd="1"/>
        <i x="12467" nd="1"/>
        <i x="12468" nd="1"/>
        <i x="12469" nd="1"/>
        <i x="12470" nd="1"/>
        <i x="12471" nd="1"/>
        <i x="12472" nd="1"/>
        <i x="12473" nd="1"/>
        <i x="12474" nd="1"/>
        <i x="12475" nd="1"/>
        <i x="12476" nd="1"/>
        <i x="12477" nd="1"/>
        <i x="12478" nd="1"/>
        <i x="12479" nd="1"/>
        <i x="12480" nd="1"/>
        <i x="12481" nd="1"/>
        <i x="12482" nd="1"/>
        <i x="12483" nd="1"/>
        <i x="12484" nd="1"/>
        <i x="12485" nd="1"/>
        <i x="12486" nd="1"/>
        <i x="12487" nd="1"/>
        <i x="12488" nd="1"/>
        <i x="12489" nd="1"/>
        <i x="12490" nd="1"/>
        <i x="12491" nd="1"/>
        <i x="12492" nd="1"/>
        <i x="12493" nd="1"/>
        <i x="12494" nd="1"/>
        <i x="12495" nd="1"/>
        <i x="12496" nd="1"/>
        <i x="12497" nd="1"/>
        <i x="12498" nd="1"/>
        <i x="12499" nd="1"/>
        <i x="12500" nd="1"/>
        <i x="12501" nd="1"/>
        <i x="12502" nd="1"/>
        <i x="12503" nd="1"/>
        <i x="12504" nd="1"/>
        <i x="12505" nd="1"/>
        <i x="12506" nd="1"/>
        <i x="12507" nd="1"/>
        <i x="12508" nd="1"/>
        <i x="12509" nd="1"/>
        <i x="12510" nd="1"/>
        <i x="12511" nd="1"/>
        <i x="12512" nd="1"/>
        <i x="12513" nd="1"/>
        <i x="12514" nd="1"/>
        <i x="12515" nd="1"/>
        <i x="12516" nd="1"/>
        <i x="12517" nd="1"/>
        <i x="12518" nd="1"/>
        <i x="12519" nd="1"/>
        <i x="12520" nd="1"/>
        <i x="12521" nd="1"/>
        <i x="12522" nd="1"/>
        <i x="12523" nd="1"/>
        <i x="12524" nd="1"/>
        <i x="12525" nd="1"/>
        <i x="12526" nd="1"/>
        <i x="12527" nd="1"/>
        <i x="12528" nd="1"/>
        <i x="12529" nd="1"/>
        <i x="12530" nd="1"/>
        <i x="12531" nd="1"/>
        <i x="12532" nd="1"/>
        <i x="12533" nd="1"/>
        <i x="12534" nd="1"/>
        <i x="12535" nd="1"/>
        <i x="12536" nd="1"/>
        <i x="12537" nd="1"/>
        <i x="12538" nd="1"/>
        <i x="12539" nd="1"/>
        <i x="12540" nd="1"/>
        <i x="12541" nd="1"/>
        <i x="12542" nd="1"/>
        <i x="12543" nd="1"/>
        <i x="12544" nd="1"/>
        <i x="12545" nd="1"/>
        <i x="12546" nd="1"/>
        <i x="12547" nd="1"/>
        <i x="12548" nd="1"/>
        <i x="12549" nd="1"/>
        <i x="12550" nd="1"/>
        <i x="12551" nd="1"/>
        <i x="12552" nd="1"/>
        <i x="12553" nd="1"/>
        <i x="12554" nd="1"/>
        <i x="12555" nd="1"/>
        <i x="12556" nd="1"/>
        <i x="12557" nd="1"/>
        <i x="12558" nd="1"/>
        <i x="12559" nd="1"/>
        <i x="12560" nd="1"/>
        <i x="12561" nd="1"/>
        <i x="12562" nd="1"/>
        <i x="12563" nd="1"/>
        <i x="12564" nd="1"/>
        <i x="12565" nd="1"/>
        <i x="12566" nd="1"/>
        <i x="12567" nd="1"/>
        <i x="12568" nd="1"/>
        <i x="12569" nd="1"/>
        <i x="12570" nd="1"/>
        <i x="12571" nd="1"/>
        <i x="12572" nd="1"/>
        <i x="12573" nd="1"/>
        <i x="12574" nd="1"/>
        <i x="12575" nd="1"/>
        <i x="12576" nd="1"/>
        <i x="12577" nd="1"/>
        <i x="12578" nd="1"/>
        <i x="12579" nd="1"/>
        <i x="12580" nd="1"/>
        <i x="12581" nd="1"/>
        <i x="12582" nd="1"/>
        <i x="12583" nd="1"/>
        <i x="12584" nd="1"/>
        <i x="12585" nd="1"/>
        <i x="12586" nd="1"/>
        <i x="12587" nd="1"/>
        <i x="12588" nd="1"/>
        <i x="12589" nd="1"/>
        <i x="12590" nd="1"/>
        <i x="12591" nd="1"/>
        <i x="12592" nd="1"/>
        <i x="12593" nd="1"/>
        <i x="12594" nd="1"/>
        <i x="12595" nd="1"/>
        <i x="12596" nd="1"/>
        <i x="12597" nd="1"/>
        <i x="12598" nd="1"/>
        <i x="12599" nd="1"/>
        <i x="12600" nd="1"/>
        <i x="12601" nd="1"/>
        <i x="12602" nd="1"/>
        <i x="12603" nd="1"/>
        <i x="12604" nd="1"/>
        <i x="12605" nd="1"/>
        <i x="12606" nd="1"/>
        <i x="12607" nd="1"/>
        <i x="12608" nd="1"/>
        <i x="12609" nd="1"/>
        <i x="12610" nd="1"/>
        <i x="12611" nd="1"/>
        <i x="12612" nd="1"/>
        <i x="12613" nd="1"/>
        <i x="12614" nd="1"/>
        <i x="12615" nd="1"/>
        <i x="12616" nd="1"/>
        <i x="12617" nd="1"/>
        <i x="12618" nd="1"/>
        <i x="12619" nd="1"/>
        <i x="12620" nd="1"/>
        <i x="12621" nd="1"/>
        <i x="12622" nd="1"/>
        <i x="12623" nd="1"/>
        <i x="12624" nd="1"/>
        <i x="12625" nd="1"/>
        <i x="12626" nd="1"/>
        <i x="12627" nd="1"/>
        <i x="12628" nd="1"/>
        <i x="12629" nd="1"/>
        <i x="12630" nd="1"/>
        <i x="12631" nd="1"/>
        <i x="12632" nd="1"/>
        <i x="12633" nd="1"/>
        <i x="12634" nd="1"/>
        <i x="12635" nd="1"/>
        <i x="12636" nd="1"/>
        <i x="12637" nd="1"/>
        <i x="12638" nd="1"/>
        <i x="12639" nd="1"/>
        <i x="12640" nd="1"/>
        <i x="12641" nd="1"/>
        <i x="12642" nd="1"/>
        <i x="12643" nd="1"/>
        <i x="12644" nd="1"/>
        <i x="12645" nd="1"/>
        <i x="12646" nd="1"/>
        <i x="12647" nd="1"/>
        <i x="12648" nd="1"/>
        <i x="12649" nd="1"/>
        <i x="12650" nd="1"/>
        <i x="12651" nd="1"/>
        <i x="12652" nd="1"/>
        <i x="12653" nd="1"/>
        <i x="12654" nd="1"/>
        <i x="12655" nd="1"/>
        <i x="12656" nd="1"/>
        <i x="12657" nd="1"/>
        <i x="12658" nd="1"/>
        <i x="12659" nd="1"/>
        <i x="12660" nd="1"/>
        <i x="12661" nd="1"/>
        <i x="12662" nd="1"/>
        <i x="12663" nd="1"/>
        <i x="12664" nd="1"/>
        <i x="12665" nd="1"/>
        <i x="12666" nd="1"/>
        <i x="12667" nd="1"/>
        <i x="12668" nd="1"/>
        <i x="12669" nd="1"/>
        <i x="12670" nd="1"/>
        <i x="12671" nd="1"/>
        <i x="12672" nd="1"/>
        <i x="12673" nd="1"/>
        <i x="12674" nd="1"/>
        <i x="12675" nd="1"/>
        <i x="12676" nd="1"/>
        <i x="12677" nd="1"/>
        <i x="12678" nd="1"/>
        <i x="12679" nd="1"/>
        <i x="12680" nd="1"/>
        <i x="12681" nd="1"/>
        <i x="12682" nd="1"/>
        <i x="12683" nd="1"/>
        <i x="12684" nd="1"/>
        <i x="12685" nd="1"/>
        <i x="12686" nd="1"/>
        <i x="12687" nd="1"/>
        <i x="12688" nd="1"/>
        <i x="12689" nd="1"/>
        <i x="12690" nd="1"/>
        <i x="12691" nd="1"/>
        <i x="12692" nd="1"/>
        <i x="12693" nd="1"/>
        <i x="12694" nd="1"/>
        <i x="12695" nd="1"/>
        <i x="12696" nd="1"/>
        <i x="12697" nd="1"/>
        <i x="12698" nd="1"/>
        <i x="12699" nd="1"/>
        <i x="12700" nd="1"/>
        <i x="12701" nd="1"/>
        <i x="12702" nd="1"/>
        <i x="12703" nd="1"/>
        <i x="12704" nd="1"/>
        <i x="12705" nd="1"/>
        <i x="12706" nd="1"/>
        <i x="12707" nd="1"/>
        <i x="12708" nd="1"/>
        <i x="12709" nd="1"/>
        <i x="12710" nd="1"/>
        <i x="12711" nd="1"/>
        <i x="12712" nd="1"/>
        <i x="12713" nd="1"/>
        <i x="12714" nd="1"/>
        <i x="12715" nd="1"/>
        <i x="12716" nd="1"/>
        <i x="12717" nd="1"/>
        <i x="12718" nd="1"/>
        <i x="12719" nd="1"/>
        <i x="12720" nd="1"/>
        <i x="12721" nd="1"/>
        <i x="12722" nd="1"/>
        <i x="12723" nd="1"/>
        <i x="12724" nd="1"/>
        <i x="12725" nd="1"/>
        <i x="12726" nd="1"/>
        <i x="12727" nd="1"/>
        <i x="12728" nd="1"/>
        <i x="12729" nd="1"/>
        <i x="12730" nd="1"/>
        <i x="12731" nd="1"/>
        <i x="12732" nd="1"/>
        <i x="12733" nd="1"/>
        <i x="12734" nd="1"/>
        <i x="12735" nd="1"/>
        <i x="12736" nd="1"/>
        <i x="12737" nd="1"/>
        <i x="12738" nd="1"/>
        <i x="12739" nd="1"/>
        <i x="12740" nd="1"/>
        <i x="12741" nd="1"/>
        <i x="12742" nd="1"/>
        <i x="12743" nd="1"/>
        <i x="12744" nd="1"/>
        <i x="12745" nd="1"/>
        <i x="12746" nd="1"/>
        <i x="12747" nd="1"/>
        <i x="12748" nd="1"/>
        <i x="12749" nd="1"/>
        <i x="12750" nd="1"/>
        <i x="12751" nd="1"/>
        <i x="12752" nd="1"/>
        <i x="12753" nd="1"/>
        <i x="12754" nd="1"/>
        <i x="12755" nd="1"/>
        <i x="12756" nd="1"/>
        <i x="12757" nd="1"/>
        <i x="12758" nd="1"/>
        <i x="12759" nd="1"/>
        <i x="12760" nd="1"/>
        <i x="12761" nd="1"/>
        <i x="12762" nd="1"/>
        <i x="12763" nd="1"/>
        <i x="12764" nd="1"/>
        <i x="12765" nd="1"/>
        <i x="12766" nd="1"/>
        <i x="12767" nd="1"/>
        <i x="12768" nd="1"/>
        <i x="12769" nd="1"/>
        <i x="12770" nd="1"/>
        <i x="12771" nd="1"/>
        <i x="12772" nd="1"/>
        <i x="12773" nd="1"/>
        <i x="12774" nd="1"/>
        <i x="12775" nd="1"/>
        <i x="12776" nd="1"/>
        <i x="12777" nd="1"/>
        <i x="12778" nd="1"/>
        <i x="12779" nd="1"/>
        <i x="12780" nd="1"/>
        <i x="12781" nd="1"/>
        <i x="12782" nd="1"/>
        <i x="12783" nd="1"/>
        <i x="12784" nd="1"/>
        <i x="12785" nd="1"/>
        <i x="12786" nd="1"/>
        <i x="12787" nd="1"/>
        <i x="12788" nd="1"/>
        <i x="12789" nd="1"/>
        <i x="12790" nd="1"/>
        <i x="12791" nd="1"/>
        <i x="12792" nd="1"/>
        <i x="12793" nd="1"/>
        <i x="12794" nd="1"/>
        <i x="12795" nd="1"/>
        <i x="12796" nd="1"/>
        <i x="12797" nd="1"/>
        <i x="12798" nd="1"/>
        <i x="12799" nd="1"/>
        <i x="12800" nd="1"/>
        <i x="12801" nd="1"/>
        <i x="12802" nd="1"/>
        <i x="12803" nd="1"/>
        <i x="12804" nd="1"/>
        <i x="12805" nd="1"/>
        <i x="12806" nd="1"/>
        <i x="12807" nd="1"/>
        <i x="12808" nd="1"/>
        <i x="12809" nd="1"/>
        <i x="12810" nd="1"/>
        <i x="12811" nd="1"/>
        <i x="12812" nd="1"/>
        <i x="12813" nd="1"/>
        <i x="12814" nd="1"/>
        <i x="12815" nd="1"/>
        <i x="12816" nd="1"/>
        <i x="12817" nd="1"/>
        <i x="12818" nd="1"/>
        <i x="12819" nd="1"/>
        <i x="12820" nd="1"/>
        <i x="12821" nd="1"/>
        <i x="12822" nd="1"/>
        <i x="12823" nd="1"/>
        <i x="12824" nd="1"/>
        <i x="12825" nd="1"/>
        <i x="12826" nd="1"/>
        <i x="12827" nd="1"/>
        <i x="12828" nd="1"/>
        <i x="12829" nd="1"/>
        <i x="12830" nd="1"/>
        <i x="12831" nd="1"/>
        <i x="12832" nd="1"/>
        <i x="12833" nd="1"/>
        <i x="12834" nd="1"/>
        <i x="12835" nd="1"/>
        <i x="12836" nd="1"/>
        <i x="12837" nd="1"/>
        <i x="12838" nd="1"/>
        <i x="12839" nd="1"/>
        <i x="12840" nd="1"/>
        <i x="12841" nd="1"/>
        <i x="12842" nd="1"/>
        <i x="12843" nd="1"/>
        <i x="12844" nd="1"/>
        <i x="12845" nd="1"/>
        <i x="12846" nd="1"/>
        <i x="12847" nd="1"/>
        <i x="12848" nd="1"/>
        <i x="12849" nd="1"/>
        <i x="12850" nd="1"/>
        <i x="12851" nd="1"/>
        <i x="12852" nd="1"/>
        <i x="12853" nd="1"/>
        <i x="12854" nd="1"/>
        <i x="12855" nd="1"/>
        <i x="12856" nd="1"/>
        <i x="12857" nd="1"/>
        <i x="12858" nd="1"/>
        <i x="12859" nd="1"/>
        <i x="12860" nd="1"/>
        <i x="12861" nd="1"/>
        <i x="12862" nd="1"/>
        <i x="12863" nd="1"/>
        <i x="12864" nd="1"/>
        <i x="12865" nd="1"/>
        <i x="12866" nd="1"/>
        <i x="12867" nd="1"/>
        <i x="12868" nd="1"/>
        <i x="12869" nd="1"/>
        <i x="12870" nd="1"/>
        <i x="12871" nd="1"/>
        <i x="12872" nd="1"/>
        <i x="12873" nd="1"/>
        <i x="12874" nd="1"/>
        <i x="12875" nd="1"/>
        <i x="12876" nd="1"/>
        <i x="12877" nd="1"/>
        <i x="12878" nd="1"/>
        <i x="12879" nd="1"/>
        <i x="12880" nd="1"/>
        <i x="12881" nd="1"/>
        <i x="12882" nd="1"/>
        <i x="12883" nd="1"/>
        <i x="12884" nd="1"/>
        <i x="12885" nd="1"/>
        <i x="12886" nd="1"/>
        <i x="12887" nd="1"/>
        <i x="12888" nd="1"/>
        <i x="12889" nd="1"/>
        <i x="12890" nd="1"/>
        <i x="12891" nd="1"/>
        <i x="12892" nd="1"/>
        <i x="12893" nd="1"/>
        <i x="12894" nd="1"/>
        <i x="12895" nd="1"/>
        <i x="12896" nd="1"/>
        <i x="12897" nd="1"/>
        <i x="12898" nd="1"/>
        <i x="12899" nd="1"/>
        <i x="12900" nd="1"/>
        <i x="12901" nd="1"/>
        <i x="12902" nd="1"/>
        <i x="12903" nd="1"/>
        <i x="12904" nd="1"/>
        <i x="12905" nd="1"/>
        <i x="12906" nd="1"/>
        <i x="12907" nd="1"/>
        <i x="12908" nd="1"/>
        <i x="12909" nd="1"/>
        <i x="12910" nd="1"/>
        <i x="12911" nd="1"/>
        <i x="12912" nd="1"/>
        <i x="12913" nd="1"/>
        <i x="12914" nd="1"/>
        <i x="12915" nd="1"/>
        <i x="12916" nd="1"/>
        <i x="12917" nd="1"/>
        <i x="12918" nd="1"/>
        <i x="12919" nd="1"/>
        <i x="12920" nd="1"/>
        <i x="12921" nd="1"/>
        <i x="12922" nd="1"/>
        <i x="12923" nd="1"/>
        <i x="12924" nd="1"/>
        <i x="12925" nd="1"/>
        <i x="12926" nd="1"/>
        <i x="12927" nd="1"/>
        <i x="12928" nd="1"/>
        <i x="12929" nd="1"/>
        <i x="12930" nd="1"/>
        <i x="12931" nd="1"/>
        <i x="12932" nd="1"/>
        <i x="12933" nd="1"/>
        <i x="12934" nd="1"/>
        <i x="12935" nd="1"/>
        <i x="12936" nd="1"/>
        <i x="12937" nd="1"/>
        <i x="12938" nd="1"/>
        <i x="12939" nd="1"/>
        <i x="12940" nd="1"/>
        <i x="12941" nd="1"/>
        <i x="12942" nd="1"/>
        <i x="12943" nd="1"/>
        <i x="12944" nd="1"/>
        <i x="12945" nd="1"/>
        <i x="12946" nd="1"/>
        <i x="12947" nd="1"/>
        <i x="12948" nd="1"/>
        <i x="12949" nd="1"/>
        <i x="12950" nd="1"/>
        <i x="12951" nd="1"/>
        <i x="12952" nd="1"/>
        <i x="12953" nd="1"/>
        <i x="12954" nd="1"/>
        <i x="12955" nd="1"/>
        <i x="12956" nd="1"/>
        <i x="12957" nd="1"/>
        <i x="12958" nd="1"/>
        <i x="12959" nd="1"/>
        <i x="12960" nd="1"/>
        <i x="12961" nd="1"/>
        <i x="12962" nd="1"/>
        <i x="12963" nd="1"/>
        <i x="12964" nd="1"/>
        <i x="12965" nd="1"/>
        <i x="12966" nd="1"/>
        <i x="12967" nd="1"/>
        <i x="12968" nd="1"/>
        <i x="12969" nd="1"/>
        <i x="12970" nd="1"/>
        <i x="12971" nd="1"/>
        <i x="12972" nd="1"/>
        <i x="12973" nd="1"/>
        <i x="12974" nd="1"/>
        <i x="12975" nd="1"/>
        <i x="12976" nd="1"/>
        <i x="12977" nd="1"/>
        <i x="12978" nd="1"/>
        <i x="12979" nd="1"/>
        <i x="12980" nd="1"/>
        <i x="12981" nd="1"/>
        <i x="12982" nd="1"/>
        <i x="12983" nd="1"/>
        <i x="12984" nd="1"/>
        <i x="12985" nd="1"/>
        <i x="12986" nd="1"/>
        <i x="12987" nd="1"/>
        <i x="12988" nd="1"/>
        <i x="12989" nd="1"/>
        <i x="12990" nd="1"/>
        <i x="12991" nd="1"/>
        <i x="12992" nd="1"/>
        <i x="12993" nd="1"/>
        <i x="12994" nd="1"/>
        <i x="12995" nd="1"/>
        <i x="12996" nd="1"/>
        <i x="12997" nd="1"/>
        <i x="12998" nd="1"/>
        <i x="12999" nd="1"/>
        <i x="13000" nd="1"/>
        <i x="13001" nd="1"/>
        <i x="13002" nd="1"/>
        <i x="13003" nd="1"/>
        <i x="13004" nd="1"/>
        <i x="13005" nd="1"/>
        <i x="13006" nd="1"/>
        <i x="13007" nd="1"/>
        <i x="13008" nd="1"/>
        <i x="13009" nd="1"/>
        <i x="13010" nd="1"/>
        <i x="13011" nd="1"/>
        <i x="13012" nd="1"/>
        <i x="13013" nd="1"/>
        <i x="13014" nd="1"/>
        <i x="13015" nd="1"/>
        <i x="13016" nd="1"/>
        <i x="13017" nd="1"/>
        <i x="13018" nd="1"/>
        <i x="13019" nd="1"/>
        <i x="13020" nd="1"/>
        <i x="13021" nd="1"/>
        <i x="13022" nd="1"/>
        <i x="13023" nd="1"/>
        <i x="13024" nd="1"/>
        <i x="13025" nd="1"/>
        <i x="13026" nd="1"/>
        <i x="13027" nd="1"/>
        <i x="13028" nd="1"/>
        <i x="13029" nd="1"/>
        <i x="13030" nd="1"/>
        <i x="13031" nd="1"/>
        <i x="13032" nd="1"/>
        <i x="13033" nd="1"/>
        <i x="13034" nd="1"/>
        <i x="13035" nd="1"/>
        <i x="13036" nd="1"/>
        <i x="13037" nd="1"/>
        <i x="13038" nd="1"/>
        <i x="13039" nd="1"/>
        <i x="13040" nd="1"/>
        <i x="13041" nd="1"/>
        <i x="13042" nd="1"/>
        <i x="13043" nd="1"/>
        <i x="13044" nd="1"/>
        <i x="13045" nd="1"/>
        <i x="13046" nd="1"/>
        <i x="13047" nd="1"/>
        <i x="13048" nd="1"/>
        <i x="13049" nd="1"/>
        <i x="13050" nd="1"/>
        <i x="13051" nd="1"/>
        <i x="13052" nd="1"/>
        <i x="13053" nd="1"/>
        <i x="13054" nd="1"/>
        <i x="13055" nd="1"/>
        <i x="13056" nd="1"/>
        <i x="13057" nd="1"/>
        <i x="13058" nd="1"/>
        <i x="13059" nd="1"/>
        <i x="13060" nd="1"/>
        <i x="13061" nd="1"/>
        <i x="13062" nd="1"/>
        <i x="13063" nd="1"/>
        <i x="13064" nd="1"/>
        <i x="13065" nd="1"/>
        <i x="13066" nd="1"/>
        <i x="13067" nd="1"/>
        <i x="13068" nd="1"/>
        <i x="13069" nd="1"/>
        <i x="13070" nd="1"/>
        <i x="13071" nd="1"/>
        <i x="13072" nd="1"/>
        <i x="13073" nd="1"/>
        <i x="13074" nd="1"/>
        <i x="13075" nd="1"/>
        <i x="13076" nd="1"/>
        <i x="13077" nd="1"/>
        <i x="13078" nd="1"/>
        <i x="13079" nd="1"/>
        <i x="13080" nd="1"/>
        <i x="13081" nd="1"/>
        <i x="13082" nd="1"/>
        <i x="13083" nd="1"/>
        <i x="13084" nd="1"/>
        <i x="13085" nd="1"/>
        <i x="13086" nd="1"/>
        <i x="13087" nd="1"/>
        <i x="13088" nd="1"/>
        <i x="13089" nd="1"/>
        <i x="13090" nd="1"/>
        <i x="13091" nd="1"/>
        <i x="13092" nd="1"/>
        <i x="13093" nd="1"/>
        <i x="13094" nd="1"/>
        <i x="13095" nd="1"/>
        <i x="13096" nd="1"/>
        <i x="13097" nd="1"/>
        <i x="13098" nd="1"/>
        <i x="13099" nd="1"/>
        <i x="13100" nd="1"/>
        <i x="13101" nd="1"/>
        <i x="13102" nd="1"/>
        <i x="13103" nd="1"/>
        <i x="13104" nd="1"/>
        <i x="13105" nd="1"/>
        <i x="13106" nd="1"/>
        <i x="13107" nd="1"/>
        <i x="13108" nd="1"/>
        <i x="13109" nd="1"/>
        <i x="13110" nd="1"/>
        <i x="13111" nd="1"/>
        <i x="13112" nd="1"/>
        <i x="13113" nd="1"/>
        <i x="13114" nd="1"/>
        <i x="13115" nd="1"/>
        <i x="13116" nd="1"/>
        <i x="13117" nd="1"/>
        <i x="13118" nd="1"/>
        <i x="13119" nd="1"/>
        <i x="13120" nd="1"/>
        <i x="13121" nd="1"/>
        <i x="13122" nd="1"/>
        <i x="13123" nd="1"/>
        <i x="13124" nd="1"/>
        <i x="13125" nd="1"/>
        <i x="13126" nd="1"/>
        <i x="13127" nd="1"/>
        <i x="13128" nd="1"/>
        <i x="13129" nd="1"/>
        <i x="13130" nd="1"/>
        <i x="13131" nd="1"/>
        <i x="13132" nd="1"/>
        <i x="13133" nd="1"/>
        <i x="13134" nd="1"/>
        <i x="13135" nd="1"/>
        <i x="13136" nd="1"/>
        <i x="13137" nd="1"/>
        <i x="13138" nd="1"/>
        <i x="13139" nd="1"/>
        <i x="13140" nd="1"/>
        <i x="13141" nd="1"/>
        <i x="13142" nd="1"/>
        <i x="13143" nd="1"/>
        <i x="13144" nd="1"/>
        <i x="13145" nd="1"/>
        <i x="13146" nd="1"/>
        <i x="13147" nd="1"/>
        <i x="13148" nd="1"/>
        <i x="13149" nd="1"/>
        <i x="13150" nd="1"/>
        <i x="13151" nd="1"/>
        <i x="13152" nd="1"/>
        <i x="13153" nd="1"/>
        <i x="13154" nd="1"/>
        <i x="13155" nd="1"/>
        <i x="13156" nd="1"/>
        <i x="13157" nd="1"/>
        <i x="13158" nd="1"/>
        <i x="13159" nd="1"/>
        <i x="13160" nd="1"/>
        <i x="13161" nd="1"/>
        <i x="13162" nd="1"/>
        <i x="13163" nd="1"/>
        <i x="13164" nd="1"/>
        <i x="13165" nd="1"/>
        <i x="13166" nd="1"/>
        <i x="13167" nd="1"/>
        <i x="13168" nd="1"/>
        <i x="13169" nd="1"/>
        <i x="13170" nd="1"/>
        <i x="13171" nd="1"/>
        <i x="13172" nd="1"/>
        <i x="13173" nd="1"/>
        <i x="13174" nd="1"/>
        <i x="13175" nd="1"/>
        <i x="13176" nd="1"/>
        <i x="13177" nd="1"/>
        <i x="13178" nd="1"/>
        <i x="13179" nd="1"/>
        <i x="13180" nd="1"/>
        <i x="13181" nd="1"/>
        <i x="13182" nd="1"/>
        <i x="13183" nd="1"/>
        <i x="13184" nd="1"/>
        <i x="13185" nd="1"/>
        <i x="13186" nd="1"/>
        <i x="13187" nd="1"/>
        <i x="13188" nd="1"/>
        <i x="13189" nd="1"/>
        <i x="13190" nd="1"/>
        <i x="13191" nd="1"/>
        <i x="13192" nd="1"/>
        <i x="13193" nd="1"/>
        <i x="13194" nd="1"/>
        <i x="13195" nd="1"/>
        <i x="13196" nd="1"/>
        <i x="13197" nd="1"/>
        <i x="13198" nd="1"/>
        <i x="13199" nd="1"/>
        <i x="13200" nd="1"/>
        <i x="13201" nd="1"/>
        <i x="13202" nd="1"/>
        <i x="13203" nd="1"/>
        <i x="13204" nd="1"/>
        <i x="13205" nd="1"/>
        <i x="13206" nd="1"/>
        <i x="13207" nd="1"/>
        <i x="13208" nd="1"/>
        <i x="13209" nd="1"/>
        <i x="13210" nd="1"/>
        <i x="13211" nd="1"/>
        <i x="13212" nd="1"/>
        <i x="13213" nd="1"/>
        <i x="13214" nd="1"/>
        <i x="13215" nd="1"/>
        <i x="13216" nd="1"/>
        <i x="13217" nd="1"/>
        <i x="13218" nd="1"/>
        <i x="13219" nd="1"/>
        <i x="13220" nd="1"/>
        <i x="13221" nd="1"/>
        <i x="13222" nd="1"/>
        <i x="13223" nd="1"/>
        <i x="13224" nd="1"/>
        <i x="13225" nd="1"/>
        <i x="13226" nd="1"/>
        <i x="13227" nd="1"/>
        <i x="13228" nd="1"/>
        <i x="13229" nd="1"/>
        <i x="13230" nd="1"/>
        <i x="13231" nd="1"/>
        <i x="13232" nd="1"/>
        <i x="13233" nd="1"/>
        <i x="13234" nd="1"/>
        <i x="13235" nd="1"/>
        <i x="13236" nd="1"/>
        <i x="13237" nd="1"/>
        <i x="13238" nd="1"/>
        <i x="13239" nd="1"/>
        <i x="13240" nd="1"/>
        <i x="13241" nd="1"/>
        <i x="13242" nd="1"/>
        <i x="13243" nd="1"/>
        <i x="13244" nd="1"/>
        <i x="13245" nd="1"/>
        <i x="13246" nd="1"/>
        <i x="13247" nd="1"/>
        <i x="13248" nd="1"/>
        <i x="13249" nd="1"/>
        <i x="13250" nd="1"/>
        <i x="13251" nd="1"/>
        <i x="13252" nd="1"/>
        <i x="13253" nd="1"/>
        <i x="13254" nd="1"/>
        <i x="13255" nd="1"/>
        <i x="13256" nd="1"/>
        <i x="13257" nd="1"/>
        <i x="13258" nd="1"/>
        <i x="13259" nd="1"/>
        <i x="13260" nd="1"/>
        <i x="13261" nd="1"/>
        <i x="13262" nd="1"/>
        <i x="13263" nd="1"/>
        <i x="13264" nd="1"/>
        <i x="13265" nd="1"/>
        <i x="13266" nd="1"/>
        <i x="13267" nd="1"/>
        <i x="13268" nd="1"/>
        <i x="13269" nd="1"/>
        <i x="13270" nd="1"/>
        <i x="13271" nd="1"/>
        <i x="13272" nd="1"/>
        <i x="13273" nd="1"/>
        <i x="13274" nd="1"/>
        <i x="13275" nd="1"/>
        <i x="13276" nd="1"/>
        <i x="13277" nd="1"/>
        <i x="13278" nd="1"/>
        <i x="13279" nd="1"/>
        <i x="13280" nd="1"/>
        <i x="13281" nd="1"/>
        <i x="13282" nd="1"/>
        <i x="13283" nd="1"/>
        <i x="13284" nd="1"/>
        <i x="13285" nd="1"/>
        <i x="13286" nd="1"/>
        <i x="13287" nd="1"/>
        <i x="13288" nd="1"/>
        <i x="13289" nd="1"/>
        <i x="13290" nd="1"/>
        <i x="13291" nd="1"/>
        <i x="13292" nd="1"/>
        <i x="13293" nd="1"/>
        <i x="13294" nd="1"/>
        <i x="13295" nd="1"/>
        <i x="13296" nd="1"/>
        <i x="13297" nd="1"/>
        <i x="13298" nd="1"/>
        <i x="13299" nd="1"/>
        <i x="13300" nd="1"/>
        <i x="13301" nd="1"/>
        <i x="13302" nd="1"/>
        <i x="13303" nd="1"/>
        <i x="13304" nd="1"/>
        <i x="13305" nd="1"/>
        <i x="13306" nd="1"/>
        <i x="13307" nd="1"/>
        <i x="13308" nd="1"/>
        <i x="13309" nd="1"/>
        <i x="13310" nd="1"/>
        <i x="13311" nd="1"/>
        <i x="13312" nd="1"/>
        <i x="13313" nd="1"/>
        <i x="13314" nd="1"/>
        <i x="13315" nd="1"/>
        <i x="13316" nd="1"/>
        <i x="13317" nd="1"/>
        <i x="13318" nd="1"/>
        <i x="13319" nd="1"/>
        <i x="13320" nd="1"/>
        <i x="13321" nd="1"/>
        <i x="13322" nd="1"/>
        <i x="13323" nd="1"/>
        <i x="13324" nd="1"/>
        <i x="13325" nd="1"/>
        <i x="13326" nd="1"/>
        <i x="13327" nd="1"/>
        <i x="13328" nd="1"/>
        <i x="13329" nd="1"/>
        <i x="13330" nd="1"/>
        <i x="13331" nd="1"/>
        <i x="13332" nd="1"/>
        <i x="13333" nd="1"/>
        <i x="13334" nd="1"/>
        <i x="13335" nd="1"/>
        <i x="13336" nd="1"/>
        <i x="13337" nd="1"/>
        <i x="13338" nd="1"/>
        <i x="13339" nd="1"/>
        <i x="13340" nd="1"/>
        <i x="13341" nd="1"/>
        <i x="13342" nd="1"/>
        <i x="13343" nd="1"/>
        <i x="13344" nd="1"/>
        <i x="13345" nd="1"/>
        <i x="13346" nd="1"/>
        <i x="13347" nd="1"/>
        <i x="13348" nd="1"/>
        <i x="13349" nd="1"/>
        <i x="13350" nd="1"/>
        <i x="13351" nd="1"/>
        <i x="13352" nd="1"/>
        <i x="13353" nd="1"/>
        <i x="13354" nd="1"/>
        <i x="13355" nd="1"/>
        <i x="13356" nd="1"/>
        <i x="13357" nd="1"/>
        <i x="13358" nd="1"/>
        <i x="13359" nd="1"/>
        <i x="13360" nd="1"/>
        <i x="13361" nd="1"/>
        <i x="13362" nd="1"/>
        <i x="13363" nd="1"/>
        <i x="13364" nd="1"/>
        <i x="13365" nd="1"/>
        <i x="13366" nd="1"/>
        <i x="13367" nd="1"/>
        <i x="13368" nd="1"/>
        <i x="13369" nd="1"/>
        <i x="13370" nd="1"/>
        <i x="13371" nd="1"/>
        <i x="13372" nd="1"/>
        <i x="13373" nd="1"/>
        <i x="13374" nd="1"/>
        <i x="13375" nd="1"/>
        <i x="13376" nd="1"/>
        <i x="13377" nd="1"/>
        <i x="13378" nd="1"/>
        <i x="13379" nd="1"/>
        <i x="13380" nd="1"/>
        <i x="13381" nd="1"/>
        <i x="13382" nd="1"/>
        <i x="13383" nd="1"/>
        <i x="13384" nd="1"/>
        <i x="13385" nd="1"/>
        <i x="13386" nd="1"/>
        <i x="13387" nd="1"/>
        <i x="13388" nd="1"/>
        <i x="13389" nd="1"/>
        <i x="13390" nd="1"/>
        <i x="13391" nd="1"/>
        <i x="13392" nd="1"/>
        <i x="13393" nd="1"/>
        <i x="13394" nd="1"/>
        <i x="13395" nd="1"/>
        <i x="13396" nd="1"/>
        <i x="13397" nd="1"/>
        <i x="13398" nd="1"/>
        <i x="13399" nd="1"/>
        <i x="13400" nd="1"/>
        <i x="13401" nd="1"/>
        <i x="13402" nd="1"/>
        <i x="13403" nd="1"/>
        <i x="13404" nd="1"/>
        <i x="13405" nd="1"/>
        <i x="13406" nd="1"/>
        <i x="13407" nd="1"/>
        <i x="13408" nd="1"/>
        <i x="13409" nd="1"/>
        <i x="13410" nd="1"/>
        <i x="13411" nd="1"/>
        <i x="13412" nd="1"/>
        <i x="13413" nd="1"/>
        <i x="13414" nd="1"/>
        <i x="13415" nd="1"/>
        <i x="13416" nd="1"/>
        <i x="13417" nd="1"/>
        <i x="13418" nd="1"/>
        <i x="13419" nd="1"/>
        <i x="13420" nd="1"/>
        <i x="13421" nd="1"/>
        <i x="13422" nd="1"/>
        <i x="13423" nd="1"/>
        <i x="13424" nd="1"/>
        <i x="13425" nd="1"/>
        <i x="13426" nd="1"/>
        <i x="13427" nd="1"/>
        <i x="13428" nd="1"/>
        <i x="13429" nd="1"/>
        <i x="13430" nd="1"/>
        <i x="13431" nd="1"/>
        <i x="13432" nd="1"/>
        <i x="13433" nd="1"/>
        <i x="13434" nd="1"/>
        <i x="13435" nd="1"/>
        <i x="13436" nd="1"/>
        <i x="13437" nd="1"/>
        <i x="13438" nd="1"/>
        <i x="13439" nd="1"/>
        <i x="13440" nd="1"/>
        <i x="13441" nd="1"/>
        <i x="13442" nd="1"/>
        <i x="13443" nd="1"/>
        <i x="13444" nd="1"/>
        <i x="13445" nd="1"/>
        <i x="13446" nd="1"/>
        <i x="13447" nd="1"/>
        <i x="13448" nd="1"/>
        <i x="13449" nd="1"/>
        <i x="13450" nd="1"/>
        <i x="13451" nd="1"/>
        <i x="13452" nd="1"/>
        <i x="13453" nd="1"/>
        <i x="13454" nd="1"/>
        <i x="13455" nd="1"/>
        <i x="13456" nd="1"/>
        <i x="13457" nd="1"/>
        <i x="13458" nd="1"/>
        <i x="13459" nd="1"/>
        <i x="13460" nd="1"/>
        <i x="13461" nd="1"/>
        <i x="13462" nd="1"/>
        <i x="13463" nd="1"/>
        <i x="13464" nd="1"/>
        <i x="13465" nd="1"/>
        <i x="13466" nd="1"/>
        <i x="13467" nd="1"/>
        <i x="13468" nd="1"/>
        <i x="13469" nd="1"/>
        <i x="13470" nd="1"/>
        <i x="13471" nd="1"/>
        <i x="13472" nd="1"/>
        <i x="13473" nd="1"/>
        <i x="13474" nd="1"/>
        <i x="13475" nd="1"/>
        <i x="13476" nd="1"/>
        <i x="13477" nd="1"/>
        <i x="13478" nd="1"/>
        <i x="13479" nd="1"/>
        <i x="13480" nd="1"/>
        <i x="13481" nd="1"/>
        <i x="13482" nd="1"/>
        <i x="13483" nd="1"/>
        <i x="13484" nd="1"/>
        <i x="13485" nd="1"/>
        <i x="13486" nd="1"/>
        <i x="13487" nd="1"/>
        <i x="13488" nd="1"/>
        <i x="13489" nd="1"/>
        <i x="13490" nd="1"/>
        <i x="13491" nd="1"/>
        <i x="13492" nd="1"/>
        <i x="13493" nd="1"/>
        <i x="13494" nd="1"/>
        <i x="13495" nd="1"/>
        <i x="13496" nd="1"/>
        <i x="13497" nd="1"/>
        <i x="13498" nd="1"/>
        <i x="13499" nd="1"/>
        <i x="13500" nd="1"/>
        <i x="13501" nd="1"/>
        <i x="13502" nd="1"/>
        <i x="13503" nd="1"/>
        <i x="13504" nd="1"/>
        <i x="13505" nd="1"/>
        <i x="13506" nd="1"/>
        <i x="13507" nd="1"/>
        <i x="13508" nd="1"/>
        <i x="13509" nd="1"/>
        <i x="13510" nd="1"/>
        <i x="13511" nd="1"/>
        <i x="13512" nd="1"/>
        <i x="13513" nd="1"/>
        <i x="13514" nd="1"/>
        <i x="13515" nd="1"/>
        <i x="13516" nd="1"/>
        <i x="13517" nd="1"/>
        <i x="13518" nd="1"/>
        <i x="13519" nd="1"/>
        <i x="13520" nd="1"/>
        <i x="13521" nd="1"/>
        <i x="13522" nd="1"/>
        <i x="13523" nd="1"/>
        <i x="13524" nd="1"/>
        <i x="13525" nd="1"/>
        <i x="13526" nd="1"/>
        <i x="13527" nd="1"/>
        <i x="13528" nd="1"/>
        <i x="13529" nd="1"/>
        <i x="13530" nd="1"/>
        <i x="13531" nd="1"/>
        <i x="13532" nd="1"/>
        <i x="13533" nd="1"/>
        <i x="13534" nd="1"/>
        <i x="13535" nd="1"/>
        <i x="13536" nd="1"/>
        <i x="13537" nd="1"/>
        <i x="13538" nd="1"/>
        <i x="13539" nd="1"/>
        <i x="13540" nd="1"/>
        <i x="13541" nd="1"/>
        <i x="13542" nd="1"/>
        <i x="13543" nd="1"/>
        <i x="13544" nd="1"/>
        <i x="13545" nd="1"/>
        <i x="13546" nd="1"/>
        <i x="13547" nd="1"/>
        <i x="13548" nd="1"/>
        <i x="13549" nd="1"/>
        <i x="13550" nd="1"/>
        <i x="13551" nd="1"/>
        <i x="13552" nd="1"/>
        <i x="13553" nd="1"/>
        <i x="13554" nd="1"/>
        <i x="13555" nd="1"/>
        <i x="13556" nd="1"/>
        <i x="13557" nd="1"/>
        <i x="13558" nd="1"/>
        <i x="13559" nd="1"/>
        <i x="13560" nd="1"/>
        <i x="13561" nd="1"/>
        <i x="13562" nd="1"/>
        <i x="13563" nd="1"/>
        <i x="13564" nd="1"/>
        <i x="13565" nd="1"/>
        <i x="13566" nd="1"/>
        <i x="13567" nd="1"/>
        <i x="13568" nd="1"/>
        <i x="13569" nd="1"/>
        <i x="13570" nd="1"/>
        <i x="13571" nd="1"/>
        <i x="13572" nd="1"/>
        <i x="13573" nd="1"/>
        <i x="13574" nd="1"/>
        <i x="13575" nd="1"/>
        <i x="13576" nd="1"/>
        <i x="13577" nd="1"/>
        <i x="13578" nd="1"/>
        <i x="13579" nd="1"/>
        <i x="13580" nd="1"/>
        <i x="13581" nd="1"/>
        <i x="13582" nd="1"/>
        <i x="13583" nd="1"/>
        <i x="13584" nd="1"/>
        <i x="13585" nd="1"/>
        <i x="13586" nd="1"/>
        <i x="13587" nd="1"/>
        <i x="13588" nd="1"/>
        <i x="13589" nd="1"/>
        <i x="13590" nd="1"/>
        <i x="13591" nd="1"/>
        <i x="13592" nd="1"/>
        <i x="13593" nd="1"/>
        <i x="13594" nd="1"/>
        <i x="13595" nd="1"/>
        <i x="13596" nd="1"/>
        <i x="13597" nd="1"/>
        <i x="13598" nd="1"/>
        <i x="13599" nd="1"/>
        <i x="13600" nd="1"/>
        <i x="13601" nd="1"/>
        <i x="13602" nd="1"/>
        <i x="13603" nd="1"/>
        <i x="13604" nd="1"/>
        <i x="13605" nd="1"/>
        <i x="13606" nd="1"/>
        <i x="13607" nd="1"/>
        <i x="13608" nd="1"/>
        <i x="13609" nd="1"/>
        <i x="13610" nd="1"/>
        <i x="13611" nd="1"/>
        <i x="13612" nd="1"/>
        <i x="13613" nd="1"/>
        <i x="13614" nd="1"/>
        <i x="13615" nd="1"/>
        <i x="13616" nd="1"/>
        <i x="13617" nd="1"/>
        <i x="13618" nd="1"/>
        <i x="13619" nd="1"/>
        <i x="13620" nd="1"/>
        <i x="13621" nd="1"/>
        <i x="13622" nd="1"/>
        <i x="13623" nd="1"/>
        <i x="13624" nd="1"/>
        <i x="13625" nd="1"/>
        <i x="13626" nd="1"/>
        <i x="13627" nd="1"/>
        <i x="13628" nd="1"/>
        <i x="13629" nd="1"/>
        <i x="13630" nd="1"/>
        <i x="13631" nd="1"/>
        <i x="13632" nd="1"/>
        <i x="13633" nd="1"/>
        <i x="13634" nd="1"/>
        <i x="13635" nd="1"/>
        <i x="13636" nd="1"/>
        <i x="13637" nd="1"/>
        <i x="13638" nd="1"/>
        <i x="13639" nd="1"/>
        <i x="13640" nd="1"/>
        <i x="13641" nd="1"/>
        <i x="13642" nd="1"/>
        <i x="13643" nd="1"/>
        <i x="13644" nd="1"/>
        <i x="13645" nd="1"/>
        <i x="13646" nd="1"/>
        <i x="13647" nd="1"/>
        <i x="13648" nd="1"/>
        <i x="13649" nd="1"/>
        <i x="13650" nd="1"/>
        <i x="13651" nd="1"/>
        <i x="13652" nd="1"/>
        <i x="13653" nd="1"/>
        <i x="13654" nd="1"/>
        <i x="13655" nd="1"/>
        <i x="13656" nd="1"/>
        <i x="13657" nd="1"/>
        <i x="13658" nd="1"/>
        <i x="13659" nd="1"/>
        <i x="13660" nd="1"/>
        <i x="13661" nd="1"/>
        <i x="13662" nd="1"/>
        <i x="13663" nd="1"/>
        <i x="13664" nd="1"/>
        <i x="13665" nd="1"/>
        <i x="13666" nd="1"/>
        <i x="13667" nd="1"/>
        <i x="13668" nd="1"/>
        <i x="13669" nd="1"/>
        <i x="13670" nd="1"/>
        <i x="13671" nd="1"/>
        <i x="13672" nd="1"/>
        <i x="13673" nd="1"/>
        <i x="13674" nd="1"/>
        <i x="13675" nd="1"/>
        <i x="13676" nd="1"/>
        <i x="13677" nd="1"/>
        <i x="13678" nd="1"/>
        <i x="13679" nd="1"/>
        <i x="13680" nd="1"/>
        <i x="13681" nd="1"/>
        <i x="13682" nd="1"/>
        <i x="13683" nd="1"/>
        <i x="13684" nd="1"/>
        <i x="13685" nd="1"/>
        <i x="13686" nd="1"/>
        <i x="13687" nd="1"/>
        <i x="13688" nd="1"/>
        <i x="13689" nd="1"/>
        <i x="13690" nd="1"/>
        <i x="13691" nd="1"/>
        <i x="13692" nd="1"/>
        <i x="13693" nd="1"/>
        <i x="13694" nd="1"/>
        <i x="13695" nd="1"/>
        <i x="13696" nd="1"/>
        <i x="13697" nd="1"/>
        <i x="13698" nd="1"/>
        <i x="13699" nd="1"/>
        <i x="13700" nd="1"/>
        <i x="13701" nd="1"/>
        <i x="13702" nd="1"/>
        <i x="13703" nd="1"/>
        <i x="13704" nd="1"/>
        <i x="13705" nd="1"/>
        <i x="13706" nd="1"/>
        <i x="13707" nd="1"/>
        <i x="13708" nd="1"/>
        <i x="13709" nd="1"/>
        <i x="13710" nd="1"/>
        <i x="13711" nd="1"/>
        <i x="13712" nd="1"/>
        <i x="13713" nd="1"/>
        <i x="13714" nd="1"/>
        <i x="13715" nd="1"/>
        <i x="13716" nd="1"/>
        <i x="13717" nd="1"/>
        <i x="13718" nd="1"/>
        <i x="13719" nd="1"/>
        <i x="13720" nd="1"/>
        <i x="13721" nd="1"/>
        <i x="13722" nd="1"/>
        <i x="13723" nd="1"/>
        <i x="13724" nd="1"/>
        <i x="13725" nd="1"/>
        <i x="13726" nd="1"/>
        <i x="13727" nd="1"/>
        <i x="13728" nd="1"/>
        <i x="13729" nd="1"/>
        <i x="13730" nd="1"/>
        <i x="13731" nd="1"/>
        <i x="13732" nd="1"/>
        <i x="13733" nd="1"/>
        <i x="13734" nd="1"/>
        <i x="13735" nd="1"/>
        <i x="13736" nd="1"/>
        <i x="13737" nd="1"/>
        <i x="13738" nd="1"/>
        <i x="13739" nd="1"/>
        <i x="13740" nd="1"/>
        <i x="13741" nd="1"/>
        <i x="13742" nd="1"/>
        <i x="13743" nd="1"/>
        <i x="13744" nd="1"/>
        <i x="13745" nd="1"/>
        <i x="13746" nd="1"/>
        <i x="13747" nd="1"/>
        <i x="13748" nd="1"/>
        <i x="13749" nd="1"/>
        <i x="13750" nd="1"/>
        <i x="13751" nd="1"/>
        <i x="13752" nd="1"/>
        <i x="13753" nd="1"/>
        <i x="13754" nd="1"/>
        <i x="13755" nd="1"/>
        <i x="13756" nd="1"/>
        <i x="13757" nd="1"/>
        <i x="13758" nd="1"/>
        <i x="13759" nd="1"/>
        <i x="13760" nd="1"/>
        <i x="13761" nd="1"/>
        <i x="13762" nd="1"/>
        <i x="13763" nd="1"/>
        <i x="13764" nd="1"/>
        <i x="13765" nd="1"/>
        <i x="13766" nd="1"/>
        <i x="13767" nd="1"/>
        <i x="13768" nd="1"/>
        <i x="13769" nd="1"/>
        <i x="13770" nd="1"/>
        <i x="13771" nd="1"/>
        <i x="13772" nd="1"/>
        <i x="13773" nd="1"/>
        <i x="13774" nd="1"/>
        <i x="13775" nd="1"/>
        <i x="13776" nd="1"/>
        <i x="13777" nd="1"/>
        <i x="13778" nd="1"/>
        <i x="13779" nd="1"/>
        <i x="13780" nd="1"/>
        <i x="13781" nd="1"/>
        <i x="13782" nd="1"/>
        <i x="13783" nd="1"/>
        <i x="13784" nd="1"/>
        <i x="13785" nd="1"/>
        <i x="13786" nd="1"/>
        <i x="13787" nd="1"/>
        <i x="13788" nd="1"/>
        <i x="13789" nd="1"/>
        <i x="13790" nd="1"/>
        <i x="13791" nd="1"/>
        <i x="13792" nd="1"/>
        <i x="13793" nd="1"/>
        <i x="13794" nd="1"/>
        <i x="13795" nd="1"/>
        <i x="13796" nd="1"/>
        <i x="13797" nd="1"/>
        <i x="13798" nd="1"/>
        <i x="13799" nd="1"/>
        <i x="13800" nd="1"/>
        <i x="13801" nd="1"/>
        <i x="13802" nd="1"/>
        <i x="13803" nd="1"/>
        <i x="13804" nd="1"/>
        <i x="13805" nd="1"/>
        <i x="13806" nd="1"/>
        <i x="13807" nd="1"/>
        <i x="13808" nd="1"/>
        <i x="13809" nd="1"/>
        <i x="13810" nd="1"/>
        <i x="13811" nd="1"/>
        <i x="13812" nd="1"/>
        <i x="13813" nd="1"/>
        <i x="13814" nd="1"/>
        <i x="13815" nd="1"/>
        <i x="13816" nd="1"/>
        <i x="13817" nd="1"/>
        <i x="13818" nd="1"/>
        <i x="13819" nd="1"/>
        <i x="13820" nd="1"/>
        <i x="13821" nd="1"/>
        <i x="13822" nd="1"/>
        <i x="13823" nd="1"/>
        <i x="13824" nd="1"/>
        <i x="13825" nd="1"/>
        <i x="13826" nd="1"/>
        <i x="13827" nd="1"/>
        <i x="13828" nd="1"/>
        <i x="13829" nd="1"/>
        <i x="13830" nd="1"/>
        <i x="13831" nd="1"/>
        <i x="13832" nd="1"/>
        <i x="13833" nd="1"/>
        <i x="13834" nd="1"/>
        <i x="13835" nd="1"/>
        <i x="13836" nd="1"/>
        <i x="13837" nd="1"/>
        <i x="13838" nd="1"/>
        <i x="13839" nd="1"/>
        <i x="13840" nd="1"/>
        <i x="13841" nd="1"/>
        <i x="13842" nd="1"/>
        <i x="13843" nd="1"/>
        <i x="13844" nd="1"/>
        <i x="13845" nd="1"/>
        <i x="13846" nd="1"/>
        <i x="13847" nd="1"/>
        <i x="13848" nd="1"/>
        <i x="13849" nd="1"/>
        <i x="13850" nd="1"/>
        <i x="13851" nd="1"/>
        <i x="13852" nd="1"/>
        <i x="13853" nd="1"/>
        <i x="13854" nd="1"/>
        <i x="13855" nd="1"/>
        <i x="13856" nd="1"/>
        <i x="13857" nd="1"/>
        <i x="13858" nd="1"/>
        <i x="13859" nd="1"/>
        <i x="13860" nd="1"/>
        <i x="13861" nd="1"/>
        <i x="13862" nd="1"/>
        <i x="13863" nd="1"/>
        <i x="13864" nd="1"/>
        <i x="13865" nd="1"/>
        <i x="13866" nd="1"/>
        <i x="13867" nd="1"/>
        <i x="13868" nd="1"/>
        <i x="13869" nd="1"/>
        <i x="13870" nd="1"/>
        <i x="13871" nd="1"/>
        <i x="13872" nd="1"/>
        <i x="13873" nd="1"/>
        <i x="13874" nd="1"/>
        <i x="13875" nd="1"/>
        <i x="13876" nd="1"/>
        <i x="13877" nd="1"/>
        <i x="13878" nd="1"/>
        <i x="13879" nd="1"/>
        <i x="13880" nd="1"/>
        <i x="13881" nd="1"/>
        <i x="13882" nd="1"/>
        <i x="13883" nd="1"/>
        <i x="13884" nd="1"/>
        <i x="13885" nd="1"/>
        <i x="13886" nd="1"/>
        <i x="13887" nd="1"/>
        <i x="13888" nd="1"/>
        <i x="13889" nd="1"/>
        <i x="13890" nd="1"/>
        <i x="13891" nd="1"/>
        <i x="13892" nd="1"/>
        <i x="13893" nd="1"/>
        <i x="13894" nd="1"/>
        <i x="13895" nd="1"/>
        <i x="13896" nd="1"/>
        <i x="13897" nd="1"/>
        <i x="13898" nd="1"/>
        <i x="13899" nd="1"/>
        <i x="13900" nd="1"/>
        <i x="13901" nd="1"/>
        <i x="13902" nd="1"/>
        <i x="13903" nd="1"/>
        <i x="13904" nd="1"/>
        <i x="13905" nd="1"/>
        <i x="13906" nd="1"/>
        <i x="13907" nd="1"/>
        <i x="13908" nd="1"/>
        <i x="13909" nd="1"/>
        <i x="13910" nd="1"/>
        <i x="13911" nd="1"/>
        <i x="13912" nd="1"/>
        <i x="13913" nd="1"/>
        <i x="13914" nd="1"/>
        <i x="13915" nd="1"/>
        <i x="13916" nd="1"/>
        <i x="13917" nd="1"/>
        <i x="13918" nd="1"/>
        <i x="13919" nd="1"/>
        <i x="13920" nd="1"/>
        <i x="13921" nd="1"/>
        <i x="13922" nd="1"/>
        <i x="13923" nd="1"/>
        <i x="13924" nd="1"/>
        <i x="13925" nd="1"/>
        <i x="13926" nd="1"/>
        <i x="13927" nd="1"/>
        <i x="13928" nd="1"/>
        <i x="13929" nd="1"/>
        <i x="13930" nd="1"/>
        <i x="13931" nd="1"/>
        <i x="13932" nd="1"/>
        <i x="13933" nd="1"/>
        <i x="13934" nd="1"/>
        <i x="13935" nd="1"/>
        <i x="13936" nd="1"/>
        <i x="13937" nd="1"/>
        <i x="13938" nd="1"/>
        <i x="13939" nd="1"/>
        <i x="13940" nd="1"/>
        <i x="13941" nd="1"/>
        <i x="13942" nd="1"/>
        <i x="13943" nd="1"/>
        <i x="13944" nd="1"/>
        <i x="13945" nd="1"/>
        <i x="13946" nd="1"/>
        <i x="13947" nd="1"/>
        <i x="13948" nd="1"/>
        <i x="13949" nd="1"/>
        <i x="13950" nd="1"/>
        <i x="13951" nd="1"/>
        <i x="13952" nd="1"/>
        <i x="13953" nd="1"/>
        <i x="13954" nd="1"/>
        <i x="13955" nd="1"/>
        <i x="13956" nd="1"/>
        <i x="13957" nd="1"/>
        <i x="13958" nd="1"/>
        <i x="13959" nd="1"/>
        <i x="13960" nd="1"/>
        <i x="13961" nd="1"/>
        <i x="13962" nd="1"/>
        <i x="13963" nd="1"/>
        <i x="13964" nd="1"/>
        <i x="13965" nd="1"/>
        <i x="13966" nd="1"/>
        <i x="13967" nd="1"/>
        <i x="13968" nd="1"/>
        <i x="13969" nd="1"/>
        <i x="13970" nd="1"/>
        <i x="13971" nd="1"/>
        <i x="13972" nd="1"/>
        <i x="13973" nd="1"/>
        <i x="13974" nd="1"/>
        <i x="13975" nd="1"/>
        <i x="13976" nd="1"/>
        <i x="13977" nd="1"/>
        <i x="13978" nd="1"/>
        <i x="13979" nd="1"/>
        <i x="13980" nd="1"/>
        <i x="13981" nd="1"/>
        <i x="13982" nd="1"/>
        <i x="13983" nd="1"/>
        <i x="13984" nd="1"/>
        <i x="13985" nd="1"/>
        <i x="13986" nd="1"/>
        <i x="13987" nd="1"/>
        <i x="13988" nd="1"/>
        <i x="13989" nd="1"/>
        <i x="13990" nd="1"/>
        <i x="13991" nd="1"/>
        <i x="13992" nd="1"/>
        <i x="13993" nd="1"/>
        <i x="13994" nd="1"/>
        <i x="13995" nd="1"/>
        <i x="13996" nd="1"/>
        <i x="13997" nd="1"/>
        <i x="13998" nd="1"/>
        <i x="13999" nd="1"/>
        <i x="14000" nd="1"/>
        <i x="14001" nd="1"/>
        <i x="14002" nd="1"/>
        <i x="14003" nd="1"/>
        <i x="14004" nd="1"/>
        <i x="14005" nd="1"/>
        <i x="14006" nd="1"/>
        <i x="14007" nd="1"/>
        <i x="14008" nd="1"/>
        <i x="14009" nd="1"/>
        <i x="14010" nd="1"/>
        <i x="14011" nd="1"/>
        <i x="14012" nd="1"/>
        <i x="14013" nd="1"/>
        <i x="14014" nd="1"/>
        <i x="14015" nd="1"/>
        <i x="14016" nd="1"/>
        <i x="14017" nd="1"/>
        <i x="14018" nd="1"/>
        <i x="14019" nd="1"/>
        <i x="14020" nd="1"/>
        <i x="14021" nd="1"/>
        <i x="14022" nd="1"/>
        <i x="14023" nd="1"/>
        <i x="14024" nd="1"/>
        <i x="14025" nd="1"/>
        <i x="14026" nd="1"/>
        <i x="14027" nd="1"/>
        <i x="14028" nd="1"/>
        <i x="14029" nd="1"/>
        <i x="14030" nd="1"/>
        <i x="14031" nd="1"/>
        <i x="14032" nd="1"/>
        <i x="14033" nd="1"/>
        <i x="14034" nd="1"/>
        <i x="14035" nd="1"/>
        <i x="14036" nd="1"/>
        <i x="14037" nd="1"/>
        <i x="14038" nd="1"/>
        <i x="14039" nd="1"/>
        <i x="14040" nd="1"/>
        <i x="14041" nd="1"/>
        <i x="14042" nd="1"/>
        <i x="14043" nd="1"/>
        <i x="14044" nd="1"/>
        <i x="14045" nd="1"/>
        <i x="14046" nd="1"/>
        <i x="14047" nd="1"/>
        <i x="14048" nd="1"/>
        <i x="14049" nd="1"/>
        <i x="14050" nd="1"/>
        <i x="14051" nd="1"/>
        <i x="14052" nd="1"/>
        <i x="14053" nd="1"/>
        <i x="14054" nd="1"/>
        <i x="14055" nd="1"/>
        <i x="14056" nd="1"/>
        <i x="14057" nd="1"/>
        <i x="14058" nd="1"/>
        <i x="14059" nd="1"/>
        <i x="14060" nd="1"/>
        <i x="14061" nd="1"/>
        <i x="14062" nd="1"/>
        <i x="14063" nd="1"/>
        <i x="14064" nd="1"/>
        <i x="14065" nd="1"/>
        <i x="14066" nd="1"/>
        <i x="14067" nd="1"/>
        <i x="14068" nd="1"/>
        <i x="14069" nd="1"/>
        <i x="14070" nd="1"/>
        <i x="14071" nd="1"/>
        <i x="14072" nd="1"/>
        <i x="14073" nd="1"/>
        <i x="14074" nd="1"/>
        <i x="14075" nd="1"/>
        <i x="14076" nd="1"/>
        <i x="14077" nd="1"/>
        <i x="14078" nd="1"/>
        <i x="14079" nd="1"/>
        <i x="14080" nd="1"/>
        <i x="14081" nd="1"/>
        <i x="14082" nd="1"/>
        <i x="14083" nd="1"/>
        <i x="14084" nd="1"/>
        <i x="14085" nd="1"/>
        <i x="14086" nd="1"/>
        <i x="14087" nd="1"/>
        <i x="14088" nd="1"/>
        <i x="14089" nd="1"/>
        <i x="14090" nd="1"/>
        <i x="14091" nd="1"/>
        <i x="14092" nd="1"/>
        <i x="14093" nd="1"/>
        <i x="14094" nd="1"/>
        <i x="14095" nd="1"/>
        <i x="14096" nd="1"/>
        <i x="14097" nd="1"/>
        <i x="14098" nd="1"/>
        <i x="14099" nd="1"/>
        <i x="14100" nd="1"/>
        <i x="14101" nd="1"/>
        <i x="14102" nd="1"/>
        <i x="14103" nd="1"/>
        <i x="14104" nd="1"/>
        <i x="14105" nd="1"/>
        <i x="14106" nd="1"/>
        <i x="14107" nd="1"/>
        <i x="14108" nd="1"/>
        <i x="14109" nd="1"/>
        <i x="14110" nd="1"/>
        <i x="14111" nd="1"/>
        <i x="14112" nd="1"/>
        <i x="14113" nd="1"/>
        <i x="14114" nd="1"/>
        <i x="14115" nd="1"/>
        <i x="14116" nd="1"/>
        <i x="14117" nd="1"/>
        <i x="14118" nd="1"/>
        <i x="14119" nd="1"/>
        <i x="14120" nd="1"/>
        <i x="14121" nd="1"/>
        <i x="14122" nd="1"/>
        <i x="14123" nd="1"/>
        <i x="14124" nd="1"/>
        <i x="14125" nd="1"/>
        <i x="14126" nd="1"/>
        <i x="14127" nd="1"/>
        <i x="14128" nd="1"/>
        <i x="14129" nd="1"/>
        <i x="14130" nd="1"/>
        <i x="14131" nd="1"/>
        <i x="14132" nd="1"/>
        <i x="14133" nd="1"/>
        <i x="14134" nd="1"/>
        <i x="14135" nd="1"/>
        <i x="14136" nd="1"/>
        <i x="14137" nd="1"/>
        <i x="14138" nd="1"/>
        <i x="14139" nd="1"/>
        <i x="14140" nd="1"/>
        <i x="14141" nd="1"/>
        <i x="14142" nd="1"/>
        <i x="14143" nd="1"/>
        <i x="14144" nd="1"/>
        <i x="14145" nd="1"/>
        <i x="14146" nd="1"/>
        <i x="14147" nd="1"/>
        <i x="14148" nd="1"/>
        <i x="14149" nd="1"/>
        <i x="14150" nd="1"/>
        <i x="14151" nd="1"/>
        <i x="14152" nd="1"/>
        <i x="14153" nd="1"/>
        <i x="14154" nd="1"/>
        <i x="14155" nd="1"/>
        <i x="14156" nd="1"/>
        <i x="14157" nd="1"/>
        <i x="14158" nd="1"/>
        <i x="14159" nd="1"/>
        <i x="14160" nd="1"/>
        <i x="14161" nd="1"/>
        <i x="14162" nd="1"/>
        <i x="14163" nd="1"/>
        <i x="14164" nd="1"/>
        <i x="14165" nd="1"/>
        <i x="14166" nd="1"/>
        <i x="14167" nd="1"/>
        <i x="14168" nd="1"/>
        <i x="14169" nd="1"/>
        <i x="14170" nd="1"/>
        <i x="14171" nd="1"/>
        <i x="14172" nd="1"/>
        <i x="14173" nd="1"/>
        <i x="14174" nd="1"/>
        <i x="14175" nd="1"/>
        <i x="14176" nd="1"/>
        <i x="14177" nd="1"/>
        <i x="14178" nd="1"/>
        <i x="14179" nd="1"/>
        <i x="14180" nd="1"/>
        <i x="14181" nd="1"/>
        <i x="14182" nd="1"/>
        <i x="14183" nd="1"/>
        <i x="14184" nd="1"/>
        <i x="14185" nd="1"/>
        <i x="14186" nd="1"/>
        <i x="14187" nd="1"/>
        <i x="14188" nd="1"/>
        <i x="14189" nd="1"/>
        <i x="14190" nd="1"/>
        <i x="14191" nd="1"/>
        <i x="14192" nd="1"/>
        <i x="14193" nd="1"/>
        <i x="14194" nd="1"/>
        <i x="14195" nd="1"/>
        <i x="14196" nd="1"/>
        <i x="14197" nd="1"/>
        <i x="14198" nd="1"/>
        <i x="14199" nd="1"/>
        <i x="14200" nd="1"/>
        <i x="14201" nd="1"/>
        <i x="14202" nd="1"/>
        <i x="14203" nd="1"/>
        <i x="14204" nd="1"/>
        <i x="14205" nd="1"/>
        <i x="14206" nd="1"/>
        <i x="14207" nd="1"/>
        <i x="14208" nd="1"/>
        <i x="14209" nd="1"/>
        <i x="14210" nd="1"/>
        <i x="14211" nd="1"/>
        <i x="14212" nd="1"/>
        <i x="14213" nd="1"/>
        <i x="14214" nd="1"/>
        <i x="14215" nd="1"/>
        <i x="14216" nd="1"/>
        <i x="14217" nd="1"/>
        <i x="14218" nd="1"/>
        <i x="14219" nd="1"/>
        <i x="14220" nd="1"/>
        <i x="14221" nd="1"/>
        <i x="14222" nd="1"/>
        <i x="14223" nd="1"/>
        <i x="14224" nd="1"/>
        <i x="14225" nd="1"/>
        <i x="14226" nd="1"/>
        <i x="14227" nd="1"/>
        <i x="14228" nd="1"/>
        <i x="14229" nd="1"/>
        <i x="14230" nd="1"/>
        <i x="14231" nd="1"/>
        <i x="14232" nd="1"/>
        <i x="14233" nd="1"/>
        <i x="14234" nd="1"/>
        <i x="14235" nd="1"/>
        <i x="14236" nd="1"/>
        <i x="14237" nd="1"/>
        <i x="14238" nd="1"/>
        <i x="14239" nd="1"/>
        <i x="14240" nd="1"/>
        <i x="14241" nd="1"/>
        <i x="14242" nd="1"/>
        <i x="14243" nd="1"/>
        <i x="14244" nd="1"/>
        <i x="14245" nd="1"/>
        <i x="14246" nd="1"/>
        <i x="14247" nd="1"/>
        <i x="14248" nd="1"/>
        <i x="14249" nd="1"/>
        <i x="14250" nd="1"/>
        <i x="14251" nd="1"/>
        <i x="14252" nd="1"/>
        <i x="14253" nd="1"/>
        <i x="14254" nd="1"/>
        <i x="14255" nd="1"/>
        <i x="14256" nd="1"/>
        <i x="14257" nd="1"/>
        <i x="14258" nd="1"/>
        <i x="14259" nd="1"/>
        <i x="14260" nd="1"/>
        <i x="14261" nd="1"/>
        <i x="14262" nd="1"/>
        <i x="14263" nd="1"/>
        <i x="14264" nd="1"/>
        <i x="14265" nd="1"/>
        <i x="14266" nd="1"/>
        <i x="14267" nd="1"/>
        <i x="14268" nd="1"/>
        <i x="14269" nd="1"/>
        <i x="14270" nd="1"/>
        <i x="14271" nd="1"/>
        <i x="14272" nd="1"/>
        <i x="14273" nd="1"/>
        <i x="14274" nd="1"/>
        <i x="14275" nd="1"/>
        <i x="14276" nd="1"/>
        <i x="14277" nd="1"/>
        <i x="14278" nd="1"/>
        <i x="14279" nd="1"/>
        <i x="14280" nd="1"/>
        <i x="14281" nd="1"/>
        <i x="14282" nd="1"/>
        <i x="14283" nd="1"/>
        <i x="14284" nd="1"/>
        <i x="14285" nd="1"/>
        <i x="14286" nd="1"/>
        <i x="14287" nd="1"/>
        <i x="14288" nd="1"/>
        <i x="14289" nd="1"/>
        <i x="14290" nd="1"/>
        <i x="14291" nd="1"/>
        <i x="14292" nd="1"/>
        <i x="14293" nd="1"/>
        <i x="14294" nd="1"/>
        <i x="14295" nd="1"/>
        <i x="14296" nd="1"/>
        <i x="14297" nd="1"/>
        <i x="14298" nd="1"/>
        <i x="14299" nd="1"/>
        <i x="14300" nd="1"/>
        <i x="14301" nd="1"/>
        <i x="14302" nd="1"/>
        <i x="14303" nd="1"/>
        <i x="14304" nd="1"/>
        <i x="14305" nd="1"/>
        <i x="14306" nd="1"/>
        <i x="14307" nd="1"/>
        <i x="14308" nd="1"/>
        <i x="14309" nd="1"/>
        <i x="14310" nd="1"/>
        <i x="14311" nd="1"/>
        <i x="14312" nd="1"/>
        <i x="14313" nd="1"/>
        <i x="14314" nd="1"/>
        <i x="14315" nd="1"/>
        <i x="14316" nd="1"/>
        <i x="14317" nd="1"/>
        <i x="14318" nd="1"/>
        <i x="14319" nd="1"/>
        <i x="14320" nd="1"/>
        <i x="14321" nd="1"/>
        <i x="14322" nd="1"/>
        <i x="14323" nd="1"/>
        <i x="14324" nd="1"/>
        <i x="14325" nd="1"/>
        <i x="14326" nd="1"/>
        <i x="14327" nd="1"/>
        <i x="14328" nd="1"/>
        <i x="14329" nd="1"/>
        <i x="14330" nd="1"/>
        <i x="14331" nd="1"/>
        <i x="14332" nd="1"/>
        <i x="14333" nd="1"/>
        <i x="14334" nd="1"/>
        <i x="14335" nd="1"/>
        <i x="14336" nd="1"/>
        <i x="14337" nd="1"/>
        <i x="14338" nd="1"/>
        <i x="14339" nd="1"/>
        <i x="14340" nd="1"/>
        <i x="14341" nd="1"/>
        <i x="14342" nd="1"/>
        <i x="14343" nd="1"/>
        <i x="14344" nd="1"/>
        <i x="14345" nd="1"/>
        <i x="14346" nd="1"/>
        <i x="14347" nd="1"/>
        <i x="14348" nd="1"/>
        <i x="14349" nd="1"/>
        <i x="14350" nd="1"/>
        <i x="14351" nd="1"/>
        <i x="14352" nd="1"/>
        <i x="14353" nd="1"/>
        <i x="14354" nd="1"/>
        <i x="14355" nd="1"/>
        <i x="14356" nd="1"/>
        <i x="14357" nd="1"/>
        <i x="14358" nd="1"/>
        <i x="14359" nd="1"/>
        <i x="14360" nd="1"/>
        <i x="14361" nd="1"/>
        <i x="14362" nd="1"/>
        <i x="14363" nd="1"/>
        <i x="14364" nd="1"/>
        <i x="14365" nd="1"/>
        <i x="14366" nd="1"/>
        <i x="14367" nd="1"/>
        <i x="14368" nd="1"/>
        <i x="14369" nd="1"/>
        <i x="14370" nd="1"/>
        <i x="14371" nd="1"/>
        <i x="14372" nd="1"/>
        <i x="14373" nd="1"/>
        <i x="14374" nd="1"/>
        <i x="14375" nd="1"/>
        <i x="14376" nd="1"/>
        <i x="14377" nd="1"/>
        <i x="14378" nd="1"/>
        <i x="14379" nd="1"/>
        <i x="14380" nd="1"/>
        <i x="14381" nd="1"/>
        <i x="14382" nd="1"/>
        <i x="14383" nd="1"/>
        <i x="14384" nd="1"/>
        <i x="14385" nd="1"/>
        <i x="14386" nd="1"/>
        <i x="14387" nd="1"/>
        <i x="14388" nd="1"/>
        <i x="14389" nd="1"/>
        <i x="14390" nd="1"/>
        <i x="14391" nd="1"/>
        <i x="14392" nd="1"/>
        <i x="14393" nd="1"/>
        <i x="14394" nd="1"/>
        <i x="14395" nd="1"/>
        <i x="14396" nd="1"/>
        <i x="14397" nd="1"/>
        <i x="14398" nd="1"/>
        <i x="14399" nd="1"/>
        <i x="14400" nd="1"/>
        <i x="14401" nd="1"/>
        <i x="14402" nd="1"/>
        <i x="14403" nd="1"/>
        <i x="14404" nd="1"/>
        <i x="14405" nd="1"/>
        <i x="14406" nd="1"/>
        <i x="14407" nd="1"/>
        <i x="14408" nd="1"/>
        <i x="14409" nd="1"/>
        <i x="14410" nd="1"/>
        <i x="14411" nd="1"/>
        <i x="14412" nd="1"/>
        <i x="14413" nd="1"/>
        <i x="14414" nd="1"/>
        <i x="14415" nd="1"/>
        <i x="14416" nd="1"/>
        <i x="14417" nd="1"/>
        <i x="14418" nd="1"/>
        <i x="14419" nd="1"/>
        <i x="14420" nd="1"/>
        <i x="14421" nd="1"/>
        <i x="14422" nd="1"/>
        <i x="14423" nd="1"/>
        <i x="14424" nd="1"/>
        <i x="14425" nd="1"/>
        <i x="14426" nd="1"/>
        <i x="14427" nd="1"/>
        <i x="14428" nd="1"/>
        <i x="14429" nd="1"/>
        <i x="14430" nd="1"/>
        <i x="14431" nd="1"/>
        <i x="14432" nd="1"/>
        <i x="14433" nd="1"/>
        <i x="14434" nd="1"/>
        <i x="14435" nd="1"/>
        <i x="14436" nd="1"/>
        <i x="14437" nd="1"/>
        <i x="14438" nd="1"/>
        <i x="14439" nd="1"/>
        <i x="14440" nd="1"/>
        <i x="14441" nd="1"/>
        <i x="14442" nd="1"/>
        <i x="14443" nd="1"/>
        <i x="14444" nd="1"/>
        <i x="14445" nd="1"/>
        <i x="14446" nd="1"/>
        <i x="14447" nd="1"/>
        <i x="14448" nd="1"/>
        <i x="14449" nd="1"/>
        <i x="14450" nd="1"/>
        <i x="14451" nd="1"/>
        <i x="14452" nd="1"/>
        <i x="14453" nd="1"/>
        <i x="14454" nd="1"/>
        <i x="14455" nd="1"/>
        <i x="14456" nd="1"/>
        <i x="14457" nd="1"/>
        <i x="14458" nd="1"/>
        <i x="14459" nd="1"/>
        <i x="14460" nd="1"/>
        <i x="14461" nd="1"/>
        <i x="14462" nd="1"/>
        <i x="14463" nd="1"/>
        <i x="14464" nd="1"/>
        <i x="14465" nd="1"/>
        <i x="14466" nd="1"/>
        <i x="14467" nd="1"/>
        <i x="14468" nd="1"/>
        <i x="14469" nd="1"/>
        <i x="14470" nd="1"/>
        <i x="14471" nd="1"/>
        <i x="14472" nd="1"/>
        <i x="14473" nd="1"/>
        <i x="14474" nd="1"/>
        <i x="14475" nd="1"/>
        <i x="14476" nd="1"/>
        <i x="14477" nd="1"/>
        <i x="14478" nd="1"/>
        <i x="14479" nd="1"/>
        <i x="14480" nd="1"/>
        <i x="14481" nd="1"/>
        <i x="14482" nd="1"/>
        <i x="14483" nd="1"/>
        <i x="14484" nd="1"/>
        <i x="14485" nd="1"/>
        <i x="14486" nd="1"/>
        <i x="14487" nd="1"/>
        <i x="14488" nd="1"/>
        <i x="14489" nd="1"/>
        <i x="14490" nd="1"/>
        <i x="14491" nd="1"/>
        <i x="14492" nd="1"/>
        <i x="14493" nd="1"/>
        <i x="14494" nd="1"/>
        <i x="14495" nd="1"/>
        <i x="14496" nd="1"/>
        <i x="14497" nd="1"/>
        <i x="14498" nd="1"/>
        <i x="14499" nd="1"/>
        <i x="14500" nd="1"/>
        <i x="14501" nd="1"/>
        <i x="14502" nd="1"/>
        <i x="14503" nd="1"/>
        <i x="14504" nd="1"/>
        <i x="14505" nd="1"/>
        <i x="14506" nd="1"/>
        <i x="14507" nd="1"/>
        <i x="14508" nd="1"/>
        <i x="14509" nd="1"/>
        <i x="14510" nd="1"/>
        <i x="14511" nd="1"/>
        <i x="14512" nd="1"/>
        <i x="14513" nd="1"/>
        <i x="14514" nd="1"/>
        <i x="14515" nd="1"/>
        <i x="14516" nd="1"/>
        <i x="14517" nd="1"/>
        <i x="14518" nd="1"/>
        <i x="14519" nd="1"/>
        <i x="14520" nd="1"/>
        <i x="14521" nd="1"/>
        <i x="14522" nd="1"/>
        <i x="14523" nd="1"/>
        <i x="14524" nd="1"/>
        <i x="14525" nd="1"/>
        <i x="14526" nd="1"/>
        <i x="14527" nd="1"/>
        <i x="14528" nd="1"/>
        <i x="14529" nd="1"/>
        <i x="14530" nd="1"/>
        <i x="14531" nd="1"/>
        <i x="14532" nd="1"/>
        <i x="14533" nd="1"/>
        <i x="14534" nd="1"/>
        <i x="14535" nd="1"/>
        <i x="14536" nd="1"/>
        <i x="14537" nd="1"/>
        <i x="14538" nd="1"/>
        <i x="14539" nd="1"/>
        <i x="14540" nd="1"/>
        <i x="14541" nd="1"/>
        <i x="14542" nd="1"/>
        <i x="14543" nd="1"/>
        <i x="14544" nd="1"/>
        <i x="14545" nd="1"/>
        <i x="14546" nd="1"/>
        <i x="14547" nd="1"/>
        <i x="14548" nd="1"/>
        <i x="14549" nd="1"/>
        <i x="14550" nd="1"/>
        <i x="14551" nd="1"/>
        <i x="14552" nd="1"/>
        <i x="14553" nd="1"/>
        <i x="14554" nd="1"/>
        <i x="14555" nd="1"/>
        <i x="14556" nd="1"/>
        <i x="14557" nd="1"/>
        <i x="14558" nd="1"/>
        <i x="14559" nd="1"/>
        <i x="14560" nd="1"/>
        <i x="14561" nd="1"/>
        <i x="14562" nd="1"/>
        <i x="14563" nd="1"/>
        <i x="14564" nd="1"/>
        <i x="14565" nd="1"/>
        <i x="14566" nd="1"/>
        <i x="14567" nd="1"/>
        <i x="14568" nd="1"/>
        <i x="14569" nd="1"/>
        <i x="14570" nd="1"/>
        <i x="14571" nd="1"/>
        <i x="14572" nd="1"/>
        <i x="14573" nd="1"/>
        <i x="14574" nd="1"/>
        <i x="14575" nd="1"/>
        <i x="14576" nd="1"/>
        <i x="14577" nd="1"/>
        <i x="14578" nd="1"/>
        <i x="14579" nd="1"/>
        <i x="14580" nd="1"/>
        <i x="14581" nd="1"/>
        <i x="14582" nd="1"/>
        <i x="14583" nd="1"/>
        <i x="14584" nd="1"/>
        <i x="14585" nd="1"/>
        <i x="14586" nd="1"/>
        <i x="14587" nd="1"/>
        <i x="14588" nd="1"/>
        <i x="14589" nd="1"/>
        <i x="14590" nd="1"/>
        <i x="14591" nd="1"/>
        <i x="14592" nd="1"/>
        <i x="14593" nd="1"/>
        <i x="14594" nd="1"/>
        <i x="14595" nd="1"/>
        <i x="14596" nd="1"/>
        <i x="14597" nd="1"/>
        <i x="14598" nd="1"/>
        <i x="14599" nd="1"/>
        <i x="14600" nd="1"/>
        <i x="14601" nd="1"/>
        <i x="14602" nd="1"/>
        <i x="14603" nd="1"/>
        <i x="14604" nd="1"/>
        <i x="14605" nd="1"/>
        <i x="14606" nd="1"/>
        <i x="14607" nd="1"/>
        <i x="14608" nd="1"/>
        <i x="14609" nd="1"/>
        <i x="14610" nd="1"/>
        <i x="14611" nd="1"/>
        <i x="14612" nd="1"/>
        <i x="14613" nd="1"/>
        <i x="14614" nd="1"/>
        <i x="14615" nd="1"/>
        <i x="14616" nd="1"/>
        <i x="14617" nd="1"/>
        <i x="14618" nd="1"/>
        <i x="14619" nd="1"/>
        <i x="14620" nd="1"/>
        <i x="14621" nd="1"/>
        <i x="14622" nd="1"/>
        <i x="14623" nd="1"/>
        <i x="14624" nd="1"/>
        <i x="14625" nd="1"/>
        <i x="14626" nd="1"/>
        <i x="14627" nd="1"/>
        <i x="14628" nd="1"/>
        <i x="14629" nd="1"/>
        <i x="14630" nd="1"/>
        <i x="14631" nd="1"/>
        <i x="14632" nd="1"/>
        <i x="14633" nd="1"/>
        <i x="14634" nd="1"/>
        <i x="14635" nd="1"/>
        <i x="14636" nd="1"/>
        <i x="14637" nd="1"/>
        <i x="14638" nd="1"/>
        <i x="14639" nd="1"/>
        <i x="14640" nd="1"/>
        <i x="14641" nd="1"/>
        <i x="14642" nd="1"/>
        <i x="14643" nd="1"/>
        <i x="14644" nd="1"/>
        <i x="14645" nd="1"/>
        <i x="14646" nd="1"/>
        <i x="14647" nd="1"/>
        <i x="14648" nd="1"/>
        <i x="14649" nd="1"/>
        <i x="14650" nd="1"/>
        <i x="14651" nd="1"/>
        <i x="14652" nd="1"/>
        <i x="14653" nd="1"/>
        <i x="14654" nd="1"/>
        <i x="14655" nd="1"/>
        <i x="14656" nd="1"/>
        <i x="14657" nd="1"/>
        <i x="14658" nd="1"/>
        <i x="14659" nd="1"/>
        <i x="14660" nd="1"/>
        <i x="14661" nd="1"/>
        <i x="14662" nd="1"/>
        <i x="14663" nd="1"/>
        <i x="14664" nd="1"/>
        <i x="14665" nd="1"/>
        <i x="14666" nd="1"/>
        <i x="14667" nd="1"/>
        <i x="14668" nd="1"/>
        <i x="14669" nd="1"/>
        <i x="14670" nd="1"/>
        <i x="14671" nd="1"/>
        <i x="14672" nd="1"/>
        <i x="14673" nd="1"/>
        <i x="14674" nd="1"/>
        <i x="14675" nd="1"/>
        <i x="14676" nd="1"/>
        <i x="14677" nd="1"/>
        <i x="14678" nd="1"/>
        <i x="14679" nd="1"/>
        <i x="14680" nd="1"/>
        <i x="14681" nd="1"/>
        <i x="14682" nd="1"/>
        <i x="14683" nd="1"/>
        <i x="14684" nd="1"/>
        <i x="14685" nd="1"/>
        <i x="14686" nd="1"/>
        <i x="14687" nd="1"/>
        <i x="14688" nd="1"/>
        <i x="14689" nd="1"/>
        <i x="14690" nd="1"/>
        <i x="14691" nd="1"/>
        <i x="14692" nd="1"/>
        <i x="14693" nd="1"/>
        <i x="14694" nd="1"/>
        <i x="14695" nd="1"/>
        <i x="14696" nd="1"/>
        <i x="14697" nd="1"/>
        <i x="14698" nd="1"/>
        <i x="14699" nd="1"/>
        <i x="14700" nd="1"/>
        <i x="14701" nd="1"/>
        <i x="14702" nd="1"/>
        <i x="14703" nd="1"/>
        <i x="14704" nd="1"/>
        <i x="14705" nd="1"/>
        <i x="14706" nd="1"/>
        <i x="14707" nd="1"/>
        <i x="14708" nd="1"/>
        <i x="14709" nd="1"/>
        <i x="14710" nd="1"/>
        <i x="14711" nd="1"/>
        <i x="14712" nd="1"/>
        <i x="14713" nd="1"/>
        <i x="14714" nd="1"/>
        <i x="14715" nd="1"/>
        <i x="14716" nd="1"/>
        <i x="14717" nd="1"/>
        <i x="14718" nd="1"/>
        <i x="14719" nd="1"/>
        <i x="14720" nd="1"/>
        <i x="14721" nd="1"/>
        <i x="14722" nd="1"/>
        <i x="14723" nd="1"/>
        <i x="14724" nd="1"/>
        <i x="14725" nd="1"/>
        <i x="14726" nd="1"/>
        <i x="14727" nd="1"/>
        <i x="14728" nd="1"/>
        <i x="14729" nd="1"/>
        <i x="14730" nd="1"/>
        <i x="14731" nd="1"/>
        <i x="14732" nd="1"/>
        <i x="14733" nd="1"/>
        <i x="14734" nd="1"/>
        <i x="14735" nd="1"/>
        <i x="14736" nd="1"/>
        <i x="14737" nd="1"/>
        <i x="14738" nd="1"/>
        <i x="14739" nd="1"/>
        <i x="14740" nd="1"/>
        <i x="14741" nd="1"/>
        <i x="14742" nd="1"/>
        <i x="14743" nd="1"/>
        <i x="14744" nd="1"/>
        <i x="14745" nd="1"/>
        <i x="14746" nd="1"/>
        <i x="14747" nd="1"/>
        <i x="14748" nd="1"/>
        <i x="14749" nd="1"/>
        <i x="14750" nd="1"/>
        <i x="14751" nd="1"/>
        <i x="14752" nd="1"/>
        <i x="14753" nd="1"/>
        <i x="14754" nd="1"/>
        <i x="14755" nd="1"/>
        <i x="14756" nd="1"/>
        <i x="14757" nd="1"/>
        <i x="14758" nd="1"/>
        <i x="14759" nd="1"/>
        <i x="14760" nd="1"/>
        <i x="14761" nd="1"/>
        <i x="14762" nd="1"/>
        <i x="14763" nd="1"/>
        <i x="14764" nd="1"/>
        <i x="14765" nd="1"/>
        <i x="14766" nd="1"/>
        <i x="14767" nd="1"/>
        <i x="14768" nd="1"/>
        <i x="14769" nd="1"/>
        <i x="14770" nd="1"/>
        <i x="14771" nd="1"/>
        <i x="14772" nd="1"/>
        <i x="14773" nd="1"/>
        <i x="14774" nd="1"/>
        <i x="14775" nd="1"/>
        <i x="14776" nd="1"/>
        <i x="14777" nd="1"/>
        <i x="14778" nd="1"/>
        <i x="14779" nd="1"/>
        <i x="14780" nd="1"/>
        <i x="14781" nd="1"/>
        <i x="14782" nd="1"/>
        <i x="14783" nd="1"/>
        <i x="14784" nd="1"/>
        <i x="14785" nd="1"/>
        <i x="14786" nd="1"/>
        <i x="14787" nd="1"/>
        <i x="14788" nd="1"/>
        <i x="14789" nd="1"/>
        <i x="14790" nd="1"/>
        <i x="14791" nd="1"/>
        <i x="14792" nd="1"/>
        <i x="14793" nd="1"/>
        <i x="14794" nd="1"/>
        <i x="14795" nd="1"/>
        <i x="14796" nd="1"/>
        <i x="14797" nd="1"/>
        <i x="14798" nd="1"/>
        <i x="14799" nd="1"/>
        <i x="14800" nd="1"/>
        <i x="14801" nd="1"/>
        <i x="14802" nd="1"/>
        <i x="14803" nd="1"/>
        <i x="14804" nd="1"/>
        <i x="14805" nd="1"/>
        <i x="14806" nd="1"/>
        <i x="14807" nd="1"/>
        <i x="14808" nd="1"/>
        <i x="14809" nd="1"/>
        <i x="14810" nd="1"/>
        <i x="14811" nd="1"/>
        <i x="14812" nd="1"/>
        <i x="14813" nd="1"/>
        <i x="14814" nd="1"/>
        <i x="14815" nd="1"/>
        <i x="14816" nd="1"/>
        <i x="14817" nd="1"/>
        <i x="14818" nd="1"/>
        <i x="14819" nd="1"/>
        <i x="14820" nd="1"/>
        <i x="14821" nd="1"/>
        <i x="14822" nd="1"/>
        <i x="14823" nd="1"/>
        <i x="14824" nd="1"/>
        <i x="14825" nd="1"/>
        <i x="14826" nd="1"/>
        <i x="14827" nd="1"/>
        <i x="14828" nd="1"/>
        <i x="14829" nd="1"/>
        <i x="14830" nd="1"/>
        <i x="14831" nd="1"/>
        <i x="14832" nd="1"/>
        <i x="14833" nd="1"/>
        <i x="14834" nd="1"/>
        <i x="14835" nd="1"/>
        <i x="14836" nd="1"/>
        <i x="14837" nd="1"/>
        <i x="14838" nd="1"/>
        <i x="14839" nd="1"/>
        <i x="14840" nd="1"/>
        <i x="14841" nd="1"/>
        <i x="14842" nd="1"/>
        <i x="14843" nd="1"/>
        <i x="14844" nd="1"/>
        <i x="14845" nd="1"/>
        <i x="14846" nd="1"/>
        <i x="14847" nd="1"/>
        <i x="14848" nd="1"/>
        <i x="14849" nd="1"/>
        <i x="14850" nd="1"/>
        <i x="14851" nd="1"/>
        <i x="14852" nd="1"/>
        <i x="14853" nd="1"/>
        <i x="14854" nd="1"/>
        <i x="14855" nd="1"/>
        <i x="14856" nd="1"/>
        <i x="14857" nd="1"/>
        <i x="14858" nd="1"/>
        <i x="14859" nd="1"/>
        <i x="14860" nd="1"/>
        <i x="14861" nd="1"/>
        <i x="14862" nd="1"/>
        <i x="14863" nd="1"/>
        <i x="14864" nd="1"/>
        <i x="14865" nd="1"/>
        <i x="14866" nd="1"/>
        <i x="14867" nd="1"/>
        <i x="14868" nd="1"/>
        <i x="14869" nd="1"/>
        <i x="14870" nd="1"/>
        <i x="14871" nd="1"/>
        <i x="14872" nd="1"/>
        <i x="14873" nd="1"/>
        <i x="14874" nd="1"/>
        <i x="14875" nd="1"/>
        <i x="14876" nd="1"/>
        <i x="14877" nd="1"/>
        <i x="14878" nd="1"/>
        <i x="14879" nd="1"/>
        <i x="14880" nd="1"/>
        <i x="14881" nd="1"/>
        <i x="14882" nd="1"/>
        <i x="14883" nd="1"/>
        <i x="14884" nd="1"/>
        <i x="14885" nd="1"/>
        <i x="14886" nd="1"/>
        <i x="14887" nd="1"/>
        <i x="14888" nd="1"/>
        <i x="14889" nd="1"/>
        <i x="14890" nd="1"/>
        <i x="14891" nd="1"/>
        <i x="14892" nd="1"/>
        <i x="14893" nd="1"/>
        <i x="14894" nd="1"/>
        <i x="14895" nd="1"/>
        <i x="14896" nd="1"/>
        <i x="14897" nd="1"/>
        <i x="14898" nd="1"/>
        <i x="14899" nd="1"/>
        <i x="14900" nd="1"/>
        <i x="14901" nd="1"/>
        <i x="14902" nd="1"/>
        <i x="14903" nd="1"/>
        <i x="14904" nd="1"/>
        <i x="14905" nd="1"/>
        <i x="14906" nd="1"/>
        <i x="14907" nd="1"/>
        <i x="14908" nd="1"/>
        <i x="14909" nd="1"/>
        <i x="14910" nd="1"/>
        <i x="14911" nd="1"/>
        <i x="14912" nd="1"/>
        <i x="14913" nd="1"/>
        <i x="14914" nd="1"/>
        <i x="14915" nd="1"/>
        <i x="14916" nd="1"/>
        <i x="14917" nd="1"/>
        <i x="14918" nd="1"/>
        <i x="14919" nd="1"/>
        <i x="14920" nd="1"/>
        <i x="14921" nd="1"/>
        <i x="14922" nd="1"/>
        <i x="14923" nd="1"/>
        <i x="14924" nd="1"/>
        <i x="14925" nd="1"/>
        <i x="14926" nd="1"/>
        <i x="14927" nd="1"/>
        <i x="14928" nd="1"/>
        <i x="14929" nd="1"/>
        <i x="14930" nd="1"/>
        <i x="14931" nd="1"/>
        <i x="14932" nd="1"/>
        <i x="14933" nd="1"/>
        <i x="14934" nd="1"/>
        <i x="14935" nd="1"/>
        <i x="14936" nd="1"/>
        <i x="14937" nd="1"/>
        <i x="14938" nd="1"/>
        <i x="14939" nd="1"/>
        <i x="14940" nd="1"/>
        <i x="14941" nd="1"/>
        <i x="14942" nd="1"/>
        <i x="14943" nd="1"/>
        <i x="14944" nd="1"/>
        <i x="14945" nd="1"/>
        <i x="14946" nd="1"/>
        <i x="14947" nd="1"/>
        <i x="14948" nd="1"/>
        <i x="14949" nd="1"/>
        <i x="14950" nd="1"/>
        <i x="14951" nd="1"/>
        <i x="14952" nd="1"/>
        <i x="14953" nd="1"/>
        <i x="14954" nd="1"/>
        <i x="14955" nd="1"/>
        <i x="14956" nd="1"/>
        <i x="14957" nd="1"/>
        <i x="14958" nd="1"/>
        <i x="14959" nd="1"/>
        <i x="14960" nd="1"/>
        <i x="14961" nd="1"/>
        <i x="14962" nd="1"/>
        <i x="14963" nd="1"/>
        <i x="14964" nd="1"/>
        <i x="14965" nd="1"/>
        <i x="14966" nd="1"/>
        <i x="14967" nd="1"/>
        <i x="14968" nd="1"/>
        <i x="14969" nd="1"/>
        <i x="14970" nd="1"/>
        <i x="14971" nd="1"/>
        <i x="14972" nd="1"/>
        <i x="14973" nd="1"/>
        <i x="14974" nd="1"/>
        <i x="14975" nd="1"/>
        <i x="14976" nd="1"/>
        <i x="14977" nd="1"/>
        <i x="14978" nd="1"/>
        <i x="14979" nd="1"/>
        <i x="14980" nd="1"/>
        <i x="14981" nd="1"/>
        <i x="14982" nd="1"/>
        <i x="14983" nd="1"/>
        <i x="14984" nd="1"/>
        <i x="14985" nd="1"/>
        <i x="14986" nd="1"/>
        <i x="14987" nd="1"/>
        <i x="14988" nd="1"/>
        <i x="14989" nd="1"/>
        <i x="14990" nd="1"/>
        <i x="14991" nd="1"/>
        <i x="14992" nd="1"/>
        <i x="14993" nd="1"/>
        <i x="14994" nd="1"/>
        <i x="14995" nd="1"/>
        <i x="14996" nd="1"/>
        <i x="14997" nd="1"/>
        <i x="14998" nd="1"/>
        <i x="14999" nd="1"/>
        <i x="15000" nd="1"/>
        <i x="15001" nd="1"/>
        <i x="15002" nd="1"/>
        <i x="15003" nd="1"/>
        <i x="15004" nd="1"/>
        <i x="15005" nd="1"/>
        <i x="15006" nd="1"/>
        <i x="15007" nd="1"/>
        <i x="15008" nd="1"/>
        <i x="15009" nd="1"/>
        <i x="15010" nd="1"/>
        <i x="15011" nd="1"/>
        <i x="15012" nd="1"/>
        <i x="15013" nd="1"/>
        <i x="15014" nd="1"/>
        <i x="15015" nd="1"/>
        <i x="15016" nd="1"/>
        <i x="15017" nd="1"/>
        <i x="15018" nd="1"/>
        <i x="15019" nd="1"/>
        <i x="15020" nd="1"/>
        <i x="15021" nd="1"/>
        <i x="15022" nd="1"/>
        <i x="15023" nd="1"/>
        <i x="15024" nd="1"/>
        <i x="15025" nd="1"/>
        <i x="15026" nd="1"/>
        <i x="15027" nd="1"/>
        <i x="15028" nd="1"/>
        <i x="15029" nd="1"/>
        <i x="15030" nd="1"/>
        <i x="15031" nd="1"/>
        <i x="15032" nd="1"/>
        <i x="15033" nd="1"/>
        <i x="15034" nd="1"/>
        <i x="15035" nd="1"/>
        <i x="15036" nd="1"/>
        <i x="15037" nd="1"/>
        <i x="15038" nd="1"/>
        <i x="15039" nd="1"/>
        <i x="15040" nd="1"/>
        <i x="15041" nd="1"/>
        <i x="15042" nd="1"/>
        <i x="15043" nd="1"/>
        <i x="15044" nd="1"/>
        <i x="15045" nd="1"/>
        <i x="15046" nd="1"/>
        <i x="15047" nd="1"/>
        <i x="15048" nd="1"/>
        <i x="15049" nd="1"/>
        <i x="15050" nd="1"/>
        <i x="15051" nd="1"/>
        <i x="15052" nd="1"/>
        <i x="15053" nd="1"/>
        <i x="15054" nd="1"/>
        <i x="15055" nd="1"/>
        <i x="15056" nd="1"/>
        <i x="15057" nd="1"/>
        <i x="15058" nd="1"/>
        <i x="15059" nd="1"/>
        <i x="15060" nd="1"/>
        <i x="15061" nd="1"/>
        <i x="15062" nd="1"/>
        <i x="15063" nd="1"/>
        <i x="15064" nd="1"/>
        <i x="15065" nd="1"/>
        <i x="15066" nd="1"/>
        <i x="15067" nd="1"/>
        <i x="15068" nd="1"/>
        <i x="15069" nd="1"/>
        <i x="15070" nd="1"/>
        <i x="15071" nd="1"/>
        <i x="15072" nd="1"/>
        <i x="15073" nd="1"/>
        <i x="15074" nd="1"/>
        <i x="15075" nd="1"/>
        <i x="15076" nd="1"/>
        <i x="15077" nd="1"/>
        <i x="15078" nd="1"/>
        <i x="15079" nd="1"/>
        <i x="15080" nd="1"/>
        <i x="15081" nd="1"/>
        <i x="15082" nd="1"/>
        <i x="15083" nd="1"/>
        <i x="15084" nd="1"/>
        <i x="15085" nd="1"/>
        <i x="15086" nd="1"/>
        <i x="15087" nd="1"/>
        <i x="15088" nd="1"/>
        <i x="15089" nd="1"/>
        <i x="15090" nd="1"/>
        <i x="15091" nd="1"/>
        <i x="15092" nd="1"/>
        <i x="15093" nd="1"/>
        <i x="15094" nd="1"/>
        <i x="15095" nd="1"/>
        <i x="15096" nd="1"/>
        <i x="15097" nd="1"/>
        <i x="15098" nd="1"/>
        <i x="15099" nd="1"/>
        <i x="15100" nd="1"/>
        <i x="15101" nd="1"/>
        <i x="15102" nd="1"/>
        <i x="15103" nd="1"/>
        <i x="15104" nd="1"/>
        <i x="15105" nd="1"/>
        <i x="15106" nd="1"/>
        <i x="15107" nd="1"/>
        <i x="15108" nd="1"/>
        <i x="15109" nd="1"/>
        <i x="15110" nd="1"/>
        <i x="15111" nd="1"/>
        <i x="15112" nd="1"/>
        <i x="15113" nd="1"/>
        <i x="15114" nd="1"/>
        <i x="15115" nd="1"/>
        <i x="15116" nd="1"/>
        <i x="15117" nd="1"/>
        <i x="15118" nd="1"/>
        <i x="15119" nd="1"/>
        <i x="15120" nd="1"/>
        <i x="15121" nd="1"/>
        <i x="15122" nd="1"/>
        <i x="15123" nd="1"/>
        <i x="15124" nd="1"/>
        <i x="15125" nd="1"/>
        <i x="15126" nd="1"/>
        <i x="15127" nd="1"/>
        <i x="15128" nd="1"/>
        <i x="15129" nd="1"/>
        <i x="15130" nd="1"/>
        <i x="15131" nd="1"/>
        <i x="15132" nd="1"/>
        <i x="15133" nd="1"/>
        <i x="15134" nd="1"/>
        <i x="15135" nd="1"/>
        <i x="15136" nd="1"/>
        <i x="15137" nd="1"/>
        <i x="15138" nd="1"/>
        <i x="15139" nd="1"/>
        <i x="15140" nd="1"/>
        <i x="15141" nd="1"/>
        <i x="15142" nd="1"/>
        <i x="15143" nd="1"/>
        <i x="15144" nd="1"/>
        <i x="15145" nd="1"/>
        <i x="15146" nd="1"/>
        <i x="15147" nd="1"/>
        <i x="15148" nd="1"/>
        <i x="15149" nd="1"/>
        <i x="15150" nd="1"/>
        <i x="15151" nd="1"/>
        <i x="15152" nd="1"/>
        <i x="15153" nd="1"/>
        <i x="15154" nd="1"/>
        <i x="15155" nd="1"/>
        <i x="15156" nd="1"/>
        <i x="15157" nd="1"/>
        <i x="15158" nd="1"/>
        <i x="15159" nd="1"/>
        <i x="15160" nd="1"/>
        <i x="15161" nd="1"/>
        <i x="15162" nd="1"/>
        <i x="15163" nd="1"/>
        <i x="15164" nd="1"/>
        <i x="15165" nd="1"/>
        <i x="15166" nd="1"/>
        <i x="15167" nd="1"/>
        <i x="15168" nd="1"/>
        <i x="15169" nd="1"/>
        <i x="15170" nd="1"/>
        <i x="15171" nd="1"/>
        <i x="15172" nd="1"/>
        <i x="15173" nd="1"/>
        <i x="15174" nd="1"/>
        <i x="15175" nd="1"/>
        <i x="15176" nd="1"/>
        <i x="15177" nd="1"/>
        <i x="15178" nd="1"/>
        <i x="15179" nd="1"/>
        <i x="15180" nd="1"/>
        <i x="15181" nd="1"/>
        <i x="15182" nd="1"/>
        <i x="15183" nd="1"/>
        <i x="15184" nd="1"/>
        <i x="15185" nd="1"/>
        <i x="15186" nd="1"/>
        <i x="15187" nd="1"/>
        <i x="15188" nd="1"/>
        <i x="15189" nd="1"/>
        <i x="15190" nd="1"/>
        <i x="15191" nd="1"/>
        <i x="15192" nd="1"/>
        <i x="15193" nd="1"/>
        <i x="15194" nd="1"/>
        <i x="15195" nd="1"/>
        <i x="15196" nd="1"/>
        <i x="15197" nd="1"/>
        <i x="15198" nd="1"/>
        <i x="15199" nd="1"/>
        <i x="15200" nd="1"/>
        <i x="15201" nd="1"/>
        <i x="15202" nd="1"/>
        <i x="15203" nd="1"/>
        <i x="15204" nd="1"/>
        <i x="15205" nd="1"/>
        <i x="15206" nd="1"/>
        <i x="15207" nd="1"/>
        <i x="15208" nd="1"/>
        <i x="15209" nd="1"/>
        <i x="15210" nd="1"/>
        <i x="15211" nd="1"/>
        <i x="15212" nd="1"/>
        <i x="15213" nd="1"/>
        <i x="15214" nd="1"/>
        <i x="15215" nd="1"/>
        <i x="15216" nd="1"/>
        <i x="15217" nd="1"/>
        <i x="15218" nd="1"/>
        <i x="15219" nd="1"/>
        <i x="15220" nd="1"/>
        <i x="15221" nd="1"/>
        <i x="15222" nd="1"/>
        <i x="15223" nd="1"/>
        <i x="15224" nd="1"/>
        <i x="15225" nd="1"/>
        <i x="15226" nd="1"/>
        <i x="15227" nd="1"/>
        <i x="15228" nd="1"/>
        <i x="15229" nd="1"/>
        <i x="15230" nd="1"/>
        <i x="15231" nd="1"/>
        <i x="15232" nd="1"/>
        <i x="15233" nd="1"/>
        <i x="15234" nd="1"/>
        <i x="15235" nd="1"/>
        <i x="15236" nd="1"/>
        <i x="15237" nd="1"/>
        <i x="15238" nd="1"/>
        <i x="15239" nd="1"/>
        <i x="15240" nd="1"/>
        <i x="15241" nd="1"/>
        <i x="15242" nd="1"/>
        <i x="15243" nd="1"/>
        <i x="15244" nd="1"/>
        <i x="15245" nd="1"/>
        <i x="15246" nd="1"/>
        <i x="15247" nd="1"/>
        <i x="15248" nd="1"/>
        <i x="15249" nd="1"/>
        <i x="15250" nd="1"/>
        <i x="15251" nd="1"/>
        <i x="15252" nd="1"/>
        <i x="15253" nd="1"/>
        <i x="15254" nd="1"/>
        <i x="15255" nd="1"/>
        <i x="15256" nd="1"/>
        <i x="15257" nd="1"/>
        <i x="15258" nd="1"/>
        <i x="15259" nd="1"/>
        <i x="15260" nd="1"/>
        <i x="15261" nd="1"/>
        <i x="15262" nd="1"/>
        <i x="15263" nd="1"/>
        <i x="15264" nd="1"/>
        <i x="15265" nd="1"/>
        <i x="15266" nd="1"/>
        <i x="15267" nd="1"/>
        <i x="15268" nd="1"/>
        <i x="15269" nd="1"/>
        <i x="15270" nd="1"/>
        <i x="15271" nd="1"/>
        <i x="15272" nd="1"/>
        <i x="15273" nd="1"/>
        <i x="15274" nd="1"/>
        <i x="15275" nd="1"/>
        <i x="15276" nd="1"/>
        <i x="15277" nd="1"/>
        <i x="15278" nd="1"/>
        <i x="15279" nd="1"/>
        <i x="15280" nd="1"/>
        <i x="15281" nd="1"/>
        <i x="15282" nd="1"/>
        <i x="15283" nd="1"/>
        <i x="15284" nd="1"/>
        <i x="15285" nd="1"/>
        <i x="15286" nd="1"/>
        <i x="15287" nd="1"/>
        <i x="15288" nd="1"/>
        <i x="15289" nd="1"/>
        <i x="15290" nd="1"/>
        <i x="15291" nd="1"/>
        <i x="15292" nd="1"/>
        <i x="15293" nd="1"/>
        <i x="15294" nd="1"/>
        <i x="15295" nd="1"/>
        <i x="15296" nd="1"/>
        <i x="15297" nd="1"/>
        <i x="15298" nd="1"/>
        <i x="15299" nd="1"/>
        <i x="15300" nd="1"/>
        <i x="15301" nd="1"/>
        <i x="15302" nd="1"/>
        <i x="15303" nd="1"/>
        <i x="15304" nd="1"/>
        <i x="15305" nd="1"/>
        <i x="15306" nd="1"/>
        <i x="15307" nd="1"/>
        <i x="15308" nd="1"/>
        <i x="15309" nd="1"/>
        <i x="15310" nd="1"/>
        <i x="15311" nd="1"/>
        <i x="15312" nd="1"/>
        <i x="15313" nd="1"/>
        <i x="15314" nd="1"/>
        <i x="15315" nd="1"/>
        <i x="15316" nd="1"/>
        <i x="15317" nd="1"/>
        <i x="15318" nd="1"/>
        <i x="15319" nd="1"/>
        <i x="15320" nd="1"/>
        <i x="15321" nd="1"/>
        <i x="15322" nd="1"/>
        <i x="15323" nd="1"/>
        <i x="15324" nd="1"/>
        <i x="15325" nd="1"/>
        <i x="15326" nd="1"/>
        <i x="15327" nd="1"/>
        <i x="15328" nd="1"/>
        <i x="15329" nd="1"/>
        <i x="15330" nd="1"/>
        <i x="15331" nd="1"/>
        <i x="15332" nd="1"/>
        <i x="15333" nd="1"/>
        <i x="15334" nd="1"/>
        <i x="15335" nd="1"/>
        <i x="15336" nd="1"/>
        <i x="15337" nd="1"/>
        <i x="15338" nd="1"/>
        <i x="15339" nd="1"/>
        <i x="15340" nd="1"/>
        <i x="15341" nd="1"/>
        <i x="15342" nd="1"/>
        <i x="15343" nd="1"/>
        <i x="15344" nd="1"/>
        <i x="15345" nd="1"/>
        <i x="15346" nd="1"/>
        <i x="15347" nd="1"/>
        <i x="15348" nd="1"/>
        <i x="15349" nd="1"/>
        <i x="15350" nd="1"/>
        <i x="15351" nd="1"/>
        <i x="15352" nd="1"/>
        <i x="15353" nd="1"/>
        <i x="15354" nd="1"/>
        <i x="15355" nd="1"/>
        <i x="15356" nd="1"/>
        <i x="15357" nd="1"/>
        <i x="15358" nd="1"/>
        <i x="15359" nd="1"/>
        <i x="15360" nd="1"/>
        <i x="15361" nd="1"/>
        <i x="15362" nd="1"/>
        <i x="15363" nd="1"/>
        <i x="15364" nd="1"/>
        <i x="15365" nd="1"/>
        <i x="15366" nd="1"/>
        <i x="15367" nd="1"/>
        <i x="15368" nd="1"/>
        <i x="15369" nd="1"/>
        <i x="15370" nd="1"/>
        <i x="15371" nd="1"/>
        <i x="15372" nd="1"/>
        <i x="15373" nd="1"/>
        <i x="15374" nd="1"/>
        <i x="15375" nd="1"/>
        <i x="15376" nd="1"/>
        <i x="15377" nd="1"/>
        <i x="15378" nd="1"/>
        <i x="15379" nd="1"/>
        <i x="15380" nd="1"/>
        <i x="15381" nd="1"/>
        <i x="15382" nd="1"/>
        <i x="15383" nd="1"/>
        <i x="15384" nd="1"/>
        <i x="15385" nd="1"/>
        <i x="15386" nd="1"/>
        <i x="15387" nd="1"/>
        <i x="15388" nd="1"/>
        <i x="15389" nd="1"/>
        <i x="15390" nd="1"/>
        <i x="15391" nd="1"/>
        <i x="15392" nd="1"/>
        <i x="15393" nd="1"/>
        <i x="15394" nd="1"/>
        <i x="15395" nd="1"/>
        <i x="15396" nd="1"/>
        <i x="15397" nd="1"/>
        <i x="15398" nd="1"/>
        <i x="15399" nd="1"/>
        <i x="15400" nd="1"/>
        <i x="15401" nd="1"/>
        <i x="15402" nd="1"/>
        <i x="15403" nd="1"/>
        <i x="15404" nd="1"/>
        <i x="15405" nd="1"/>
        <i x="15406" nd="1"/>
        <i x="15407" nd="1"/>
        <i x="15408" nd="1"/>
        <i x="15409" nd="1"/>
        <i x="15410" nd="1"/>
        <i x="15411" nd="1"/>
        <i x="15412" nd="1"/>
        <i x="15413" nd="1"/>
        <i x="15414" nd="1"/>
        <i x="15415" nd="1"/>
        <i x="15416" nd="1"/>
        <i x="15417" nd="1"/>
        <i x="15418" nd="1"/>
        <i x="15419" nd="1"/>
        <i x="15420" nd="1"/>
        <i x="15421" nd="1"/>
        <i x="15422" nd="1"/>
        <i x="15423" nd="1"/>
        <i x="15424" nd="1"/>
        <i x="15425" nd="1"/>
        <i x="15426" nd="1"/>
        <i x="15427" nd="1"/>
        <i x="15428" nd="1"/>
        <i x="15429" nd="1"/>
        <i x="15430" nd="1"/>
        <i x="15431" nd="1"/>
        <i x="15432" nd="1"/>
        <i x="15433" nd="1"/>
        <i x="15434" nd="1"/>
        <i x="15435" nd="1"/>
        <i x="15436" nd="1"/>
        <i x="15437" nd="1"/>
        <i x="15438" nd="1"/>
        <i x="15439" nd="1"/>
        <i x="15440" nd="1"/>
        <i x="15441" nd="1"/>
        <i x="15442" nd="1"/>
        <i x="15443" nd="1"/>
        <i x="15444" nd="1"/>
        <i x="15445" nd="1"/>
        <i x="15446" nd="1"/>
        <i x="15447" nd="1"/>
        <i x="15448" nd="1"/>
        <i x="15449" nd="1"/>
        <i x="15450" nd="1"/>
        <i x="15451" nd="1"/>
        <i x="15452" nd="1"/>
        <i x="15453" nd="1"/>
        <i x="15454" nd="1"/>
        <i x="15455" nd="1"/>
        <i x="15456" nd="1"/>
        <i x="15457" nd="1"/>
        <i x="15458" nd="1"/>
        <i x="15459" nd="1"/>
        <i x="15460" nd="1"/>
        <i x="15461" nd="1"/>
        <i x="15462" nd="1"/>
        <i x="15463" nd="1"/>
        <i x="15464" nd="1"/>
        <i x="15465" nd="1"/>
        <i x="15466" nd="1"/>
        <i x="15467" nd="1"/>
        <i x="15468" nd="1"/>
        <i x="15469" nd="1"/>
        <i x="15470" nd="1"/>
        <i x="15471" nd="1"/>
        <i x="15472" nd="1"/>
        <i x="15473" nd="1"/>
        <i x="15474" nd="1"/>
        <i x="15475" nd="1"/>
        <i x="15476" nd="1"/>
        <i x="15477" nd="1"/>
        <i x="15478" nd="1"/>
        <i x="15479" nd="1"/>
        <i x="15480" nd="1"/>
        <i x="15481" nd="1"/>
        <i x="15482" nd="1"/>
        <i x="15483" nd="1"/>
        <i x="15484" nd="1"/>
        <i x="15485" nd="1"/>
        <i x="15486" nd="1"/>
        <i x="15487" nd="1"/>
        <i x="15488" nd="1"/>
        <i x="15489" nd="1"/>
        <i x="15490" nd="1"/>
        <i x="15491" nd="1"/>
        <i x="15492" nd="1"/>
        <i x="15493" nd="1"/>
        <i x="15494" nd="1"/>
        <i x="15495" nd="1"/>
        <i x="15496" nd="1"/>
        <i x="15497" nd="1"/>
        <i x="15498" nd="1"/>
        <i x="15499" nd="1"/>
        <i x="15500" nd="1"/>
        <i x="15501" nd="1"/>
        <i x="15502" nd="1"/>
        <i x="15503" nd="1"/>
        <i x="15504" nd="1"/>
        <i x="15505" nd="1"/>
        <i x="15506" nd="1"/>
        <i x="15507" nd="1"/>
        <i x="15508" nd="1"/>
        <i x="15509" nd="1"/>
        <i x="15510" nd="1"/>
        <i x="15511" nd="1"/>
        <i x="15512" nd="1"/>
        <i x="15513" nd="1"/>
        <i x="15514" nd="1"/>
        <i x="15515" nd="1"/>
        <i x="15516" nd="1"/>
        <i x="15517" nd="1"/>
        <i x="15518" nd="1"/>
        <i x="15519" nd="1"/>
        <i x="15520" nd="1"/>
        <i x="15521" nd="1"/>
        <i x="15522" nd="1"/>
        <i x="15523" nd="1"/>
        <i x="15524" nd="1"/>
        <i x="15525" nd="1"/>
        <i x="15526" nd="1"/>
        <i x="15527" nd="1"/>
        <i x="15528" nd="1"/>
        <i x="15529" nd="1"/>
        <i x="15530" nd="1"/>
        <i x="15531" nd="1"/>
        <i x="15532" nd="1"/>
        <i x="15533" nd="1"/>
        <i x="15534" nd="1"/>
        <i x="15535" nd="1"/>
        <i x="15536" nd="1"/>
        <i x="15537" nd="1"/>
        <i x="15538" nd="1"/>
        <i x="15539" nd="1"/>
        <i x="15540" nd="1"/>
        <i x="15541" nd="1"/>
        <i x="15542" nd="1"/>
        <i x="15543" nd="1"/>
        <i x="15544" nd="1"/>
        <i x="15545" nd="1"/>
        <i x="15546" nd="1"/>
        <i x="15547" nd="1"/>
        <i x="15548" nd="1"/>
        <i x="15549" nd="1"/>
        <i x="15550" nd="1"/>
        <i x="15551" nd="1"/>
        <i x="15552" nd="1"/>
        <i x="15553" nd="1"/>
        <i x="15554" nd="1"/>
        <i x="15555" nd="1"/>
        <i x="15556" nd="1"/>
        <i x="15557" nd="1"/>
        <i x="15558" nd="1"/>
        <i x="15559" nd="1"/>
        <i x="15560" nd="1"/>
        <i x="15561" nd="1"/>
        <i x="15562" nd="1"/>
        <i x="15563" nd="1"/>
        <i x="15564" nd="1"/>
        <i x="15565" nd="1"/>
        <i x="15566" nd="1"/>
        <i x="15567" nd="1"/>
        <i x="15568" nd="1"/>
        <i x="15569" nd="1"/>
        <i x="15570" nd="1"/>
        <i x="15571" nd="1"/>
        <i x="15572" nd="1"/>
        <i x="15573" nd="1"/>
        <i x="15574" nd="1"/>
        <i x="15575" nd="1"/>
        <i x="15576" nd="1"/>
        <i x="15577" nd="1"/>
        <i x="15578" nd="1"/>
        <i x="15579" nd="1"/>
        <i x="15580" nd="1"/>
        <i x="15581" nd="1"/>
        <i x="15582" nd="1"/>
        <i x="15583" nd="1"/>
        <i x="15584" nd="1"/>
        <i x="15585" nd="1"/>
        <i x="15586" nd="1"/>
        <i x="15587" nd="1"/>
        <i x="15588" nd="1"/>
        <i x="15589" nd="1"/>
        <i x="15590" nd="1"/>
        <i x="15591" nd="1"/>
        <i x="15592" nd="1"/>
        <i x="15593" nd="1"/>
        <i x="15594" nd="1"/>
        <i x="15595" nd="1"/>
        <i x="15596" nd="1"/>
        <i x="15597" nd="1"/>
        <i x="15598" nd="1"/>
        <i x="15599" nd="1"/>
        <i x="15600" nd="1"/>
        <i x="15601" nd="1"/>
        <i x="15602" nd="1"/>
        <i x="15603" nd="1"/>
        <i x="15604" nd="1"/>
        <i x="15605" nd="1"/>
        <i x="15606" nd="1"/>
        <i x="15607" nd="1"/>
        <i x="15608" nd="1"/>
        <i x="15609" nd="1"/>
        <i x="15610" nd="1"/>
        <i x="15611" nd="1"/>
        <i x="15612" nd="1"/>
        <i x="15613" nd="1"/>
        <i x="15614" nd="1"/>
        <i x="15615" nd="1"/>
        <i x="15616" nd="1"/>
        <i x="15617" nd="1"/>
        <i x="15618" nd="1"/>
        <i x="15619" nd="1"/>
        <i x="15620" nd="1"/>
        <i x="15621" nd="1"/>
        <i x="15622" nd="1"/>
        <i x="15623" nd="1"/>
        <i x="15624" nd="1"/>
        <i x="15625" nd="1"/>
        <i x="15626" nd="1"/>
        <i x="15627" nd="1"/>
        <i x="15628" nd="1"/>
        <i x="15629" nd="1"/>
        <i x="15630" nd="1"/>
        <i x="15631" nd="1"/>
        <i x="15632" nd="1"/>
        <i x="15633" nd="1"/>
        <i x="15634" nd="1"/>
        <i x="15635" nd="1"/>
        <i x="15636" nd="1"/>
        <i x="15637" nd="1"/>
        <i x="15638" nd="1"/>
        <i x="15639" nd="1"/>
        <i x="15640" nd="1"/>
        <i x="15641" nd="1"/>
        <i x="15642" nd="1"/>
        <i x="15643" nd="1"/>
        <i x="15644" nd="1"/>
        <i x="15645" nd="1"/>
        <i x="15646" nd="1"/>
        <i x="15647" nd="1"/>
        <i x="15648" nd="1"/>
        <i x="15649" nd="1"/>
        <i x="15650" nd="1"/>
        <i x="15651" nd="1"/>
        <i x="15652" nd="1"/>
        <i x="15653" nd="1"/>
        <i x="15654" nd="1"/>
        <i x="15655" nd="1"/>
        <i x="15656" nd="1"/>
        <i x="15657" nd="1"/>
        <i x="15658" nd="1"/>
        <i x="15659" nd="1"/>
        <i x="15660" nd="1"/>
        <i x="15661" nd="1"/>
        <i x="15662" nd="1"/>
        <i x="15663" nd="1"/>
        <i x="15664" nd="1"/>
        <i x="15665" nd="1"/>
        <i x="15666" nd="1"/>
        <i x="15667" nd="1"/>
        <i x="15668" nd="1"/>
        <i x="15669" nd="1"/>
        <i x="15670" nd="1"/>
        <i x="15671" nd="1"/>
        <i x="15672" nd="1"/>
        <i x="15673" nd="1"/>
        <i x="15674" nd="1"/>
        <i x="15675" nd="1"/>
        <i x="15676" nd="1"/>
        <i x="15677" nd="1"/>
        <i x="15678" nd="1"/>
        <i x="15679" nd="1"/>
        <i x="15680" nd="1"/>
        <i x="15681" nd="1"/>
        <i x="15682" nd="1"/>
        <i x="15683" nd="1"/>
        <i x="15684" nd="1"/>
        <i x="15685" nd="1"/>
        <i x="15686" nd="1"/>
        <i x="15687" nd="1"/>
        <i x="15688" nd="1"/>
        <i x="15689" nd="1"/>
        <i x="15690" nd="1"/>
        <i x="15691" nd="1"/>
        <i x="15692" nd="1"/>
        <i x="15693" nd="1"/>
        <i x="15694" nd="1"/>
        <i x="15695" nd="1"/>
        <i x="15696" nd="1"/>
        <i x="15697" nd="1"/>
        <i x="15698" nd="1"/>
        <i x="15699" nd="1"/>
        <i x="15700" nd="1"/>
        <i x="15701" nd="1"/>
        <i x="15702" nd="1"/>
        <i x="15703" nd="1"/>
        <i x="15704" nd="1"/>
        <i x="15705" nd="1"/>
        <i x="15706" nd="1"/>
        <i x="15707" nd="1"/>
        <i x="15708" nd="1"/>
        <i x="15709" nd="1"/>
        <i x="15710" nd="1"/>
        <i x="15711" nd="1"/>
        <i x="15712" nd="1"/>
        <i x="15713" nd="1"/>
        <i x="15714" nd="1"/>
        <i x="15715" nd="1"/>
        <i x="15716" nd="1"/>
        <i x="15717" nd="1"/>
        <i x="15718" nd="1"/>
        <i x="15719" nd="1"/>
        <i x="15720" nd="1"/>
        <i x="15721" nd="1"/>
        <i x="15722" nd="1"/>
        <i x="15723" nd="1"/>
        <i x="15724" nd="1"/>
        <i x="15725" nd="1"/>
        <i x="15726" nd="1"/>
        <i x="15727" nd="1"/>
        <i x="15728" nd="1"/>
        <i x="15729" nd="1"/>
        <i x="15730" nd="1"/>
        <i x="15731" nd="1"/>
        <i x="15732" nd="1"/>
        <i x="15733" nd="1"/>
        <i x="15734" nd="1"/>
        <i x="15735" nd="1"/>
        <i x="15736" nd="1"/>
        <i x="15737" nd="1"/>
        <i x="15738" nd="1"/>
        <i x="15739" nd="1"/>
        <i x="15740" nd="1"/>
        <i x="15741" nd="1"/>
        <i x="15742" nd="1"/>
        <i x="15743" nd="1"/>
        <i x="15744" nd="1"/>
        <i x="15745" nd="1"/>
        <i x="15746" nd="1"/>
        <i x="15747" nd="1"/>
        <i x="15748" nd="1"/>
        <i x="15749" nd="1"/>
        <i x="15750" nd="1"/>
        <i x="15751" nd="1"/>
        <i x="15752" nd="1"/>
        <i x="15753" nd="1"/>
        <i x="15754" nd="1"/>
        <i x="15755" nd="1"/>
        <i x="15756" nd="1"/>
        <i x="15757" nd="1"/>
        <i x="15758" nd="1"/>
        <i x="15759" nd="1"/>
        <i x="15760" nd="1"/>
        <i x="15761" nd="1"/>
        <i x="15762" nd="1"/>
        <i x="15763" nd="1"/>
        <i x="15764" nd="1"/>
        <i x="15765" nd="1"/>
        <i x="15766" nd="1"/>
        <i x="15767" nd="1"/>
        <i x="15768" nd="1"/>
        <i x="15769" nd="1"/>
        <i x="15770" nd="1"/>
        <i x="15771" nd="1"/>
        <i x="15772" nd="1"/>
        <i x="15773" nd="1"/>
        <i x="15774" nd="1"/>
        <i x="15775" nd="1"/>
        <i x="15776" nd="1"/>
        <i x="15777" nd="1"/>
        <i x="15778" nd="1"/>
        <i x="15779" nd="1"/>
        <i x="15780" nd="1"/>
        <i x="15781" nd="1"/>
        <i x="15782" nd="1"/>
        <i x="15783" nd="1"/>
        <i x="15784" nd="1"/>
        <i x="15785" nd="1"/>
        <i x="15786" nd="1"/>
        <i x="15787" nd="1"/>
        <i x="15788" nd="1"/>
        <i x="15789" nd="1"/>
        <i x="15790" nd="1"/>
        <i x="15791" nd="1"/>
        <i x="15792" nd="1"/>
        <i x="15793" nd="1"/>
        <i x="15794" nd="1"/>
        <i x="15795" nd="1"/>
        <i x="15796" nd="1"/>
        <i x="15797" nd="1"/>
        <i x="15798" nd="1"/>
        <i x="15799" nd="1"/>
        <i x="15800" nd="1"/>
        <i x="15801" nd="1"/>
        <i x="15802" nd="1"/>
        <i x="15803" nd="1"/>
        <i x="15804" nd="1"/>
        <i x="15805" nd="1"/>
        <i x="15806" nd="1"/>
        <i x="15807" nd="1"/>
        <i x="15808" nd="1"/>
        <i x="15809" nd="1"/>
        <i x="15810" nd="1"/>
        <i x="15811" nd="1"/>
        <i x="15812" nd="1"/>
        <i x="15813" nd="1"/>
        <i x="15814" nd="1"/>
        <i x="15815" nd="1"/>
        <i x="15816" nd="1"/>
        <i x="15817" nd="1"/>
        <i x="15818" nd="1"/>
        <i x="15819" nd="1"/>
        <i x="15820" nd="1"/>
        <i x="15821" nd="1"/>
        <i x="15822" nd="1"/>
        <i x="15823" nd="1"/>
        <i x="15824" nd="1"/>
        <i x="15825" nd="1"/>
        <i x="15826" nd="1"/>
        <i x="15827" nd="1"/>
        <i x="15828" nd="1"/>
        <i x="15829" nd="1"/>
        <i x="15830" nd="1"/>
        <i x="15831" nd="1"/>
        <i x="15832" nd="1"/>
        <i x="15833" nd="1"/>
        <i x="15834" nd="1"/>
        <i x="15835" nd="1"/>
        <i x="15836" nd="1"/>
        <i x="15837" nd="1"/>
        <i x="15838" nd="1"/>
        <i x="15839" nd="1"/>
        <i x="15840" nd="1"/>
        <i x="15841" nd="1"/>
        <i x="15842" nd="1"/>
        <i x="15843" nd="1"/>
        <i x="15844" nd="1"/>
        <i x="15845" nd="1"/>
        <i x="15846" nd="1"/>
        <i x="15847" nd="1"/>
        <i x="15848" nd="1"/>
        <i x="15849" nd="1"/>
        <i x="15850" nd="1"/>
        <i x="15851" nd="1"/>
        <i x="15852" nd="1"/>
        <i x="15853" nd="1"/>
        <i x="15854" nd="1"/>
        <i x="15855" nd="1"/>
        <i x="15856" nd="1"/>
        <i x="15857" nd="1"/>
        <i x="15858" nd="1"/>
        <i x="15859" nd="1"/>
        <i x="15860" nd="1"/>
        <i x="15861" nd="1"/>
        <i x="15862" nd="1"/>
        <i x="15863" nd="1"/>
        <i x="15864" nd="1"/>
        <i x="15865" nd="1"/>
        <i x="15866" nd="1"/>
        <i x="15867" nd="1"/>
        <i x="15868" nd="1"/>
        <i x="15869" nd="1"/>
        <i x="15870" nd="1"/>
        <i x="15871" nd="1"/>
        <i x="15872" nd="1"/>
        <i x="15873" nd="1"/>
        <i x="15874" nd="1"/>
        <i x="15875" nd="1"/>
        <i x="15876" nd="1"/>
        <i x="15877" nd="1"/>
        <i x="15878" nd="1"/>
        <i x="15879" nd="1"/>
        <i x="15880" nd="1"/>
        <i x="15881" nd="1"/>
        <i x="15882" nd="1"/>
        <i x="15883" nd="1"/>
        <i x="15884" nd="1"/>
        <i x="15885" nd="1"/>
        <i x="15886" nd="1"/>
        <i x="15887" nd="1"/>
        <i x="15888" nd="1"/>
        <i x="15889" nd="1"/>
        <i x="15890" nd="1"/>
        <i x="15891" nd="1"/>
        <i x="15892" nd="1"/>
        <i x="15893" nd="1"/>
        <i x="15894" nd="1"/>
        <i x="15895" nd="1"/>
        <i x="15896" nd="1"/>
        <i x="15897" nd="1"/>
        <i x="15898" nd="1"/>
        <i x="15899" nd="1"/>
        <i x="15900" nd="1"/>
        <i x="15901" nd="1"/>
        <i x="15902" nd="1"/>
        <i x="15903" nd="1"/>
        <i x="15904" nd="1"/>
        <i x="15905" nd="1"/>
        <i x="15906" nd="1"/>
        <i x="15907" nd="1"/>
        <i x="15908" nd="1"/>
        <i x="15909" nd="1"/>
        <i x="15910" nd="1"/>
        <i x="15911" nd="1"/>
        <i x="15912" nd="1"/>
        <i x="15913" nd="1"/>
        <i x="15914" nd="1"/>
        <i x="15915" nd="1"/>
        <i x="15916" nd="1"/>
        <i x="15917" nd="1"/>
        <i x="15918" nd="1"/>
        <i x="15919" nd="1"/>
        <i x="15920" nd="1"/>
        <i x="15921" nd="1"/>
        <i x="15922" nd="1"/>
        <i x="15923" nd="1"/>
        <i x="15924" nd="1"/>
        <i x="15925" nd="1"/>
        <i x="15926" nd="1"/>
        <i x="15927" nd="1"/>
        <i x="15928" nd="1"/>
        <i x="15929" nd="1"/>
        <i x="15930" nd="1"/>
        <i x="15931" nd="1"/>
        <i x="15932" nd="1"/>
        <i x="15933" nd="1"/>
        <i x="15934" nd="1"/>
        <i x="15935" nd="1"/>
        <i x="15936" nd="1"/>
        <i x="15937" nd="1"/>
        <i x="15938" nd="1"/>
        <i x="15939" nd="1"/>
        <i x="15940" nd="1"/>
        <i x="15941" nd="1"/>
        <i x="15942" nd="1"/>
        <i x="15943" nd="1"/>
        <i x="15944" nd="1"/>
        <i x="15945" nd="1"/>
        <i x="15946" nd="1"/>
        <i x="15947" nd="1"/>
        <i x="15948" nd="1"/>
        <i x="15949" nd="1"/>
        <i x="15950" nd="1"/>
        <i x="15951" nd="1"/>
        <i x="15952" nd="1"/>
        <i x="15953" nd="1"/>
        <i x="15954" nd="1"/>
        <i x="15955" nd="1"/>
        <i x="15956" nd="1"/>
        <i x="15957" nd="1"/>
        <i x="15958" nd="1"/>
        <i x="15959" nd="1"/>
        <i x="15960" nd="1"/>
        <i x="15961" nd="1"/>
        <i x="15962" nd="1"/>
        <i x="15963" nd="1"/>
        <i x="15964" nd="1"/>
        <i x="15965" nd="1"/>
        <i x="15966" nd="1"/>
        <i x="15967" nd="1"/>
        <i x="15968" nd="1"/>
        <i x="15969" nd="1"/>
        <i x="15970" nd="1"/>
        <i x="15971" nd="1"/>
        <i x="15972" nd="1"/>
        <i x="15973" nd="1"/>
        <i x="15974" nd="1"/>
        <i x="15975" nd="1"/>
        <i x="15976" nd="1"/>
        <i x="15977" nd="1"/>
        <i x="15978" nd="1"/>
        <i x="15979" nd="1"/>
        <i x="15980" nd="1"/>
        <i x="15981" nd="1"/>
        <i x="15982" nd="1"/>
        <i x="15983" nd="1"/>
        <i x="15984" nd="1"/>
        <i x="15985" nd="1"/>
        <i x="15986" nd="1"/>
        <i x="15987" nd="1"/>
        <i x="15988" nd="1"/>
        <i x="15989" nd="1"/>
        <i x="15990" nd="1"/>
        <i x="15991" nd="1"/>
        <i x="15992" nd="1"/>
        <i x="15993" nd="1"/>
        <i x="15994" nd="1"/>
        <i x="15995" nd="1"/>
        <i x="15996" nd="1"/>
        <i x="15997" nd="1"/>
        <i x="15998" nd="1"/>
        <i x="15999" nd="1"/>
        <i x="16000" nd="1"/>
        <i x="16001" nd="1"/>
        <i x="16002" nd="1"/>
        <i x="16003" nd="1"/>
        <i x="16004" nd="1"/>
        <i x="16005" nd="1"/>
        <i x="16006" nd="1"/>
        <i x="16007" nd="1"/>
        <i x="16008" nd="1"/>
        <i x="16009" nd="1"/>
        <i x="16010" nd="1"/>
        <i x="16011" nd="1"/>
        <i x="16012" nd="1"/>
        <i x="16013" nd="1"/>
        <i x="16014" nd="1"/>
        <i x="16015" nd="1"/>
        <i x="16016" nd="1"/>
        <i x="16017" nd="1"/>
        <i x="16018" nd="1"/>
        <i x="16019" nd="1"/>
        <i x="16020" nd="1"/>
        <i x="16021" nd="1"/>
        <i x="16022" nd="1"/>
        <i x="16023" nd="1"/>
        <i x="16024" nd="1"/>
        <i x="16025" nd="1"/>
        <i x="16026" nd="1"/>
        <i x="16027" nd="1"/>
        <i x="16028" nd="1"/>
        <i x="16029" nd="1"/>
        <i x="16030" nd="1"/>
        <i x="16031" nd="1"/>
        <i x="16032" nd="1"/>
        <i x="16033" nd="1"/>
        <i x="16034" nd="1"/>
        <i x="16035" nd="1"/>
        <i x="16036" nd="1"/>
        <i x="16037" nd="1"/>
        <i x="16038" nd="1"/>
        <i x="16039" nd="1"/>
        <i x="16040" nd="1"/>
        <i x="16041" nd="1"/>
        <i x="16042" nd="1"/>
        <i x="16043" nd="1"/>
        <i x="16044" nd="1"/>
        <i x="16045" nd="1"/>
        <i x="16046" nd="1"/>
        <i x="16047" nd="1"/>
        <i x="16048" nd="1"/>
        <i x="16049" nd="1"/>
        <i x="16050" nd="1"/>
        <i x="16051" nd="1"/>
        <i x="16052" nd="1"/>
        <i x="16053" nd="1"/>
        <i x="16054" nd="1"/>
        <i x="16055" nd="1"/>
        <i x="16056" nd="1"/>
        <i x="16057" nd="1"/>
        <i x="16058" nd="1"/>
        <i x="16059" nd="1"/>
        <i x="16060" nd="1"/>
        <i x="16061" nd="1"/>
        <i x="16062" nd="1"/>
        <i x="16063" nd="1"/>
        <i x="16064" nd="1"/>
        <i x="16065" nd="1"/>
        <i x="16066" nd="1"/>
        <i x="16067" nd="1"/>
        <i x="16068" nd="1"/>
        <i x="16069" nd="1"/>
        <i x="16070" nd="1"/>
        <i x="16071" nd="1"/>
        <i x="16072" nd="1"/>
        <i x="16073" nd="1"/>
        <i x="16074" nd="1"/>
        <i x="16075" nd="1"/>
        <i x="16076" nd="1"/>
        <i x="16077" nd="1"/>
        <i x="16078" nd="1"/>
        <i x="16079" nd="1"/>
        <i x="16080" nd="1"/>
        <i x="16081" nd="1"/>
        <i x="16082" nd="1"/>
        <i x="16083" nd="1"/>
        <i x="16084" nd="1"/>
        <i x="16085" nd="1"/>
        <i x="16086" nd="1"/>
        <i x="16087" nd="1"/>
        <i x="16088" nd="1"/>
        <i x="16089" nd="1"/>
        <i x="16090" nd="1"/>
        <i x="16091" nd="1"/>
        <i x="16092" nd="1"/>
        <i x="16093" nd="1"/>
        <i x="16094" nd="1"/>
        <i x="16095" nd="1"/>
        <i x="16096" nd="1"/>
        <i x="16097" nd="1"/>
        <i x="16098" nd="1"/>
        <i x="16099" nd="1"/>
        <i x="16100" nd="1"/>
        <i x="16101" nd="1"/>
        <i x="16102" nd="1"/>
        <i x="16103" nd="1"/>
        <i x="16104" nd="1"/>
        <i x="16105" nd="1"/>
        <i x="16106" nd="1"/>
        <i x="16107" nd="1"/>
        <i x="16108" nd="1"/>
        <i x="16109" nd="1"/>
        <i x="16110" nd="1"/>
        <i x="16111" nd="1"/>
        <i x="16112" nd="1"/>
        <i x="16113" nd="1"/>
        <i x="16114" nd="1"/>
        <i x="16115" nd="1"/>
        <i x="16116" nd="1"/>
        <i x="16117" nd="1"/>
        <i x="16118" nd="1"/>
        <i x="16119" nd="1"/>
        <i x="16120" nd="1"/>
        <i x="16121" nd="1"/>
        <i x="16122" nd="1"/>
        <i x="16123" nd="1"/>
        <i x="16124" nd="1"/>
        <i x="16125" nd="1"/>
        <i x="16126" nd="1"/>
        <i x="16127" nd="1"/>
        <i x="16128" nd="1"/>
        <i x="16129" nd="1"/>
        <i x="16130" nd="1"/>
        <i x="16131" nd="1"/>
        <i x="16132" nd="1"/>
        <i x="16133" nd="1"/>
        <i x="16134" nd="1"/>
        <i x="16135" nd="1"/>
        <i x="16136" nd="1"/>
        <i x="16137" nd="1"/>
        <i x="16138" nd="1"/>
        <i x="16139" nd="1"/>
        <i x="16140" nd="1"/>
        <i x="16141" nd="1"/>
        <i x="16142" nd="1"/>
        <i x="16143" nd="1"/>
        <i x="16144" nd="1"/>
        <i x="16145" nd="1"/>
        <i x="16146" nd="1"/>
        <i x="16147" nd="1"/>
        <i x="16148" nd="1"/>
        <i x="16149" nd="1"/>
        <i x="16150" nd="1"/>
        <i x="16151" nd="1"/>
        <i x="16152" nd="1"/>
        <i x="16153" nd="1"/>
        <i x="16154" nd="1"/>
        <i x="16155" nd="1"/>
        <i x="16156" nd="1"/>
        <i x="16157" nd="1"/>
        <i x="16158" nd="1"/>
        <i x="16159" nd="1"/>
        <i x="16160" nd="1"/>
        <i x="16161" nd="1"/>
        <i x="16162" nd="1"/>
        <i x="16163" nd="1"/>
        <i x="16164" nd="1"/>
        <i x="16165" nd="1"/>
        <i x="16166" nd="1"/>
        <i x="16167" nd="1"/>
        <i x="16168" nd="1"/>
        <i x="16169" nd="1"/>
        <i x="16170" nd="1"/>
        <i x="16171" nd="1"/>
        <i x="16172" nd="1"/>
        <i x="16173" nd="1"/>
        <i x="16174" nd="1"/>
        <i x="16175" nd="1"/>
        <i x="16176" nd="1"/>
        <i x="16177" nd="1"/>
        <i x="16178" nd="1"/>
        <i x="16179" nd="1"/>
        <i x="16180" nd="1"/>
        <i x="16181" nd="1"/>
        <i x="16182" nd="1"/>
        <i x="16183" nd="1"/>
        <i x="16184" nd="1"/>
        <i x="16185" nd="1"/>
        <i x="16186" nd="1"/>
        <i x="16187" nd="1"/>
        <i x="16188" nd="1"/>
        <i x="16189" nd="1"/>
        <i x="16190" nd="1"/>
        <i x="16191" nd="1"/>
        <i x="16192" nd="1"/>
        <i x="16193" nd="1"/>
        <i x="16194" nd="1"/>
        <i x="16195" nd="1"/>
        <i x="16196" nd="1"/>
        <i x="16197" nd="1"/>
        <i x="16198" nd="1"/>
        <i x="16199" nd="1"/>
        <i x="16200" nd="1"/>
        <i x="16201" nd="1"/>
        <i x="16202" nd="1"/>
        <i x="16203" nd="1"/>
        <i x="16204" nd="1"/>
        <i x="16205" nd="1"/>
        <i x="16206" nd="1"/>
        <i x="16207" nd="1"/>
        <i x="16208" nd="1"/>
        <i x="16209" nd="1"/>
        <i x="16210" nd="1"/>
        <i x="16211" nd="1"/>
        <i x="16212" nd="1"/>
        <i x="16213" nd="1"/>
        <i x="16214" nd="1"/>
        <i x="16215" nd="1"/>
        <i x="16216" nd="1"/>
        <i x="16217" nd="1"/>
        <i x="16218" nd="1"/>
        <i x="16219" nd="1"/>
        <i x="16220" nd="1"/>
        <i x="16221" nd="1"/>
        <i x="16222" nd="1"/>
        <i x="16223" nd="1"/>
        <i x="16224" nd="1"/>
        <i x="16225" nd="1"/>
        <i x="16226" nd="1"/>
        <i x="16227" nd="1"/>
        <i x="16228" nd="1"/>
        <i x="16229" nd="1"/>
        <i x="16230" nd="1"/>
        <i x="16231" nd="1"/>
        <i x="16232" nd="1"/>
        <i x="16233" nd="1"/>
        <i x="16234" nd="1"/>
        <i x="16235" nd="1"/>
        <i x="16236" nd="1"/>
        <i x="16237" nd="1"/>
        <i x="16238" nd="1"/>
        <i x="16239" nd="1"/>
        <i x="16240" nd="1"/>
        <i x="16241" nd="1"/>
        <i x="16242" nd="1"/>
        <i x="16243" nd="1"/>
        <i x="16244" nd="1"/>
        <i x="16245" nd="1"/>
        <i x="16246" nd="1"/>
        <i x="16247" nd="1"/>
        <i x="16248" nd="1"/>
        <i x="16249" nd="1"/>
        <i x="16250" nd="1"/>
        <i x="16251" nd="1"/>
        <i x="16252" nd="1"/>
        <i x="16253" nd="1"/>
        <i x="16254" nd="1"/>
        <i x="16255" nd="1"/>
        <i x="16256" nd="1"/>
        <i x="16257" nd="1"/>
        <i x="16258" nd="1"/>
        <i x="16259" nd="1"/>
        <i x="16260" nd="1"/>
        <i x="16261" nd="1"/>
        <i x="16262" nd="1"/>
        <i x="16263" nd="1"/>
        <i x="16264" nd="1"/>
        <i x="16265" nd="1"/>
        <i x="16266" nd="1"/>
        <i x="16267" nd="1"/>
        <i x="16268" nd="1"/>
        <i x="16269" nd="1"/>
        <i x="16270" nd="1"/>
        <i x="16271" nd="1"/>
        <i x="16272" nd="1"/>
        <i x="16273" nd="1"/>
        <i x="16274" nd="1"/>
        <i x="16275" nd="1"/>
        <i x="16276" nd="1"/>
        <i x="16277" nd="1"/>
        <i x="16278" nd="1"/>
        <i x="16279" nd="1"/>
        <i x="16280" nd="1"/>
        <i x="16281" nd="1"/>
        <i x="16282" nd="1"/>
        <i x="16283" nd="1"/>
        <i x="16284" nd="1"/>
        <i x="16285" nd="1"/>
        <i x="16286" nd="1"/>
        <i x="16287" nd="1"/>
        <i x="16288" nd="1"/>
        <i x="16289" nd="1"/>
        <i x="16290" nd="1"/>
        <i x="16291" nd="1"/>
        <i x="16292" nd="1"/>
        <i x="16293" nd="1"/>
        <i x="16294" nd="1"/>
        <i x="16295" nd="1"/>
        <i x="16296" nd="1"/>
        <i x="16297" nd="1"/>
        <i x="16298" nd="1"/>
        <i x="16299" nd="1"/>
        <i x="16300" nd="1"/>
        <i x="16301" nd="1"/>
        <i x="16302" nd="1"/>
        <i x="16303" nd="1"/>
        <i x="16304" nd="1"/>
        <i x="16305" nd="1"/>
        <i x="16306" nd="1"/>
        <i x="16307" nd="1"/>
        <i x="16308" nd="1"/>
        <i x="16309" nd="1"/>
        <i x="16310" nd="1"/>
        <i x="16311" nd="1"/>
        <i x="16312" nd="1"/>
        <i x="16313" nd="1"/>
        <i x="16314" nd="1"/>
        <i x="16315" nd="1"/>
        <i x="16316" nd="1"/>
        <i x="16317" nd="1"/>
        <i x="16318" nd="1"/>
        <i x="16319" nd="1"/>
        <i x="16320" nd="1"/>
        <i x="16321" nd="1"/>
        <i x="16322" nd="1"/>
        <i x="16323" nd="1"/>
        <i x="16324" nd="1"/>
        <i x="16325" nd="1"/>
        <i x="16326" nd="1"/>
        <i x="16327" nd="1"/>
        <i x="16328" nd="1"/>
        <i x="16329" nd="1"/>
        <i x="16330" nd="1"/>
        <i x="16331" nd="1"/>
        <i x="16332" nd="1"/>
        <i x="16333" nd="1"/>
        <i x="16334" nd="1"/>
        <i x="16335" nd="1"/>
        <i x="16336" nd="1"/>
        <i x="16337" nd="1"/>
        <i x="16338" nd="1"/>
        <i x="16339" nd="1"/>
        <i x="16340" nd="1"/>
        <i x="16341" nd="1"/>
        <i x="16342" nd="1"/>
        <i x="16343" nd="1"/>
        <i x="16344" nd="1"/>
        <i x="16345" nd="1"/>
        <i x="16346" nd="1"/>
        <i x="16347" nd="1"/>
        <i x="16348" nd="1"/>
        <i x="16349" nd="1"/>
        <i x="16350" nd="1"/>
        <i x="16351" nd="1"/>
        <i x="16352" nd="1"/>
        <i x="16353" nd="1"/>
        <i x="16354" nd="1"/>
        <i x="16355" nd="1"/>
        <i x="16356" nd="1"/>
        <i x="16357" nd="1"/>
        <i x="16358" nd="1"/>
        <i x="16359" nd="1"/>
        <i x="16360" nd="1"/>
        <i x="16361" nd="1"/>
        <i x="16362" nd="1"/>
        <i x="16363" nd="1"/>
        <i x="16364" nd="1"/>
        <i x="16365" nd="1"/>
        <i x="16366" nd="1"/>
        <i x="16367" nd="1"/>
        <i x="16368" nd="1"/>
        <i x="16369" nd="1"/>
        <i x="16370" nd="1"/>
        <i x="16371" nd="1"/>
        <i x="16372" nd="1"/>
        <i x="16373" nd="1"/>
        <i x="16374" nd="1"/>
        <i x="16375" nd="1"/>
        <i x="16376" nd="1"/>
        <i x="16377" nd="1"/>
        <i x="16378" nd="1"/>
        <i x="16379" nd="1"/>
        <i x="16380" nd="1"/>
        <i x="16381" nd="1"/>
        <i x="16382" nd="1"/>
        <i x="16383" nd="1"/>
        <i x="16384" nd="1"/>
        <i x="16385" nd="1"/>
        <i x="16386" nd="1"/>
        <i x="16387" nd="1"/>
        <i x="16388" nd="1"/>
        <i x="16389" nd="1"/>
        <i x="16390" nd="1"/>
        <i x="16391" nd="1"/>
        <i x="16392" nd="1"/>
        <i x="16393" nd="1"/>
        <i x="16394" nd="1"/>
        <i x="16395" nd="1"/>
        <i x="16396" nd="1"/>
        <i x="16397" nd="1"/>
        <i x="16398" nd="1"/>
        <i x="16399" nd="1"/>
        <i x="16400" nd="1"/>
        <i x="16401" nd="1"/>
        <i x="16402" nd="1"/>
        <i x="16403" nd="1"/>
        <i x="16404" nd="1"/>
        <i x="16405" nd="1"/>
        <i x="16406" nd="1"/>
        <i x="16407" nd="1"/>
        <i x="16408" nd="1"/>
        <i x="16409" nd="1"/>
        <i x="16410" nd="1"/>
        <i x="16411" nd="1"/>
        <i x="16412" nd="1"/>
        <i x="16413" nd="1"/>
        <i x="16414" nd="1"/>
        <i x="16415" nd="1"/>
        <i x="16416" nd="1"/>
        <i x="16417" nd="1"/>
        <i x="16418" nd="1"/>
        <i x="16419" nd="1"/>
        <i x="16420" nd="1"/>
        <i x="16421" nd="1"/>
        <i x="16422" nd="1"/>
        <i x="16423" nd="1"/>
        <i x="16424" nd="1"/>
        <i x="16425" nd="1"/>
        <i x="16426" nd="1"/>
        <i x="16427" nd="1"/>
        <i x="16428" nd="1"/>
        <i x="16429" nd="1"/>
        <i x="16430" nd="1"/>
        <i x="16431" nd="1"/>
        <i x="16432" nd="1"/>
        <i x="16433" nd="1"/>
        <i x="16434" nd="1"/>
        <i x="16435" nd="1"/>
        <i x="16436" nd="1"/>
        <i x="16437" nd="1"/>
        <i x="16438" nd="1"/>
        <i x="16439" nd="1"/>
        <i x="16440" nd="1"/>
        <i x="16441" nd="1"/>
        <i x="16442" nd="1"/>
        <i x="16443" nd="1"/>
        <i x="16444" nd="1"/>
        <i x="16445" nd="1"/>
        <i x="16446" nd="1"/>
        <i x="16447" nd="1"/>
        <i x="16448" nd="1"/>
        <i x="16449" nd="1"/>
        <i x="16450" nd="1"/>
        <i x="16451" nd="1"/>
        <i x="16452" nd="1"/>
        <i x="16453" nd="1"/>
        <i x="16454" nd="1"/>
        <i x="16455" nd="1"/>
        <i x="16456" nd="1"/>
        <i x="16457" nd="1"/>
        <i x="16458" nd="1"/>
        <i x="16459" nd="1"/>
        <i x="16460" nd="1"/>
        <i x="16461" nd="1"/>
        <i x="16462" nd="1"/>
        <i x="16463" nd="1"/>
        <i x="16464" nd="1"/>
        <i x="16465" nd="1"/>
        <i x="16466" nd="1"/>
        <i x="16467" nd="1"/>
        <i x="16468" nd="1"/>
        <i x="16469" nd="1"/>
        <i x="16470" nd="1"/>
        <i x="16471" nd="1"/>
        <i x="16472" nd="1"/>
        <i x="16473" nd="1"/>
        <i x="16474" nd="1"/>
        <i x="16475" nd="1"/>
        <i x="16476" nd="1"/>
        <i x="16477" nd="1"/>
        <i x="16478" nd="1"/>
        <i x="16479" nd="1"/>
        <i x="16480" nd="1"/>
        <i x="16481" nd="1"/>
        <i x="16482" nd="1"/>
        <i x="16483" nd="1"/>
        <i x="16484" nd="1"/>
        <i x="16485" nd="1"/>
        <i x="16486" nd="1"/>
        <i x="16487" nd="1"/>
        <i x="16488" nd="1"/>
        <i x="16489" nd="1"/>
        <i x="16490" nd="1"/>
        <i x="16491" nd="1"/>
        <i x="16492" nd="1"/>
        <i x="16493" nd="1"/>
        <i x="16494" nd="1"/>
        <i x="16495" nd="1"/>
        <i x="16496" nd="1"/>
        <i x="16497" nd="1"/>
        <i x="16498" nd="1"/>
        <i x="16499" nd="1"/>
        <i x="16500" nd="1"/>
        <i x="16501" nd="1"/>
        <i x="16502" nd="1"/>
        <i x="16503" nd="1"/>
        <i x="16504" nd="1"/>
        <i x="16505" nd="1"/>
        <i x="16506" nd="1"/>
        <i x="16507" nd="1"/>
        <i x="16508" nd="1"/>
        <i x="16509" nd="1"/>
        <i x="16510" nd="1"/>
        <i x="16511" nd="1"/>
        <i x="16512" nd="1"/>
        <i x="16513" nd="1"/>
        <i x="16514" nd="1"/>
        <i x="16515" nd="1"/>
        <i x="16516" nd="1"/>
        <i x="16517" nd="1"/>
        <i x="16518" nd="1"/>
        <i x="16519" nd="1"/>
        <i x="16520" nd="1"/>
        <i x="16521" nd="1"/>
        <i x="16522" nd="1"/>
        <i x="16523" nd="1"/>
        <i x="16524" nd="1"/>
        <i x="16525" nd="1"/>
        <i x="16526" nd="1"/>
        <i x="16527" nd="1"/>
        <i x="16528" nd="1"/>
        <i x="16529" nd="1"/>
        <i x="16530" nd="1"/>
        <i x="16531" nd="1"/>
        <i x="16532" nd="1"/>
        <i x="16533" nd="1"/>
        <i x="16534" nd="1"/>
        <i x="16535" nd="1"/>
        <i x="16536" nd="1"/>
        <i x="16537" nd="1"/>
        <i x="16538" nd="1"/>
        <i x="16539" nd="1"/>
        <i x="16540" nd="1"/>
        <i x="16541" nd="1"/>
        <i x="16542" nd="1"/>
        <i x="16543" nd="1"/>
        <i x="16544" nd="1"/>
        <i x="16545" nd="1"/>
        <i x="16546" nd="1"/>
        <i x="16547" nd="1"/>
        <i x="16548" nd="1"/>
        <i x="16549" nd="1"/>
        <i x="16550" nd="1"/>
        <i x="16551" nd="1"/>
        <i x="16552" nd="1"/>
        <i x="16553" nd="1"/>
        <i x="16554" nd="1"/>
        <i x="16555" nd="1"/>
        <i x="16556" nd="1"/>
        <i x="16557" nd="1"/>
        <i x="16558" nd="1"/>
        <i x="16559" nd="1"/>
        <i x="16560" nd="1"/>
        <i x="16561" nd="1"/>
        <i x="16562" nd="1"/>
        <i x="16563" nd="1"/>
        <i x="16564" nd="1"/>
        <i x="16565" nd="1"/>
        <i x="16566" nd="1"/>
        <i x="16567" nd="1"/>
        <i x="16568" nd="1"/>
        <i x="16569" nd="1"/>
        <i x="16570" nd="1"/>
        <i x="16571" nd="1"/>
        <i x="16572" nd="1"/>
        <i x="16573" nd="1"/>
        <i x="16574" nd="1"/>
        <i x="16575" nd="1"/>
        <i x="16576" nd="1"/>
        <i x="16577" nd="1"/>
        <i x="16578" nd="1"/>
        <i x="16579" nd="1"/>
        <i x="16580" nd="1"/>
        <i x="16581" nd="1"/>
        <i x="16582" nd="1"/>
        <i x="16583" nd="1"/>
        <i x="16584" nd="1"/>
        <i x="16585" nd="1"/>
        <i x="16586" nd="1"/>
        <i x="16587" nd="1"/>
        <i x="16588" nd="1"/>
        <i x="16589" nd="1"/>
        <i x="16590" nd="1"/>
        <i x="16591" nd="1"/>
        <i x="16592" nd="1"/>
        <i x="16593" nd="1"/>
        <i x="16594" nd="1"/>
        <i x="16595" nd="1"/>
        <i x="16596" nd="1"/>
        <i x="16597" nd="1"/>
        <i x="16598" nd="1"/>
        <i x="16599" nd="1"/>
        <i x="16600" nd="1"/>
        <i x="16601" nd="1"/>
        <i x="16602" nd="1"/>
        <i x="16603" nd="1"/>
        <i x="16604" nd="1"/>
        <i x="16605" nd="1"/>
        <i x="16606" nd="1"/>
        <i x="16607" nd="1"/>
        <i x="16608" nd="1"/>
        <i x="16609" nd="1"/>
        <i x="16610" nd="1"/>
        <i x="16611" nd="1"/>
        <i x="16612" nd="1"/>
        <i x="16613" nd="1"/>
        <i x="16614" nd="1"/>
        <i x="16615" nd="1"/>
        <i x="16616" nd="1"/>
        <i x="16617" nd="1"/>
        <i x="16618" nd="1"/>
        <i x="16619" nd="1"/>
        <i x="16620" nd="1"/>
        <i x="16621" nd="1"/>
        <i x="16622" nd="1"/>
        <i x="16623" nd="1"/>
        <i x="16624" nd="1"/>
        <i x="16625" nd="1"/>
        <i x="16626" nd="1"/>
        <i x="16627" nd="1"/>
        <i x="16628" nd="1"/>
        <i x="16629" nd="1"/>
        <i x="16630" nd="1"/>
        <i x="16631" nd="1"/>
        <i x="16632" nd="1"/>
        <i x="16633" nd="1"/>
        <i x="16634" nd="1"/>
        <i x="16635" nd="1"/>
        <i x="16636" nd="1"/>
        <i x="16637" nd="1"/>
        <i x="16638" nd="1"/>
        <i x="16639" nd="1"/>
        <i x="16640" nd="1"/>
        <i x="16641" nd="1"/>
        <i x="16642" nd="1"/>
        <i x="16643" nd="1"/>
        <i x="16644" nd="1"/>
        <i x="16645" nd="1"/>
        <i x="16646" nd="1"/>
        <i x="16647" nd="1"/>
        <i x="16648" nd="1"/>
        <i x="16649" nd="1"/>
        <i x="16650" nd="1"/>
        <i x="16651" nd="1"/>
        <i x="16652" nd="1"/>
        <i x="16653" nd="1"/>
        <i x="16654" nd="1"/>
        <i x="16655" nd="1"/>
        <i x="16656" nd="1"/>
        <i x="16657" nd="1"/>
        <i x="16658" nd="1"/>
        <i x="16659" nd="1"/>
        <i x="16660" nd="1"/>
        <i x="16661" nd="1"/>
        <i x="16662" nd="1"/>
        <i x="16663" nd="1"/>
        <i x="16664" nd="1"/>
        <i x="16665" nd="1"/>
        <i x="16666" nd="1"/>
        <i x="16667" nd="1"/>
        <i x="16668" nd="1"/>
        <i x="16669" nd="1"/>
        <i x="16670" nd="1"/>
        <i x="16671" nd="1"/>
        <i x="16672" nd="1"/>
        <i x="16673" nd="1"/>
        <i x="16674" nd="1"/>
        <i x="16675" nd="1"/>
        <i x="16676" nd="1"/>
        <i x="16677" nd="1"/>
        <i x="16678" nd="1"/>
        <i x="16679" nd="1"/>
        <i x="16680" nd="1"/>
        <i x="16681" nd="1"/>
        <i x="16682" nd="1"/>
        <i x="16683" nd="1"/>
        <i x="16684" nd="1"/>
        <i x="16685" nd="1"/>
        <i x="16686" nd="1"/>
        <i x="16687" nd="1"/>
        <i x="16688" nd="1"/>
        <i x="16689" nd="1"/>
        <i x="16690" nd="1"/>
        <i x="16691" nd="1"/>
        <i x="16692" nd="1"/>
        <i x="16693" nd="1"/>
        <i x="16694" nd="1"/>
        <i x="16695" nd="1"/>
        <i x="16696" nd="1"/>
        <i x="16697" nd="1"/>
        <i x="16698" nd="1"/>
        <i x="16699" nd="1"/>
        <i x="16700" nd="1"/>
        <i x="16701" nd="1"/>
        <i x="16702" nd="1"/>
        <i x="16703" nd="1"/>
        <i x="16704" nd="1"/>
        <i x="16705" nd="1"/>
        <i x="16706" nd="1"/>
        <i x="16707" nd="1"/>
        <i x="16708" nd="1"/>
        <i x="16709" nd="1"/>
        <i x="16710" nd="1"/>
        <i x="16711" nd="1"/>
        <i x="16712" nd="1"/>
        <i x="16713" nd="1"/>
        <i x="16714" nd="1"/>
        <i x="16715" nd="1"/>
        <i x="16716" nd="1"/>
        <i x="16717" nd="1"/>
        <i x="16718" nd="1"/>
        <i x="16719" nd="1"/>
        <i x="16720" nd="1"/>
        <i x="16721" nd="1"/>
        <i x="16722" nd="1"/>
        <i x="16723" nd="1"/>
        <i x="16724" nd="1"/>
        <i x="16725" nd="1"/>
        <i x="16726" nd="1"/>
        <i x="16727" nd="1"/>
        <i x="16728" nd="1"/>
        <i x="16729" nd="1"/>
        <i x="16730" nd="1"/>
        <i x="16731" nd="1"/>
        <i x="16732" nd="1"/>
        <i x="16733" nd="1"/>
        <i x="16734" nd="1"/>
        <i x="16735" nd="1"/>
        <i x="16736" nd="1"/>
        <i x="16737" nd="1"/>
        <i x="16738" nd="1"/>
        <i x="16739" nd="1"/>
        <i x="16740" nd="1"/>
        <i x="16741" nd="1"/>
        <i x="16742" nd="1"/>
        <i x="16743" nd="1"/>
        <i x="16744" nd="1"/>
        <i x="16745" nd="1"/>
        <i x="16746" nd="1"/>
        <i x="16747" nd="1"/>
        <i x="16748" nd="1"/>
        <i x="16749" nd="1"/>
        <i x="16750" nd="1"/>
        <i x="16751" nd="1"/>
        <i x="16752" nd="1"/>
        <i x="16753" nd="1"/>
        <i x="16754" nd="1"/>
        <i x="16755" nd="1"/>
        <i x="16756" nd="1"/>
        <i x="16757" nd="1"/>
        <i x="16758" nd="1"/>
        <i x="16759" nd="1"/>
        <i x="16760" nd="1"/>
        <i x="16761" nd="1"/>
        <i x="16762" nd="1"/>
        <i x="16763" nd="1"/>
        <i x="16764" nd="1"/>
        <i x="16765" nd="1"/>
        <i x="16766" nd="1"/>
        <i x="16767" nd="1"/>
        <i x="16768" nd="1"/>
        <i x="16769" nd="1"/>
        <i x="16770" nd="1"/>
        <i x="16771" nd="1"/>
        <i x="16772" nd="1"/>
        <i x="16773" nd="1"/>
        <i x="16774" nd="1"/>
        <i x="16775" nd="1"/>
        <i x="16776" nd="1"/>
        <i x="16777" nd="1"/>
        <i x="16778" nd="1"/>
        <i x="16779" nd="1"/>
        <i x="16780" nd="1"/>
        <i x="16781" nd="1"/>
        <i x="16782" nd="1"/>
        <i x="16783" nd="1"/>
        <i x="16784" nd="1"/>
        <i x="16785" nd="1"/>
        <i x="16786" nd="1"/>
        <i x="16787" nd="1"/>
        <i x="16788" nd="1"/>
        <i x="16789" nd="1"/>
        <i x="16790" nd="1"/>
        <i x="16791" nd="1"/>
        <i x="16792" nd="1"/>
        <i x="16793" nd="1"/>
        <i x="16794" nd="1"/>
        <i x="16795" nd="1"/>
        <i x="16796" nd="1"/>
        <i x="16797" nd="1"/>
        <i x="16798" nd="1"/>
        <i x="16799" nd="1"/>
        <i x="16800" nd="1"/>
        <i x="16801" nd="1"/>
        <i x="16802" nd="1"/>
        <i x="16803" nd="1"/>
        <i x="16804" nd="1"/>
        <i x="16805" nd="1"/>
        <i x="16806" nd="1"/>
        <i x="16807" nd="1"/>
        <i x="16808" nd="1"/>
        <i x="16809" nd="1"/>
        <i x="16810" nd="1"/>
        <i x="16811" nd="1"/>
        <i x="16812" nd="1"/>
        <i x="16813" nd="1"/>
        <i x="16814" nd="1"/>
        <i x="16815" nd="1"/>
        <i x="16816" nd="1"/>
        <i x="16817" nd="1"/>
        <i x="16818" nd="1"/>
        <i x="16819" nd="1"/>
        <i x="16820" nd="1"/>
        <i x="16821" nd="1"/>
        <i x="16822" nd="1"/>
        <i x="16823" nd="1"/>
        <i x="16824" nd="1"/>
        <i x="16825" nd="1"/>
        <i x="16826" nd="1"/>
        <i x="16827" nd="1"/>
        <i x="16828" nd="1"/>
        <i x="16829" nd="1"/>
        <i x="16830" nd="1"/>
        <i x="16831" nd="1"/>
        <i x="16832" nd="1"/>
        <i x="16833" nd="1"/>
        <i x="16834" nd="1"/>
        <i x="16835" nd="1"/>
        <i x="16836" nd="1"/>
        <i x="16837" nd="1"/>
        <i x="16838" nd="1"/>
        <i x="16839" nd="1"/>
        <i x="16840" nd="1"/>
        <i x="16841" nd="1"/>
        <i x="16842" nd="1"/>
        <i x="16843" nd="1"/>
        <i x="16844" nd="1"/>
        <i x="16845" nd="1"/>
        <i x="16846" nd="1"/>
        <i x="16847" nd="1"/>
        <i x="16848" nd="1"/>
        <i x="16849" nd="1"/>
        <i x="16850" nd="1"/>
        <i x="16851" nd="1"/>
        <i x="16852" nd="1"/>
        <i x="16853" nd="1"/>
        <i x="16854" nd="1"/>
        <i x="16855" nd="1"/>
        <i x="16856" nd="1"/>
        <i x="16857" nd="1"/>
        <i x="16858" nd="1"/>
        <i x="16859" nd="1"/>
        <i x="16860" nd="1"/>
        <i x="16861" nd="1"/>
        <i x="16862" nd="1"/>
        <i x="16863" nd="1"/>
        <i x="16864" nd="1"/>
        <i x="16865" nd="1"/>
        <i x="16866" nd="1"/>
        <i x="16867" nd="1"/>
        <i x="16868" nd="1"/>
        <i x="16869" nd="1"/>
        <i x="16870" nd="1"/>
        <i x="16871" nd="1"/>
        <i x="16872" nd="1"/>
        <i x="16873" nd="1"/>
        <i x="16874" nd="1"/>
        <i x="16875" nd="1"/>
        <i x="16876" nd="1"/>
        <i x="16877" nd="1"/>
        <i x="16878" nd="1"/>
        <i x="16879" nd="1"/>
        <i x="16880" nd="1"/>
        <i x="16881" nd="1"/>
        <i x="16882" nd="1"/>
        <i x="16883" nd="1"/>
        <i x="16884" nd="1"/>
        <i x="16885" nd="1"/>
        <i x="16886" nd="1"/>
        <i x="16887" nd="1"/>
        <i x="16888" nd="1"/>
        <i x="16889" nd="1"/>
        <i x="16890" nd="1"/>
        <i x="16891" nd="1"/>
        <i x="16892" nd="1"/>
        <i x="16893" nd="1"/>
        <i x="16894" nd="1"/>
        <i x="16895" nd="1"/>
        <i x="16896" nd="1"/>
        <i x="16897" nd="1"/>
        <i x="16898" nd="1"/>
        <i x="16899" nd="1"/>
        <i x="16900" nd="1"/>
        <i x="16901" nd="1"/>
        <i x="16902" nd="1"/>
        <i x="16903" nd="1"/>
        <i x="16904" nd="1"/>
        <i x="16905" nd="1"/>
        <i x="16906" nd="1"/>
        <i x="16907" nd="1"/>
        <i x="16908" nd="1"/>
        <i x="16909" nd="1"/>
        <i x="16910" nd="1"/>
        <i x="16911" nd="1"/>
        <i x="16912" nd="1"/>
        <i x="16913" nd="1"/>
        <i x="16914" nd="1"/>
        <i x="16915" nd="1"/>
        <i x="16916" nd="1"/>
        <i x="16917" nd="1"/>
        <i x="16918" nd="1"/>
        <i x="16919" nd="1"/>
        <i x="16920" nd="1"/>
        <i x="16921" nd="1"/>
        <i x="16922" nd="1"/>
        <i x="16923" nd="1"/>
        <i x="16924" nd="1"/>
        <i x="16925" nd="1"/>
        <i x="16926" nd="1"/>
        <i x="16927" nd="1"/>
        <i x="16928" nd="1"/>
        <i x="16929" nd="1"/>
        <i x="16930" nd="1"/>
        <i x="16931" nd="1"/>
        <i x="16932" nd="1"/>
        <i x="16933" nd="1"/>
        <i x="16934" nd="1"/>
        <i x="16935" nd="1"/>
        <i x="16936" nd="1"/>
        <i x="16937" nd="1"/>
        <i x="16938" nd="1"/>
        <i x="16939" nd="1"/>
        <i x="16940" nd="1"/>
        <i x="16941" nd="1"/>
        <i x="16942" nd="1"/>
        <i x="16943" nd="1"/>
        <i x="16944" nd="1"/>
        <i x="16945" nd="1"/>
        <i x="16946" nd="1"/>
        <i x="16947" nd="1"/>
        <i x="16948" nd="1"/>
        <i x="16949" nd="1"/>
        <i x="16950" nd="1"/>
        <i x="16951" nd="1"/>
        <i x="16952" nd="1"/>
        <i x="16953" nd="1"/>
        <i x="16954" nd="1"/>
        <i x="16955" nd="1"/>
        <i x="16956" nd="1"/>
        <i x="16957" nd="1"/>
        <i x="16958" nd="1"/>
        <i x="16959" nd="1"/>
        <i x="16960" nd="1"/>
        <i x="16961" nd="1"/>
        <i x="16962" nd="1"/>
        <i x="16963" nd="1"/>
        <i x="16964" nd="1"/>
        <i x="16965" nd="1"/>
        <i x="16966" nd="1"/>
        <i x="16967" nd="1"/>
        <i x="16968" nd="1"/>
        <i x="16969" nd="1"/>
        <i x="16970" nd="1"/>
        <i x="16971" nd="1"/>
        <i x="16972" nd="1"/>
        <i x="16973" nd="1"/>
        <i x="16974" nd="1"/>
        <i x="16975" nd="1"/>
        <i x="16976" nd="1"/>
        <i x="16977" nd="1"/>
        <i x="16978" nd="1"/>
        <i x="16979" nd="1"/>
        <i x="16980" nd="1"/>
        <i x="16981" nd="1"/>
        <i x="16982" nd="1"/>
        <i x="16983" nd="1"/>
        <i x="16984" nd="1"/>
        <i x="16985" nd="1"/>
        <i x="16986" nd="1"/>
        <i x="16987" nd="1"/>
        <i x="16988" nd="1"/>
        <i x="16989" nd="1"/>
        <i x="16990" nd="1"/>
        <i x="16991" nd="1"/>
        <i x="16992" nd="1"/>
        <i x="16993" nd="1"/>
        <i x="16994" nd="1"/>
        <i x="16995" nd="1"/>
        <i x="16996" nd="1"/>
        <i x="16997" nd="1"/>
        <i x="16998" nd="1"/>
        <i x="16999" nd="1"/>
        <i x="17000" nd="1"/>
        <i x="17001" nd="1"/>
        <i x="17002" nd="1"/>
        <i x="17003" nd="1"/>
        <i x="17004" nd="1"/>
        <i x="17005" nd="1"/>
        <i x="17006" nd="1"/>
        <i x="17007" nd="1"/>
        <i x="17008" nd="1"/>
        <i x="17009" nd="1"/>
        <i x="17010" nd="1"/>
        <i x="17011" nd="1"/>
        <i x="17012" nd="1"/>
        <i x="17013" nd="1"/>
        <i x="17014" nd="1"/>
        <i x="17015" nd="1"/>
        <i x="17016" nd="1"/>
        <i x="17017" nd="1"/>
        <i x="17018" nd="1"/>
        <i x="17019" nd="1"/>
        <i x="17020" nd="1"/>
        <i x="17021" nd="1"/>
        <i x="17022" nd="1"/>
        <i x="17023" nd="1"/>
        <i x="17024" nd="1"/>
        <i x="17025" nd="1"/>
        <i x="17026" nd="1"/>
        <i x="17027" nd="1"/>
        <i x="17028" nd="1"/>
        <i x="17029" nd="1"/>
        <i x="17030" nd="1"/>
        <i x="17031" nd="1"/>
        <i x="17032" nd="1"/>
        <i x="17033" nd="1"/>
        <i x="17034" nd="1"/>
        <i x="17035" nd="1"/>
        <i x="17036" nd="1"/>
        <i x="17037" nd="1"/>
        <i x="17038" nd="1"/>
        <i x="17039" nd="1"/>
        <i x="17040" nd="1"/>
        <i x="17041" nd="1"/>
        <i x="17042" nd="1"/>
        <i x="17043" nd="1"/>
        <i x="17044" nd="1"/>
        <i x="17045" nd="1"/>
        <i x="17046" nd="1"/>
        <i x="17047" nd="1"/>
        <i x="17048" nd="1"/>
        <i x="17049" nd="1"/>
        <i x="17050" nd="1"/>
        <i x="17051" nd="1"/>
        <i x="17052" nd="1"/>
        <i x="17053" nd="1"/>
        <i x="17054" nd="1"/>
        <i x="17055" nd="1"/>
        <i x="17056" nd="1"/>
        <i x="17057" nd="1"/>
        <i x="17058" nd="1"/>
        <i x="17059" nd="1"/>
        <i x="17060" nd="1"/>
        <i x="17061" nd="1"/>
        <i x="17062" nd="1"/>
        <i x="17063" nd="1"/>
        <i x="17064" nd="1"/>
        <i x="17065" nd="1"/>
        <i x="17066" nd="1"/>
        <i x="17067" nd="1"/>
        <i x="17068" nd="1"/>
        <i x="17069" nd="1"/>
        <i x="17070" nd="1"/>
        <i x="17071" nd="1"/>
        <i x="17072" nd="1"/>
        <i x="17073" nd="1"/>
        <i x="17074" nd="1"/>
        <i x="17075" nd="1"/>
        <i x="17076" nd="1"/>
        <i x="17077" nd="1"/>
        <i x="17078" nd="1"/>
        <i x="17079" nd="1"/>
        <i x="17080" nd="1"/>
        <i x="17081" nd="1"/>
        <i x="17082" nd="1"/>
        <i x="17083" nd="1"/>
        <i x="17084" nd="1"/>
        <i x="17085" nd="1"/>
        <i x="17086" nd="1"/>
        <i x="17087" nd="1"/>
        <i x="17088" nd="1"/>
        <i x="17089" nd="1"/>
        <i x="17090" nd="1"/>
        <i x="17091" nd="1"/>
        <i x="17092" nd="1"/>
        <i x="17093" nd="1"/>
        <i x="17094" nd="1"/>
        <i x="17095" nd="1"/>
        <i x="17096" nd="1"/>
        <i x="17097" nd="1"/>
        <i x="17098" nd="1"/>
        <i x="17099" nd="1"/>
        <i x="17100" nd="1"/>
        <i x="17101" nd="1"/>
        <i x="17102" nd="1"/>
        <i x="17103" nd="1"/>
        <i x="17104" nd="1"/>
        <i x="17105" nd="1"/>
        <i x="17106" nd="1"/>
        <i x="17107" nd="1"/>
        <i x="17108" nd="1"/>
        <i x="17109" nd="1"/>
        <i x="17110" nd="1"/>
        <i x="17111" nd="1"/>
        <i x="17112" nd="1"/>
        <i x="17113" nd="1"/>
        <i x="17114" nd="1"/>
        <i x="17115" nd="1"/>
        <i x="17116" nd="1"/>
        <i x="17117" nd="1"/>
        <i x="17118" nd="1"/>
        <i x="17119" nd="1"/>
        <i x="17120" nd="1"/>
        <i x="17121" nd="1"/>
        <i x="17122" nd="1"/>
        <i x="17123" nd="1"/>
        <i x="17124" nd="1"/>
        <i x="17125" nd="1"/>
        <i x="17126" nd="1"/>
        <i x="17127" nd="1"/>
        <i x="17128" nd="1"/>
        <i x="17129" nd="1"/>
        <i x="17130" nd="1"/>
        <i x="17131" nd="1"/>
        <i x="17132" nd="1"/>
        <i x="17133" nd="1"/>
        <i x="17134" nd="1"/>
        <i x="17135" nd="1"/>
        <i x="17136" nd="1"/>
        <i x="17137" nd="1"/>
        <i x="17138" nd="1"/>
        <i x="17139" nd="1"/>
        <i x="17140" nd="1"/>
        <i x="17141" nd="1"/>
        <i x="17142" nd="1"/>
        <i x="17143" nd="1"/>
        <i x="17144" nd="1"/>
        <i x="17145" nd="1"/>
        <i x="17146" nd="1"/>
        <i x="17147" nd="1"/>
        <i x="17148" nd="1"/>
        <i x="17149" nd="1"/>
        <i x="17150" nd="1"/>
        <i x="17151" nd="1"/>
        <i x="17152" nd="1"/>
        <i x="17153" nd="1"/>
        <i x="17154" nd="1"/>
        <i x="17155" nd="1"/>
        <i x="17156" nd="1"/>
        <i x="17157" nd="1"/>
        <i x="17158" nd="1"/>
        <i x="17159" nd="1"/>
        <i x="17160" nd="1"/>
        <i x="17161" nd="1"/>
        <i x="17162" nd="1"/>
        <i x="17163" nd="1"/>
        <i x="17164" nd="1"/>
        <i x="17165" nd="1"/>
        <i x="17166" nd="1"/>
        <i x="17167" nd="1"/>
        <i x="17168" nd="1"/>
        <i x="17169" nd="1"/>
        <i x="17170" nd="1"/>
        <i x="17171" nd="1"/>
        <i x="17172" nd="1"/>
        <i x="17173" nd="1"/>
        <i x="17174" nd="1"/>
        <i x="17175" nd="1"/>
        <i x="17176" nd="1"/>
        <i x="17177" nd="1"/>
        <i x="17178" nd="1"/>
        <i x="17179" nd="1"/>
        <i x="17180" nd="1"/>
        <i x="17181" nd="1"/>
        <i x="17182" nd="1"/>
        <i x="17183" nd="1"/>
        <i x="17184" nd="1"/>
        <i x="17185" nd="1"/>
        <i x="17186" nd="1"/>
        <i x="17187" nd="1"/>
        <i x="17188" nd="1"/>
        <i x="17189" nd="1"/>
        <i x="17190" nd="1"/>
        <i x="17191" nd="1"/>
        <i x="17192" nd="1"/>
        <i x="17193" nd="1"/>
        <i x="17194" nd="1"/>
        <i x="17195" nd="1"/>
        <i x="17196" nd="1"/>
        <i x="17197" nd="1"/>
        <i x="17198" nd="1"/>
        <i x="17199" nd="1"/>
        <i x="17200" nd="1"/>
        <i x="17201" nd="1"/>
        <i x="17202" nd="1"/>
        <i x="17203" nd="1"/>
        <i x="17204" nd="1"/>
        <i x="17205" nd="1"/>
        <i x="17206" nd="1"/>
        <i x="17207" nd="1"/>
        <i x="17208" nd="1"/>
        <i x="17209" nd="1"/>
        <i x="17210" nd="1"/>
        <i x="17211" nd="1"/>
        <i x="17212" nd="1"/>
        <i x="17213" nd="1"/>
        <i x="17214" nd="1"/>
        <i x="17215" nd="1"/>
        <i x="17216" nd="1"/>
        <i x="17217" nd="1"/>
        <i x="17218" nd="1"/>
        <i x="17219" nd="1"/>
        <i x="17220" nd="1"/>
        <i x="17221" nd="1"/>
        <i x="17222" nd="1"/>
        <i x="17223" nd="1"/>
        <i x="17224" nd="1"/>
        <i x="17225" nd="1"/>
        <i x="17226" nd="1"/>
        <i x="17227" nd="1"/>
        <i x="17228" nd="1"/>
        <i x="17229" nd="1"/>
        <i x="17230" nd="1"/>
        <i x="17231" nd="1"/>
        <i x="17232" nd="1"/>
        <i x="17233" nd="1"/>
        <i x="17234" nd="1"/>
        <i x="17235" nd="1"/>
        <i x="17236" nd="1"/>
        <i x="17237" nd="1"/>
        <i x="17238" nd="1"/>
        <i x="17239" nd="1"/>
        <i x="17240" nd="1"/>
        <i x="17241" nd="1"/>
        <i x="17242" nd="1"/>
        <i x="17243" nd="1"/>
        <i x="17244" nd="1"/>
        <i x="17245" nd="1"/>
        <i x="17246" nd="1"/>
        <i x="17247" nd="1"/>
        <i x="17248" nd="1"/>
        <i x="17249" nd="1"/>
        <i x="17250" nd="1"/>
        <i x="17251" nd="1"/>
        <i x="17252" nd="1"/>
        <i x="17253" nd="1"/>
        <i x="17254" nd="1"/>
        <i x="17255" nd="1"/>
        <i x="17256" nd="1"/>
        <i x="17257" nd="1"/>
        <i x="17258" nd="1"/>
        <i x="17259" nd="1"/>
        <i x="17260" nd="1"/>
        <i x="17261" nd="1"/>
        <i x="17262" nd="1"/>
        <i x="17263" nd="1"/>
        <i x="17264" nd="1"/>
        <i x="17265" nd="1"/>
        <i x="17266" nd="1"/>
        <i x="17267" nd="1"/>
        <i x="17268" nd="1"/>
        <i x="17269" nd="1"/>
        <i x="17270" nd="1"/>
        <i x="17271" nd="1"/>
        <i x="17272" nd="1"/>
        <i x="17273" nd="1"/>
        <i x="17274" nd="1"/>
        <i x="17275" nd="1"/>
        <i x="17276" nd="1"/>
        <i x="17277" nd="1"/>
        <i x="17278" nd="1"/>
        <i x="17279" nd="1"/>
        <i x="17280" nd="1"/>
        <i x="17281" nd="1"/>
        <i x="17282" nd="1"/>
        <i x="17283" nd="1"/>
        <i x="17284" nd="1"/>
        <i x="17285" nd="1"/>
        <i x="17286" nd="1"/>
        <i x="17287" nd="1"/>
        <i x="17288" nd="1"/>
        <i x="17289" nd="1"/>
        <i x="17290" nd="1"/>
        <i x="17291" nd="1"/>
        <i x="17292" nd="1"/>
        <i x="17293" nd="1"/>
        <i x="17294" nd="1"/>
        <i x="17295" nd="1"/>
        <i x="17296" nd="1"/>
        <i x="17297" nd="1"/>
        <i x="17298" nd="1"/>
        <i x="17299" nd="1"/>
        <i x="17300" nd="1"/>
        <i x="17301" nd="1"/>
        <i x="17302" nd="1"/>
        <i x="17303" nd="1"/>
        <i x="17304" nd="1"/>
        <i x="17305" nd="1"/>
        <i x="17306" nd="1"/>
        <i x="17307" nd="1"/>
        <i x="17308" nd="1"/>
        <i x="17309" nd="1"/>
        <i x="17310" nd="1"/>
        <i x="17311" nd="1"/>
        <i x="17312" nd="1"/>
        <i x="17313" nd="1"/>
        <i x="17314" nd="1"/>
        <i x="17315" nd="1"/>
        <i x="17316" nd="1"/>
        <i x="17317" nd="1"/>
        <i x="17318" nd="1"/>
        <i x="17319" nd="1"/>
        <i x="17320" nd="1"/>
        <i x="17321" nd="1"/>
        <i x="17322" nd="1"/>
        <i x="17323" nd="1"/>
        <i x="17324" nd="1"/>
        <i x="17325" nd="1"/>
        <i x="17326" nd="1"/>
        <i x="17327" nd="1"/>
        <i x="17328" nd="1"/>
        <i x="17329" nd="1"/>
        <i x="17330" nd="1"/>
        <i x="17331" nd="1"/>
        <i x="17332" nd="1"/>
        <i x="17333" nd="1"/>
        <i x="17334" nd="1"/>
        <i x="17335" nd="1"/>
        <i x="17336" nd="1"/>
        <i x="17337" nd="1"/>
        <i x="17338" nd="1"/>
        <i x="17339" nd="1"/>
        <i x="17340" nd="1"/>
        <i x="17341" nd="1"/>
        <i x="17342" nd="1"/>
        <i x="17343" nd="1"/>
        <i x="17344" nd="1"/>
        <i x="17345" nd="1"/>
        <i x="17346" nd="1"/>
        <i x="17347" nd="1"/>
        <i x="17348" nd="1"/>
        <i x="17349" nd="1"/>
        <i x="17350" nd="1"/>
        <i x="17351" nd="1"/>
        <i x="17352" nd="1"/>
        <i x="17353" nd="1"/>
        <i x="17354" nd="1"/>
        <i x="17355" nd="1"/>
        <i x="17356" nd="1"/>
        <i x="17357" nd="1"/>
        <i x="17358" nd="1"/>
        <i x="17359" nd="1"/>
        <i x="17360" nd="1"/>
        <i x="17361" nd="1"/>
        <i x="17362" nd="1"/>
        <i x="17363" nd="1"/>
        <i x="17364" nd="1"/>
        <i x="17365" nd="1"/>
        <i x="17366" nd="1"/>
        <i x="17367" nd="1"/>
        <i x="17368" nd="1"/>
        <i x="17369" nd="1"/>
        <i x="17370" nd="1"/>
        <i x="17371" nd="1"/>
        <i x="17372" nd="1"/>
        <i x="17373" nd="1"/>
        <i x="17374" nd="1"/>
        <i x="17375" nd="1"/>
        <i x="17376" nd="1"/>
        <i x="17377" nd="1"/>
        <i x="17378" nd="1"/>
        <i x="17379" nd="1"/>
        <i x="17380" nd="1"/>
        <i x="17381" nd="1"/>
        <i x="17382" nd="1"/>
        <i x="17383" nd="1"/>
        <i x="17384" nd="1"/>
        <i x="17385" nd="1"/>
        <i x="17386" nd="1"/>
        <i x="17387" nd="1"/>
        <i x="17388" nd="1"/>
        <i x="17389" nd="1"/>
        <i x="17390" nd="1"/>
        <i x="17391" nd="1"/>
        <i x="17392" nd="1"/>
        <i x="17393" nd="1"/>
        <i x="17394" nd="1"/>
        <i x="17395" nd="1"/>
        <i x="17396" nd="1"/>
        <i x="17397" nd="1"/>
        <i x="17398" nd="1"/>
        <i x="17399" nd="1"/>
        <i x="17400" nd="1"/>
        <i x="17401" nd="1"/>
        <i x="17402" nd="1"/>
        <i x="17403" nd="1"/>
        <i x="17404" nd="1"/>
        <i x="17405" nd="1"/>
        <i x="17406" nd="1"/>
        <i x="17407" nd="1"/>
        <i x="17408" nd="1"/>
        <i x="17409" nd="1"/>
        <i x="17410" nd="1"/>
        <i x="17411" nd="1"/>
        <i x="17412" nd="1"/>
        <i x="17413" nd="1"/>
        <i x="17414" nd="1"/>
        <i x="17415" nd="1"/>
        <i x="17416" nd="1"/>
        <i x="17417" nd="1"/>
        <i x="17418" nd="1"/>
        <i x="17419" nd="1"/>
        <i x="17420" nd="1"/>
        <i x="17421" nd="1"/>
        <i x="17422" nd="1"/>
        <i x="17423" nd="1"/>
        <i x="17424" nd="1"/>
        <i x="17425" nd="1"/>
        <i x="17426" nd="1"/>
        <i x="17427" nd="1"/>
        <i x="17428" nd="1"/>
        <i x="17429" nd="1"/>
        <i x="17430" nd="1"/>
        <i x="17431" nd="1"/>
        <i x="17432" nd="1"/>
        <i x="17433" nd="1"/>
        <i x="17434" nd="1"/>
        <i x="17435" nd="1"/>
        <i x="17436" nd="1"/>
        <i x="17437" nd="1"/>
        <i x="17438" nd="1"/>
        <i x="17439" nd="1"/>
        <i x="17440" nd="1"/>
        <i x="17441" nd="1"/>
        <i x="17442" nd="1"/>
        <i x="17443" nd="1"/>
        <i x="17444" nd="1"/>
        <i x="17445" nd="1"/>
        <i x="17446" nd="1"/>
        <i x="17447" nd="1"/>
        <i x="17448" nd="1"/>
        <i x="17449" nd="1"/>
        <i x="17450" nd="1"/>
        <i x="17451" nd="1"/>
        <i x="17452" nd="1"/>
        <i x="17453" nd="1"/>
        <i x="17454" nd="1"/>
        <i x="17455" nd="1"/>
        <i x="17456" nd="1"/>
        <i x="17457" nd="1"/>
        <i x="17458" nd="1"/>
        <i x="17459" nd="1"/>
        <i x="17460" nd="1"/>
        <i x="17461" nd="1"/>
        <i x="17462" nd="1"/>
        <i x="17463" nd="1"/>
        <i x="17464" nd="1"/>
        <i x="17465" nd="1"/>
        <i x="17466" nd="1"/>
        <i x="17467" nd="1"/>
        <i x="17468" nd="1"/>
        <i x="17469" nd="1"/>
        <i x="17470" nd="1"/>
        <i x="17471" nd="1"/>
        <i x="17472" nd="1"/>
        <i x="17473" nd="1"/>
        <i x="17474" nd="1"/>
        <i x="17475" nd="1"/>
        <i x="17476" nd="1"/>
        <i x="17477" nd="1"/>
        <i x="17478" nd="1"/>
        <i x="17479" nd="1"/>
        <i x="17480" nd="1"/>
        <i x="17481" nd="1"/>
        <i x="17482" nd="1"/>
        <i x="17483" nd="1"/>
        <i x="17484" nd="1"/>
        <i x="17485" nd="1"/>
        <i x="17486" nd="1"/>
        <i x="17487" nd="1"/>
        <i x="17488" nd="1"/>
        <i x="17489" nd="1"/>
        <i x="17490" nd="1"/>
        <i x="17491" nd="1"/>
        <i x="17492" nd="1"/>
        <i x="17493" nd="1"/>
        <i x="17494" nd="1"/>
        <i x="17495" nd="1"/>
        <i x="17496" nd="1"/>
        <i x="17497" nd="1"/>
        <i x="17498" nd="1"/>
        <i x="17499" nd="1"/>
        <i x="17500" nd="1"/>
        <i x="17501" nd="1"/>
        <i x="17502" nd="1"/>
        <i x="17503" nd="1"/>
        <i x="17504" nd="1"/>
        <i x="17505" nd="1"/>
        <i x="17506" nd="1"/>
        <i x="17507" nd="1"/>
        <i x="17508" nd="1"/>
        <i x="17509" nd="1"/>
        <i x="17510" nd="1"/>
        <i x="17511" nd="1"/>
        <i x="17512" nd="1"/>
        <i x="17513" nd="1"/>
        <i x="17514" nd="1"/>
        <i x="17515" nd="1"/>
        <i x="17516" nd="1"/>
        <i x="17517" nd="1"/>
        <i x="17518" nd="1"/>
        <i x="17519" nd="1"/>
        <i x="17520" nd="1"/>
        <i x="17521" nd="1"/>
        <i x="17522" nd="1"/>
        <i x="17523" nd="1"/>
        <i x="17524" nd="1"/>
        <i x="17525" nd="1"/>
        <i x="17526" nd="1"/>
        <i x="17527" nd="1"/>
        <i x="17528" nd="1"/>
        <i x="17529" nd="1"/>
        <i x="17530" nd="1"/>
        <i x="17531" nd="1"/>
        <i x="17532" nd="1"/>
        <i x="17533" nd="1"/>
        <i x="17534" nd="1"/>
        <i x="17535" nd="1"/>
        <i x="17536" nd="1"/>
        <i x="17537" nd="1"/>
        <i x="17538" nd="1"/>
        <i x="17539" nd="1"/>
        <i x="17540" nd="1"/>
        <i x="17541" nd="1"/>
        <i x="17542" nd="1"/>
        <i x="17543" nd="1"/>
        <i x="17544" nd="1"/>
        <i x="17545" nd="1"/>
        <i x="17546" nd="1"/>
        <i x="17547" nd="1"/>
        <i x="17548" nd="1"/>
        <i x="17549" nd="1"/>
        <i x="17550" nd="1"/>
        <i x="17551" nd="1"/>
        <i x="17552" nd="1"/>
        <i x="17553" nd="1"/>
        <i x="17554" nd="1"/>
        <i x="17555" nd="1"/>
        <i x="17556" nd="1"/>
        <i x="17557" nd="1"/>
        <i x="17558" nd="1"/>
        <i x="17559" nd="1"/>
        <i x="17560" nd="1"/>
        <i x="17561" nd="1"/>
        <i x="17562" nd="1"/>
        <i x="17563" nd="1"/>
        <i x="17564" nd="1"/>
        <i x="17565" nd="1"/>
        <i x="17566" nd="1"/>
        <i x="17567" nd="1"/>
        <i x="17568" nd="1"/>
        <i x="17569" nd="1"/>
        <i x="17570" nd="1"/>
        <i x="17571" nd="1"/>
        <i x="17572" nd="1"/>
        <i x="17573" nd="1"/>
        <i x="17574" nd="1"/>
        <i x="17575" nd="1"/>
        <i x="17576" nd="1"/>
        <i x="17577" nd="1"/>
        <i x="17578" nd="1"/>
        <i x="17579" nd="1"/>
        <i x="17580" nd="1"/>
        <i x="17581" nd="1"/>
        <i x="17582" nd="1"/>
        <i x="17583" nd="1"/>
        <i x="17584" nd="1"/>
        <i x="17585" nd="1"/>
        <i x="17586" nd="1"/>
        <i x="17587" nd="1"/>
        <i x="17588" nd="1"/>
        <i x="17589" nd="1"/>
        <i x="17590" nd="1"/>
        <i x="17591" nd="1"/>
        <i x="17592" nd="1"/>
        <i x="17593" nd="1"/>
        <i x="17594" nd="1"/>
        <i x="17595" nd="1"/>
        <i x="17596" nd="1"/>
        <i x="17597" nd="1"/>
        <i x="17598" nd="1"/>
        <i x="17599" nd="1"/>
        <i x="17600" nd="1"/>
        <i x="17601" nd="1"/>
        <i x="17602" nd="1"/>
        <i x="17603" nd="1"/>
        <i x="17604" nd="1"/>
        <i x="17605" nd="1"/>
        <i x="17606" nd="1"/>
        <i x="17607" nd="1"/>
        <i x="17608" nd="1"/>
        <i x="17609" nd="1"/>
        <i x="17610" nd="1"/>
        <i x="17611" nd="1"/>
        <i x="17612" nd="1"/>
        <i x="17613" nd="1"/>
        <i x="17614" nd="1"/>
        <i x="17615" nd="1"/>
        <i x="17616" nd="1"/>
        <i x="17617" nd="1"/>
        <i x="17618" nd="1"/>
        <i x="17619" nd="1"/>
        <i x="17620" nd="1"/>
        <i x="17621" nd="1"/>
        <i x="17622" nd="1"/>
        <i x="17623" nd="1"/>
        <i x="17624" nd="1"/>
        <i x="17625" nd="1"/>
        <i x="17626" nd="1"/>
        <i x="17627" nd="1"/>
        <i x="17628" nd="1"/>
        <i x="17629" nd="1"/>
        <i x="17630" nd="1"/>
        <i x="17631" nd="1"/>
        <i x="17632" nd="1"/>
        <i x="17633" nd="1"/>
        <i x="17634" nd="1"/>
        <i x="17635" nd="1"/>
        <i x="17636" nd="1"/>
        <i x="17637" nd="1"/>
        <i x="17638" nd="1"/>
        <i x="17639" nd="1"/>
        <i x="17640" nd="1"/>
        <i x="17641" nd="1"/>
        <i x="17642" nd="1"/>
        <i x="17643" nd="1"/>
        <i x="17644" nd="1"/>
        <i x="17645" nd="1"/>
        <i x="17646" nd="1"/>
        <i x="17647" nd="1"/>
        <i x="17648" nd="1"/>
        <i x="17649" nd="1"/>
        <i x="17650" nd="1"/>
        <i x="17651" nd="1"/>
        <i x="17652" nd="1"/>
        <i x="17653" nd="1"/>
        <i x="17654" nd="1"/>
        <i x="17655" nd="1"/>
        <i x="17656" nd="1"/>
        <i x="17657" nd="1"/>
        <i x="17658" nd="1"/>
        <i x="17659" nd="1"/>
        <i x="17660" nd="1"/>
        <i x="17661" nd="1"/>
        <i x="17662" nd="1"/>
        <i x="17663" nd="1"/>
        <i x="17664" nd="1"/>
        <i x="17665" nd="1"/>
        <i x="17666" nd="1"/>
        <i x="17667" nd="1"/>
        <i x="17668" nd="1"/>
        <i x="17669" nd="1"/>
        <i x="17670" nd="1"/>
        <i x="17671" nd="1"/>
        <i x="17672" nd="1"/>
        <i x="17673" nd="1"/>
        <i x="17674" nd="1"/>
        <i x="17675" nd="1"/>
        <i x="17676" nd="1"/>
        <i x="17677" nd="1"/>
        <i x="17678" nd="1"/>
        <i x="17679" nd="1"/>
        <i x="17680" nd="1"/>
        <i x="17681" nd="1"/>
        <i x="17682" nd="1"/>
        <i x="17683" nd="1"/>
        <i x="17684" nd="1"/>
        <i x="17685" nd="1"/>
        <i x="17686" nd="1"/>
        <i x="17687" nd="1"/>
        <i x="17688" nd="1"/>
        <i x="17689" nd="1"/>
        <i x="17690" nd="1"/>
        <i x="17691" nd="1"/>
        <i x="17692" nd="1"/>
        <i x="17693" nd="1"/>
        <i x="17694" nd="1"/>
        <i x="17695" nd="1"/>
        <i x="17696" nd="1"/>
        <i x="17697" nd="1"/>
        <i x="17698" nd="1"/>
        <i x="17699" nd="1"/>
        <i x="17700" nd="1"/>
        <i x="17701" nd="1"/>
        <i x="17702" nd="1"/>
        <i x="17703" nd="1"/>
        <i x="17704" nd="1"/>
        <i x="17705" nd="1"/>
        <i x="17706" nd="1"/>
        <i x="17707" nd="1"/>
        <i x="17708" nd="1"/>
        <i x="17709" nd="1"/>
        <i x="17710" nd="1"/>
        <i x="17711" nd="1"/>
        <i x="17712" nd="1"/>
        <i x="17713" nd="1"/>
        <i x="17714" nd="1"/>
        <i x="17715" nd="1"/>
        <i x="17716" nd="1"/>
        <i x="17717" nd="1"/>
        <i x="17718" nd="1"/>
        <i x="17719" nd="1"/>
        <i x="17720" nd="1"/>
        <i x="17721" nd="1"/>
        <i x="17722" nd="1"/>
        <i x="17723" nd="1"/>
        <i x="17724" nd="1"/>
        <i x="17725" nd="1"/>
        <i x="17726" nd="1"/>
        <i x="17727" nd="1"/>
        <i x="17728" nd="1"/>
        <i x="17729" nd="1"/>
        <i x="17730" nd="1"/>
        <i x="17731" nd="1"/>
        <i x="17732" nd="1"/>
        <i x="17733" nd="1"/>
        <i x="17734" nd="1"/>
        <i x="17735" nd="1"/>
        <i x="17736" nd="1"/>
        <i x="17737" nd="1"/>
        <i x="17738" nd="1"/>
        <i x="17739" nd="1"/>
        <i x="17740" nd="1"/>
        <i x="17741" nd="1"/>
        <i x="17742" nd="1"/>
        <i x="17743" nd="1"/>
        <i x="17744" nd="1"/>
        <i x="17745" nd="1"/>
        <i x="17746" nd="1"/>
        <i x="17747" nd="1"/>
        <i x="17748" nd="1"/>
        <i x="17749" nd="1"/>
        <i x="17750" nd="1"/>
        <i x="17751" nd="1"/>
        <i x="17752" nd="1"/>
        <i x="17753" nd="1"/>
        <i x="17754" nd="1"/>
        <i x="17755" nd="1"/>
        <i x="17756" nd="1"/>
        <i x="17757" nd="1"/>
        <i x="17758" nd="1"/>
        <i x="17759" nd="1"/>
        <i x="17760" nd="1"/>
        <i x="17761" nd="1"/>
        <i x="17762" nd="1"/>
        <i x="17763" nd="1"/>
        <i x="17764" nd="1"/>
        <i x="17765" nd="1"/>
        <i x="17766" nd="1"/>
        <i x="17767" nd="1"/>
        <i x="17768" nd="1"/>
        <i x="17769" nd="1"/>
        <i x="17770" nd="1"/>
        <i x="17771" nd="1"/>
        <i x="17772" nd="1"/>
        <i x="17773" nd="1"/>
        <i x="17774" nd="1"/>
        <i x="17775" nd="1"/>
        <i x="17776" nd="1"/>
        <i x="17777" nd="1"/>
        <i x="17778" nd="1"/>
        <i x="17779" nd="1"/>
        <i x="17780" nd="1"/>
        <i x="17781" nd="1"/>
        <i x="17782" nd="1"/>
        <i x="17783" nd="1"/>
        <i x="17784" nd="1"/>
        <i x="17785" nd="1"/>
        <i x="17786" nd="1"/>
        <i x="17787" nd="1"/>
        <i x="17788" nd="1"/>
        <i x="17789" nd="1"/>
        <i x="17790" nd="1"/>
        <i x="17791" nd="1"/>
        <i x="17792" nd="1"/>
        <i x="17793" nd="1"/>
        <i x="17794" nd="1"/>
        <i x="17795" nd="1"/>
        <i x="17796" nd="1"/>
        <i x="17797" nd="1"/>
        <i x="17798" nd="1"/>
        <i x="17799" nd="1"/>
        <i x="17800" nd="1"/>
        <i x="17801" nd="1"/>
        <i x="17802" nd="1"/>
        <i x="17803" nd="1"/>
        <i x="17804" nd="1"/>
        <i x="17805" nd="1"/>
        <i x="17806" nd="1"/>
        <i x="17807" nd="1"/>
        <i x="17808" nd="1"/>
        <i x="17809" nd="1"/>
        <i x="17810" nd="1"/>
        <i x="17811" nd="1"/>
        <i x="17812" nd="1"/>
        <i x="17813" nd="1"/>
        <i x="17814" nd="1"/>
        <i x="17815" nd="1"/>
        <i x="17816" nd="1"/>
        <i x="17817" nd="1"/>
        <i x="17818" nd="1"/>
        <i x="17819" nd="1"/>
        <i x="17820" nd="1"/>
        <i x="17821" nd="1"/>
        <i x="17822" nd="1"/>
        <i x="17823" nd="1"/>
        <i x="17824" nd="1"/>
        <i x="17825" nd="1"/>
        <i x="17826" nd="1"/>
        <i x="17827" nd="1"/>
        <i x="17828" nd="1"/>
        <i x="17829" nd="1"/>
        <i x="17830" nd="1"/>
        <i x="17831" nd="1"/>
        <i x="17832" nd="1"/>
        <i x="17833" nd="1"/>
        <i x="17834" nd="1"/>
        <i x="17835" nd="1"/>
        <i x="17836" nd="1"/>
        <i x="17837" nd="1"/>
        <i x="17838" nd="1"/>
        <i x="17839" nd="1"/>
        <i x="17840" nd="1"/>
        <i x="17841" nd="1"/>
        <i x="17842" nd="1"/>
        <i x="17843" nd="1"/>
        <i x="17844" nd="1"/>
        <i x="17845" nd="1"/>
        <i x="17846" nd="1"/>
        <i x="17847" nd="1"/>
        <i x="17848" nd="1"/>
        <i x="17849" nd="1"/>
        <i x="17850" nd="1"/>
        <i x="17851" nd="1"/>
        <i x="17852" nd="1"/>
        <i x="17853" nd="1"/>
        <i x="17854" nd="1"/>
        <i x="17855" nd="1"/>
        <i x="17856" nd="1"/>
        <i x="17857" nd="1"/>
        <i x="17858" nd="1"/>
        <i x="17859" nd="1"/>
        <i x="17860" nd="1"/>
        <i x="17861" nd="1"/>
        <i x="17862" nd="1"/>
        <i x="17863" nd="1"/>
        <i x="17864" nd="1"/>
        <i x="17865" nd="1"/>
        <i x="17866" nd="1"/>
        <i x="17867" nd="1"/>
        <i x="17868" nd="1"/>
        <i x="17869" nd="1"/>
        <i x="17870" nd="1"/>
        <i x="17871" nd="1"/>
        <i x="17872" nd="1"/>
        <i x="17873" nd="1"/>
        <i x="17874" nd="1"/>
        <i x="17875" nd="1"/>
        <i x="17876" nd="1"/>
        <i x="17877" nd="1"/>
        <i x="17878" nd="1"/>
        <i x="17879" nd="1"/>
        <i x="17880" nd="1"/>
        <i x="17881" nd="1"/>
        <i x="17882" nd="1"/>
        <i x="17883" nd="1"/>
        <i x="17884" nd="1"/>
        <i x="17885" nd="1"/>
        <i x="17886" nd="1"/>
        <i x="17887" nd="1"/>
        <i x="17888" nd="1"/>
        <i x="17889" nd="1"/>
        <i x="17890" nd="1"/>
        <i x="17891" nd="1"/>
        <i x="17892" nd="1"/>
        <i x="17893" nd="1"/>
        <i x="17894" nd="1"/>
        <i x="17895" nd="1"/>
        <i x="17896" nd="1"/>
        <i x="17897" nd="1"/>
        <i x="17898" nd="1"/>
        <i x="17899" nd="1"/>
        <i x="17900" nd="1"/>
        <i x="17901" nd="1"/>
        <i x="17902" nd="1"/>
        <i x="17903" nd="1"/>
        <i x="17904" nd="1"/>
        <i x="17905" nd="1"/>
        <i x="17906" nd="1"/>
        <i x="17907" nd="1"/>
        <i x="17908" nd="1"/>
        <i x="17909" nd="1"/>
        <i x="17910" nd="1"/>
        <i x="17911" nd="1"/>
        <i x="17912" nd="1"/>
        <i x="17913" nd="1"/>
        <i x="17914" nd="1"/>
        <i x="17915" nd="1"/>
        <i x="17916" nd="1"/>
        <i x="17917" nd="1"/>
        <i x="17918" nd="1"/>
        <i x="17919" nd="1"/>
        <i x="17920" nd="1"/>
        <i x="17921" nd="1"/>
        <i x="17922" nd="1"/>
        <i x="17923" nd="1"/>
        <i x="17924" nd="1"/>
        <i x="17925" nd="1"/>
        <i x="17926" nd="1"/>
        <i x="17927" nd="1"/>
        <i x="17928" nd="1"/>
        <i x="17929" nd="1"/>
        <i x="17930" nd="1"/>
        <i x="17931" nd="1"/>
        <i x="17932" nd="1"/>
        <i x="17933" nd="1"/>
        <i x="17934" nd="1"/>
        <i x="17935" nd="1"/>
        <i x="17936" nd="1"/>
        <i x="17937" nd="1"/>
        <i x="17938" nd="1"/>
        <i x="17939" nd="1"/>
        <i x="17940" nd="1"/>
        <i x="17941" nd="1"/>
        <i x="17942" nd="1"/>
        <i x="17943" nd="1"/>
        <i x="17944" nd="1"/>
        <i x="17945" nd="1"/>
        <i x="17946" nd="1"/>
        <i x="17947" nd="1"/>
        <i x="17948" nd="1"/>
        <i x="17949" nd="1"/>
        <i x="17950" nd="1"/>
        <i x="17951" nd="1"/>
        <i x="17952" nd="1"/>
        <i x="17953" nd="1"/>
        <i x="17954" nd="1"/>
        <i x="17955" nd="1"/>
        <i x="17956" nd="1"/>
        <i x="17957" nd="1"/>
        <i x="17958" nd="1"/>
        <i x="17959" nd="1"/>
        <i x="17960" nd="1"/>
        <i x="17961" nd="1"/>
        <i x="17962" nd="1"/>
        <i x="17963" nd="1"/>
        <i x="17964" nd="1"/>
        <i x="17965" nd="1"/>
        <i x="17966" nd="1"/>
        <i x="17967" nd="1"/>
        <i x="17968" nd="1"/>
        <i x="17969" nd="1"/>
        <i x="17970" nd="1"/>
        <i x="17971" nd="1"/>
        <i x="17972" nd="1"/>
        <i x="17973" nd="1"/>
        <i x="17974" nd="1"/>
        <i x="17975" nd="1"/>
        <i x="17976" nd="1"/>
        <i x="17977" nd="1"/>
        <i x="17978" nd="1"/>
        <i x="17979" nd="1"/>
        <i x="17980" nd="1"/>
        <i x="17981" nd="1"/>
        <i x="17982" nd="1"/>
        <i x="17983" nd="1"/>
        <i x="17984" nd="1"/>
        <i x="17985" nd="1"/>
        <i x="17986" nd="1"/>
        <i x="17987" nd="1"/>
        <i x="17988" nd="1"/>
        <i x="17989" nd="1"/>
        <i x="17990" nd="1"/>
        <i x="17991" nd="1"/>
        <i x="17992" nd="1"/>
        <i x="17993" nd="1"/>
        <i x="17994" nd="1"/>
        <i x="17995" nd="1"/>
        <i x="17996" nd="1"/>
        <i x="17997" nd="1"/>
        <i x="17998" nd="1"/>
        <i x="17999" nd="1"/>
        <i x="18000" nd="1"/>
        <i x="18001" nd="1"/>
        <i x="18002" nd="1"/>
        <i x="18003" nd="1"/>
        <i x="18004" nd="1"/>
        <i x="18005" nd="1"/>
        <i x="18006" nd="1"/>
        <i x="18007" nd="1"/>
        <i x="18008" nd="1"/>
        <i x="18009" nd="1"/>
        <i x="18010" nd="1"/>
        <i x="18011" nd="1"/>
        <i x="18012" nd="1"/>
        <i x="18013" nd="1"/>
        <i x="18014" nd="1"/>
        <i x="18015" nd="1"/>
        <i x="18016" nd="1"/>
        <i x="18017" nd="1"/>
        <i x="18018" nd="1"/>
        <i x="18019" nd="1"/>
        <i x="18020" nd="1"/>
        <i x="18021" nd="1"/>
        <i x="18022" nd="1"/>
        <i x="18023" nd="1"/>
        <i x="18024" nd="1"/>
        <i x="18025" nd="1"/>
        <i x="18026" nd="1"/>
        <i x="18027" nd="1"/>
        <i x="18028" nd="1"/>
        <i x="18029" nd="1"/>
        <i x="18030" nd="1"/>
        <i x="18031" nd="1"/>
        <i x="18032" nd="1"/>
        <i x="18033" nd="1"/>
        <i x="18034" nd="1"/>
        <i x="18035" nd="1"/>
        <i x="18036" nd="1"/>
        <i x="18037" nd="1"/>
        <i x="18038" nd="1"/>
        <i x="18039" nd="1"/>
        <i x="18040" nd="1"/>
        <i x="18041" nd="1"/>
        <i x="18042" nd="1"/>
        <i x="18043" nd="1"/>
        <i x="18044" nd="1"/>
        <i x="18045" nd="1"/>
        <i x="18046" nd="1"/>
        <i x="18047" nd="1"/>
        <i x="18048" nd="1"/>
        <i x="18049" nd="1"/>
        <i x="18050" nd="1"/>
        <i x="18051" nd="1"/>
        <i x="18052" nd="1"/>
        <i x="18053" nd="1"/>
        <i x="18054" nd="1"/>
        <i x="18055" nd="1"/>
        <i x="18056" nd="1"/>
        <i x="18057" nd="1"/>
        <i x="18058" nd="1"/>
        <i x="18059" nd="1"/>
        <i x="18060" nd="1"/>
        <i x="18061" nd="1"/>
        <i x="18062" nd="1"/>
        <i x="18063" nd="1"/>
        <i x="18064" nd="1"/>
        <i x="18065" nd="1"/>
        <i x="18066" nd="1"/>
        <i x="18067" nd="1"/>
        <i x="18068" nd="1"/>
        <i x="18069" nd="1"/>
        <i x="18070" nd="1"/>
        <i x="18071" nd="1"/>
        <i x="18072" nd="1"/>
        <i x="18073" nd="1"/>
        <i x="18074" nd="1"/>
        <i x="18075" nd="1"/>
        <i x="18076" nd="1"/>
        <i x="18077" nd="1"/>
        <i x="18078" nd="1"/>
        <i x="18079" nd="1"/>
        <i x="18080" nd="1"/>
        <i x="18081" nd="1"/>
        <i x="18082" nd="1"/>
        <i x="18083" nd="1"/>
        <i x="18084" nd="1"/>
        <i x="18085" nd="1"/>
        <i x="18086" nd="1"/>
        <i x="18087" nd="1"/>
        <i x="18088" nd="1"/>
        <i x="18089" nd="1"/>
        <i x="18090" nd="1"/>
        <i x="18091" nd="1"/>
        <i x="18092" nd="1"/>
        <i x="18093" nd="1"/>
        <i x="18094" nd="1"/>
        <i x="18095" nd="1"/>
        <i x="18096" nd="1"/>
        <i x="18097" nd="1"/>
        <i x="18098" nd="1"/>
        <i x="18099" nd="1"/>
        <i x="18100" nd="1"/>
        <i x="18101" nd="1"/>
        <i x="18102" nd="1"/>
        <i x="18103" nd="1"/>
        <i x="18104" nd="1"/>
        <i x="18105" nd="1"/>
        <i x="18106" nd="1"/>
        <i x="18107" nd="1"/>
        <i x="18108" nd="1"/>
        <i x="18109" nd="1"/>
        <i x="18110" nd="1"/>
        <i x="18111" nd="1"/>
        <i x="18112" nd="1"/>
        <i x="18113" nd="1"/>
        <i x="18114" nd="1"/>
        <i x="18115" nd="1"/>
        <i x="18116" nd="1"/>
        <i x="18117" nd="1"/>
        <i x="18118" nd="1"/>
        <i x="18119" nd="1"/>
        <i x="18120" nd="1"/>
        <i x="18121" nd="1"/>
        <i x="18122" nd="1"/>
        <i x="18123" nd="1"/>
        <i x="18124" nd="1"/>
        <i x="18125" nd="1"/>
        <i x="18126" nd="1"/>
        <i x="18127" nd="1"/>
        <i x="18128" nd="1"/>
        <i x="18129" nd="1"/>
        <i x="18130" nd="1"/>
        <i x="18131" nd="1"/>
        <i x="18132" nd="1"/>
        <i x="18133" nd="1"/>
        <i x="18134" nd="1"/>
        <i x="18135" nd="1"/>
        <i x="18136" nd="1"/>
        <i x="18137" nd="1"/>
        <i x="18138" nd="1"/>
        <i x="18139" nd="1"/>
        <i x="18140" nd="1"/>
        <i x="18141" nd="1"/>
        <i x="18142" nd="1"/>
        <i x="18143" nd="1"/>
        <i x="18144" nd="1"/>
        <i x="18145" nd="1"/>
        <i x="18146" nd="1"/>
        <i x="18147" nd="1"/>
        <i x="18148" nd="1"/>
        <i x="18149" nd="1"/>
        <i x="18150" nd="1"/>
        <i x="18151" nd="1"/>
        <i x="18152" nd="1"/>
        <i x="18153" nd="1"/>
        <i x="18154" nd="1"/>
        <i x="18155" nd="1"/>
        <i x="18156" nd="1"/>
        <i x="18157" nd="1"/>
        <i x="18158" nd="1"/>
        <i x="18159" nd="1"/>
        <i x="18160" nd="1"/>
        <i x="18161" nd="1"/>
        <i x="18162" nd="1"/>
        <i x="18163" nd="1"/>
        <i x="18164" nd="1"/>
        <i x="18165" nd="1"/>
        <i x="18166" nd="1"/>
        <i x="18167" nd="1"/>
        <i x="18168" nd="1"/>
        <i x="18169" nd="1"/>
        <i x="18170" nd="1"/>
        <i x="18171" nd="1"/>
        <i x="18172" nd="1"/>
        <i x="18173" nd="1"/>
        <i x="18174" nd="1"/>
        <i x="18175" nd="1"/>
        <i x="18176" nd="1"/>
        <i x="18177" nd="1"/>
        <i x="18178" nd="1"/>
        <i x="18179" nd="1"/>
        <i x="18180" nd="1"/>
        <i x="18181" nd="1"/>
        <i x="18182" nd="1"/>
        <i x="18183" nd="1"/>
        <i x="18184" nd="1"/>
        <i x="18185" nd="1"/>
        <i x="18186" nd="1"/>
        <i x="18187" nd="1"/>
        <i x="18188" nd="1"/>
        <i x="18189" nd="1"/>
        <i x="18190" nd="1"/>
        <i x="18191" nd="1"/>
        <i x="18192" nd="1"/>
        <i x="18193" nd="1"/>
        <i x="18194" nd="1"/>
        <i x="18195" nd="1"/>
        <i x="18196" nd="1"/>
        <i x="18197" nd="1"/>
        <i x="18198" nd="1"/>
        <i x="18199" nd="1"/>
        <i x="18200" nd="1"/>
        <i x="18201" nd="1"/>
        <i x="18202" nd="1"/>
        <i x="18203" nd="1"/>
        <i x="18204" nd="1"/>
        <i x="18205" nd="1"/>
        <i x="18206" nd="1"/>
        <i x="18207" nd="1"/>
        <i x="18208" nd="1"/>
        <i x="18209" nd="1"/>
        <i x="18210" nd="1"/>
        <i x="18211" nd="1"/>
        <i x="18212" nd="1"/>
        <i x="18213" nd="1"/>
        <i x="18214" nd="1"/>
        <i x="18215" nd="1"/>
        <i x="18216" nd="1"/>
        <i x="18217" nd="1"/>
        <i x="18218" nd="1"/>
        <i x="18219" nd="1"/>
        <i x="18220" nd="1"/>
        <i x="18221" nd="1"/>
        <i x="18222" nd="1"/>
        <i x="18223" nd="1"/>
        <i x="18224" nd="1"/>
        <i x="18225" nd="1"/>
        <i x="18226" nd="1"/>
        <i x="18227" nd="1"/>
        <i x="18228" nd="1"/>
        <i x="18229" nd="1"/>
        <i x="18230" nd="1"/>
        <i x="18231" nd="1"/>
        <i x="18232" nd="1"/>
        <i x="18233" nd="1"/>
        <i x="18234" nd="1"/>
        <i x="18235" nd="1"/>
        <i x="18236" nd="1"/>
        <i x="18237" nd="1"/>
        <i x="18238" nd="1"/>
        <i x="18239" nd="1"/>
        <i x="18240" nd="1"/>
        <i x="18241" nd="1"/>
        <i x="18242" nd="1"/>
        <i x="18243" nd="1"/>
        <i x="18244" nd="1"/>
        <i x="18245" nd="1"/>
        <i x="18246" nd="1"/>
        <i x="18247" nd="1"/>
        <i x="18248" nd="1"/>
        <i x="18249" nd="1"/>
        <i x="18250" nd="1"/>
        <i x="18251" nd="1"/>
        <i x="18252" nd="1"/>
        <i x="18253" nd="1"/>
        <i x="18254" nd="1"/>
        <i x="18255" nd="1"/>
        <i x="18256" nd="1"/>
        <i x="18257" nd="1"/>
        <i x="18258" nd="1"/>
        <i x="18259" nd="1"/>
        <i x="18260" nd="1"/>
        <i x="18261" nd="1"/>
        <i x="18262" nd="1"/>
        <i x="18263" nd="1"/>
        <i x="18264" nd="1"/>
        <i x="18265" nd="1"/>
        <i x="18266" nd="1"/>
        <i x="18267" nd="1"/>
        <i x="18268" nd="1"/>
        <i x="18269" nd="1"/>
        <i x="18270" nd="1"/>
        <i x="18271" nd="1"/>
        <i x="18272" nd="1"/>
        <i x="18273" nd="1"/>
        <i x="18274" nd="1"/>
        <i x="18275" nd="1"/>
        <i x="18276" nd="1"/>
        <i x="18277" nd="1"/>
        <i x="18278" nd="1"/>
        <i x="18279" nd="1"/>
        <i x="18280" nd="1"/>
        <i x="18281" nd="1"/>
        <i x="18282" nd="1"/>
        <i x="18283" nd="1"/>
        <i x="18284" nd="1"/>
        <i x="18285" nd="1"/>
        <i x="18286" nd="1"/>
        <i x="18287" nd="1"/>
        <i x="18288" nd="1"/>
        <i x="18289" nd="1"/>
        <i x="18290" nd="1"/>
        <i x="18291" nd="1"/>
        <i x="18292" nd="1"/>
        <i x="18293" nd="1"/>
        <i x="18294" nd="1"/>
        <i x="18295" nd="1"/>
        <i x="18296" nd="1"/>
        <i x="18297" nd="1"/>
        <i x="18298" nd="1"/>
        <i x="18299" nd="1"/>
        <i x="18300" nd="1"/>
        <i x="18301" nd="1"/>
        <i x="18302" nd="1"/>
        <i x="18303" nd="1"/>
        <i x="18304" nd="1"/>
        <i x="18305" nd="1"/>
        <i x="18306" nd="1"/>
        <i x="18307" nd="1"/>
        <i x="18308" nd="1"/>
        <i x="18309" nd="1"/>
        <i x="18310" nd="1"/>
        <i x="18311" nd="1"/>
        <i x="18312" nd="1"/>
        <i x="18313" nd="1"/>
        <i x="18314" nd="1"/>
        <i x="18315" nd="1"/>
        <i x="18316" nd="1"/>
        <i x="18317" nd="1"/>
        <i x="18318" nd="1"/>
        <i x="18319" nd="1"/>
        <i x="18320" nd="1"/>
        <i x="18321" nd="1"/>
        <i x="18322" nd="1"/>
        <i x="18323" nd="1"/>
        <i x="18324" nd="1"/>
        <i x="18325" nd="1"/>
        <i x="18326" nd="1"/>
        <i x="18327" nd="1"/>
        <i x="18328" nd="1"/>
        <i x="18329" nd="1"/>
        <i x="18330" nd="1"/>
        <i x="18331" nd="1"/>
        <i x="18332" nd="1"/>
        <i x="18333" nd="1"/>
        <i x="18334" nd="1"/>
        <i x="18335" nd="1"/>
        <i x="18336" nd="1"/>
        <i x="18337" nd="1"/>
        <i x="18338" nd="1"/>
        <i x="18339" nd="1"/>
        <i x="18340" nd="1"/>
        <i x="18341" nd="1"/>
        <i x="18342" nd="1"/>
        <i x="18343" nd="1"/>
        <i x="18344" nd="1"/>
        <i x="18345" nd="1"/>
        <i x="18346" nd="1"/>
        <i x="18347" nd="1"/>
        <i x="18348" nd="1"/>
        <i x="18349" nd="1"/>
        <i x="18350" nd="1"/>
        <i x="18351" nd="1"/>
        <i x="18352" nd="1"/>
        <i x="18353" nd="1"/>
        <i x="18354" nd="1"/>
        <i x="18355" nd="1"/>
        <i x="18356" nd="1"/>
        <i x="18357" nd="1"/>
        <i x="18358" nd="1"/>
        <i x="18359" nd="1"/>
        <i x="18360" nd="1"/>
        <i x="18361" nd="1"/>
        <i x="18362" nd="1"/>
        <i x="18363" nd="1"/>
        <i x="18364" nd="1"/>
        <i x="18365" nd="1"/>
        <i x="18366" nd="1"/>
        <i x="18367" nd="1"/>
        <i x="18368" nd="1"/>
        <i x="18369" nd="1"/>
        <i x="18370" nd="1"/>
        <i x="18371" nd="1"/>
        <i x="18372" nd="1"/>
        <i x="18373" nd="1"/>
        <i x="18374" nd="1"/>
        <i x="18375" nd="1"/>
        <i x="18376" nd="1"/>
        <i x="18377" nd="1"/>
        <i x="18378" nd="1"/>
        <i x="18379" nd="1"/>
        <i x="18380" nd="1"/>
        <i x="18381" nd="1"/>
        <i x="18382" nd="1"/>
        <i x="18383" nd="1"/>
        <i x="18384" nd="1"/>
        <i x="18385" nd="1"/>
        <i x="18386" nd="1"/>
        <i x="18387" nd="1"/>
        <i x="18388" nd="1"/>
        <i x="18389" nd="1"/>
        <i x="18390" nd="1"/>
        <i x="18391" nd="1"/>
        <i x="18392" nd="1"/>
        <i x="18393" nd="1"/>
        <i x="18394" nd="1"/>
        <i x="18395" nd="1"/>
        <i x="18396" nd="1"/>
        <i x="18397" nd="1"/>
        <i x="18398" nd="1"/>
        <i x="18399" nd="1"/>
        <i x="18400" nd="1"/>
        <i x="18401" nd="1"/>
        <i x="18402" nd="1"/>
        <i x="18403" nd="1"/>
        <i x="18404" nd="1"/>
        <i x="18405" nd="1"/>
        <i x="18406" nd="1"/>
        <i x="18407" nd="1"/>
        <i x="18408" nd="1"/>
        <i x="18409" nd="1"/>
        <i x="18410" nd="1"/>
        <i x="18411" nd="1"/>
        <i x="18412" nd="1"/>
        <i x="18413" nd="1"/>
        <i x="18414" nd="1"/>
        <i x="18415" nd="1"/>
        <i x="18416" nd="1"/>
        <i x="18417" nd="1"/>
        <i x="18418" nd="1"/>
        <i x="18419" nd="1"/>
        <i x="18420" nd="1"/>
        <i x="18421" nd="1"/>
        <i x="18422" nd="1"/>
        <i x="18423" nd="1"/>
        <i x="18424" nd="1"/>
        <i x="18425" nd="1"/>
        <i x="18426" nd="1"/>
        <i x="18427" nd="1"/>
        <i x="18428" nd="1"/>
        <i x="18429" nd="1"/>
        <i x="18430" nd="1"/>
        <i x="18431" nd="1"/>
        <i x="18432" nd="1"/>
        <i x="18433" nd="1"/>
        <i x="18434" nd="1"/>
        <i x="18435" nd="1"/>
        <i x="18436" nd="1"/>
        <i x="18437" nd="1"/>
        <i x="18438" nd="1"/>
        <i x="18439" nd="1"/>
        <i x="18440" nd="1"/>
        <i x="18441" nd="1"/>
        <i x="18442" nd="1"/>
        <i x="18443" nd="1"/>
        <i x="18444" nd="1"/>
        <i x="18445" nd="1"/>
        <i x="18446" nd="1"/>
        <i x="18447" nd="1"/>
        <i x="18448" nd="1"/>
        <i x="18449" nd="1"/>
        <i x="18450" nd="1"/>
        <i x="18451" nd="1"/>
        <i x="18452" nd="1"/>
        <i x="18453" nd="1"/>
        <i x="18454" nd="1"/>
        <i x="18455" nd="1"/>
        <i x="18456" nd="1"/>
        <i x="18457" nd="1"/>
        <i x="18458" nd="1"/>
        <i x="18459" nd="1"/>
        <i x="18460" nd="1"/>
        <i x="18461" nd="1"/>
        <i x="18462" nd="1"/>
        <i x="18463" nd="1"/>
        <i x="18464" nd="1"/>
        <i x="18465" nd="1"/>
        <i x="18466" nd="1"/>
        <i x="18467" nd="1"/>
        <i x="18468" nd="1"/>
        <i x="18469" nd="1"/>
        <i x="18470" nd="1"/>
        <i x="18471" nd="1"/>
        <i x="18472" nd="1"/>
        <i x="18473" nd="1"/>
        <i x="18474" nd="1"/>
        <i x="18475" nd="1"/>
        <i x="18476" nd="1"/>
        <i x="18477" nd="1"/>
        <i x="18478" nd="1"/>
        <i x="18479" nd="1"/>
        <i x="18480" nd="1"/>
        <i x="18481" nd="1"/>
        <i x="18482" nd="1"/>
        <i x="18483" nd="1"/>
        <i x="18484" nd="1"/>
        <i x="18485" nd="1"/>
        <i x="18486" nd="1"/>
        <i x="18487" nd="1"/>
        <i x="18488" nd="1"/>
        <i x="18489" nd="1"/>
        <i x="18490" nd="1"/>
        <i x="18491" nd="1"/>
        <i x="18492" nd="1"/>
        <i x="18493" nd="1"/>
        <i x="18494" nd="1"/>
        <i x="18495" nd="1"/>
        <i x="18496" nd="1"/>
        <i x="18497" nd="1"/>
        <i x="18498" nd="1"/>
        <i x="18499" nd="1"/>
        <i x="18500" nd="1"/>
        <i x="18501" nd="1"/>
        <i x="18502" nd="1"/>
        <i x="18503" nd="1"/>
        <i x="18504" nd="1"/>
        <i x="18505" nd="1"/>
        <i x="18506" nd="1"/>
        <i x="18507" nd="1"/>
        <i x="18508" nd="1"/>
        <i x="18509" nd="1"/>
        <i x="18510" nd="1"/>
        <i x="18511" nd="1"/>
        <i x="18512" nd="1"/>
        <i x="18513" nd="1"/>
        <i x="18514" nd="1"/>
        <i x="18515" nd="1"/>
        <i x="18516" nd="1"/>
        <i x="18517" nd="1"/>
        <i x="18518" nd="1"/>
        <i x="18519" nd="1"/>
        <i x="18520" nd="1"/>
        <i x="18521" nd="1"/>
        <i x="18522" nd="1"/>
        <i x="18523" nd="1"/>
        <i x="18524" nd="1"/>
        <i x="18525" nd="1"/>
        <i x="18526" nd="1"/>
        <i x="18527" nd="1"/>
        <i x="18528" nd="1"/>
        <i x="18529" nd="1"/>
        <i x="18530" nd="1"/>
        <i x="18531" nd="1"/>
        <i x="18532" nd="1"/>
        <i x="18533" nd="1"/>
        <i x="18534" nd="1"/>
        <i x="18535" nd="1"/>
        <i x="18536" nd="1"/>
        <i x="18537" nd="1"/>
        <i x="18538" nd="1"/>
        <i x="18539" nd="1"/>
        <i x="18540" nd="1"/>
        <i x="18541" nd="1"/>
        <i x="18542" nd="1"/>
        <i x="18543" nd="1"/>
        <i x="18544" nd="1"/>
        <i x="18545" nd="1"/>
        <i x="18546" nd="1"/>
        <i x="18547" nd="1"/>
        <i x="18548" nd="1"/>
        <i x="18549" nd="1"/>
        <i x="18550" nd="1"/>
        <i x="18551" nd="1"/>
        <i x="18552" nd="1"/>
        <i x="18553" nd="1"/>
        <i x="18554" nd="1"/>
        <i x="18555" nd="1"/>
        <i x="18556" nd="1"/>
        <i x="18557" nd="1"/>
        <i x="18558" nd="1"/>
        <i x="18559" nd="1"/>
        <i x="18560" nd="1"/>
        <i x="18561" nd="1"/>
        <i x="18562" nd="1"/>
        <i x="18563" nd="1"/>
        <i x="18564" nd="1"/>
        <i x="18565" nd="1"/>
        <i x="18566" nd="1"/>
        <i x="18567" nd="1"/>
        <i x="18568" nd="1"/>
        <i x="18569" nd="1"/>
        <i x="18570" nd="1"/>
        <i x="18571" nd="1"/>
        <i x="18572" nd="1"/>
        <i x="18573" nd="1"/>
        <i x="18574" nd="1"/>
        <i x="18575" nd="1"/>
        <i x="18576" nd="1"/>
        <i x="18577" nd="1"/>
        <i x="18578" nd="1"/>
        <i x="18579" nd="1"/>
        <i x="18580" nd="1"/>
        <i x="18581" nd="1"/>
        <i x="18582" nd="1"/>
        <i x="18583" nd="1"/>
        <i x="18584" nd="1"/>
        <i x="18585" nd="1"/>
        <i x="18586" nd="1"/>
        <i x="18587" nd="1"/>
        <i x="18588" nd="1"/>
        <i x="18589" nd="1"/>
        <i x="18590" nd="1"/>
        <i x="18591" nd="1"/>
        <i x="18592" nd="1"/>
        <i x="18593" nd="1"/>
        <i x="18594" nd="1"/>
        <i x="18595" nd="1"/>
        <i x="18596" nd="1"/>
        <i x="18597" nd="1"/>
        <i x="18598" nd="1"/>
        <i x="18599" nd="1"/>
        <i x="18600" nd="1"/>
        <i x="18601" nd="1"/>
        <i x="18602" nd="1"/>
        <i x="18603" nd="1"/>
        <i x="18604" nd="1"/>
        <i x="18605" nd="1"/>
        <i x="18606" nd="1"/>
        <i x="18607" nd="1"/>
        <i x="18608" nd="1"/>
        <i x="18609" nd="1"/>
        <i x="18610" nd="1"/>
        <i x="18611" nd="1"/>
        <i x="18612" nd="1"/>
        <i x="18613" nd="1"/>
        <i x="18614" nd="1"/>
        <i x="18615" nd="1"/>
        <i x="18616" nd="1"/>
        <i x="18617" nd="1"/>
        <i x="18618" nd="1"/>
        <i x="18619" nd="1"/>
        <i x="18620" nd="1"/>
        <i x="18621" nd="1"/>
        <i x="18622" nd="1"/>
        <i x="18623" nd="1"/>
        <i x="18624" nd="1"/>
        <i x="18625" nd="1"/>
        <i x="18626" nd="1"/>
        <i x="18627" nd="1"/>
        <i x="18628" nd="1"/>
        <i x="18629" nd="1"/>
        <i x="18630" nd="1"/>
        <i x="18631" nd="1"/>
        <i x="18632" nd="1"/>
        <i x="18633" nd="1"/>
        <i x="18634" nd="1"/>
        <i x="18635" nd="1"/>
        <i x="18636" nd="1"/>
        <i x="18637" nd="1"/>
        <i x="18638" nd="1"/>
        <i x="18639" nd="1"/>
        <i x="18640" nd="1"/>
        <i x="18641" nd="1"/>
        <i x="18642" nd="1"/>
        <i x="18643" nd="1"/>
        <i x="18644" nd="1"/>
        <i x="18645" nd="1"/>
        <i x="18646" nd="1"/>
        <i x="18647" nd="1"/>
        <i x="18648" nd="1"/>
        <i x="18649" nd="1"/>
        <i x="18650" nd="1"/>
        <i x="18651" nd="1"/>
        <i x="18652" nd="1"/>
        <i x="18653" nd="1"/>
        <i x="18654" nd="1"/>
        <i x="18655" nd="1"/>
        <i x="18656" nd="1"/>
        <i x="18657" nd="1"/>
        <i x="18658" nd="1"/>
        <i x="18659" nd="1"/>
        <i x="18660" nd="1"/>
        <i x="18661" nd="1"/>
        <i x="18662" nd="1"/>
        <i x="18663" nd="1"/>
        <i x="18664" nd="1"/>
        <i x="18665" nd="1"/>
        <i x="18666" nd="1"/>
        <i x="18667" nd="1"/>
        <i x="18668" nd="1"/>
        <i x="18669" nd="1"/>
        <i x="18670" nd="1"/>
        <i x="18671" nd="1"/>
        <i x="18672" nd="1"/>
        <i x="18673" nd="1"/>
        <i x="18674" nd="1"/>
        <i x="18675" nd="1"/>
        <i x="18676" nd="1"/>
        <i x="18677" nd="1"/>
        <i x="18678" nd="1"/>
        <i x="18679" nd="1"/>
        <i x="18680" nd="1"/>
        <i x="18681" nd="1"/>
        <i x="18682" nd="1"/>
        <i x="18683" nd="1"/>
        <i x="18684" nd="1"/>
        <i x="18685" nd="1"/>
        <i x="18686" nd="1"/>
        <i x="18687" nd="1"/>
        <i x="18688" nd="1"/>
        <i x="18689" nd="1"/>
        <i x="18690" nd="1"/>
        <i x="18691" nd="1"/>
        <i x="18692" nd="1"/>
        <i x="18693" nd="1"/>
        <i x="18694" nd="1"/>
        <i x="18695" nd="1"/>
        <i x="18696" nd="1"/>
        <i x="18697" nd="1"/>
        <i x="18698" nd="1"/>
        <i x="18699" nd="1"/>
        <i x="18700" nd="1"/>
        <i x="18701" nd="1"/>
        <i x="18702" nd="1"/>
        <i x="18703" nd="1"/>
        <i x="18704" nd="1"/>
        <i x="18705" nd="1"/>
        <i x="18706" nd="1"/>
        <i x="18707" nd="1"/>
        <i x="18708" nd="1"/>
        <i x="18709" nd="1"/>
        <i x="18710" nd="1"/>
        <i x="18711" nd="1"/>
        <i x="18712" nd="1"/>
        <i x="18713" nd="1"/>
        <i x="18714" nd="1"/>
        <i x="18715" nd="1"/>
        <i x="18716" nd="1"/>
        <i x="18717" nd="1"/>
        <i x="18718" nd="1"/>
        <i x="18719" nd="1"/>
        <i x="18720" nd="1"/>
        <i x="18721" nd="1"/>
        <i x="18722" nd="1"/>
        <i x="18723" nd="1"/>
        <i x="18724" nd="1"/>
        <i x="18725" nd="1"/>
        <i x="18726" nd="1"/>
        <i x="18727" nd="1"/>
        <i x="18728" nd="1"/>
        <i x="18729" nd="1"/>
        <i x="18730" nd="1"/>
        <i x="18731" nd="1"/>
        <i x="18732" nd="1"/>
        <i x="18733" nd="1"/>
        <i x="18734" nd="1"/>
        <i x="18735" nd="1"/>
        <i x="18736" nd="1"/>
        <i x="18737" nd="1"/>
        <i x="18738" nd="1"/>
        <i x="18739" nd="1"/>
        <i x="18740" nd="1"/>
        <i x="18741" nd="1"/>
        <i x="18742" nd="1"/>
        <i x="18743" nd="1"/>
        <i x="18744" nd="1"/>
        <i x="18745" nd="1"/>
        <i x="18746" nd="1"/>
        <i x="18747" nd="1"/>
        <i x="18748" nd="1"/>
        <i x="18749" nd="1"/>
        <i x="18750" nd="1"/>
        <i x="18751" nd="1"/>
        <i x="18752" nd="1"/>
        <i x="18753" nd="1"/>
        <i x="18754" nd="1"/>
        <i x="18755" nd="1"/>
        <i x="18756" nd="1"/>
        <i x="18757" nd="1"/>
        <i x="18758" nd="1"/>
        <i x="18759" nd="1"/>
        <i x="18760" nd="1"/>
        <i x="18761" nd="1"/>
        <i x="18762" nd="1"/>
        <i x="18763" nd="1"/>
        <i x="18764" nd="1"/>
        <i x="18765" nd="1"/>
        <i x="18766" nd="1"/>
        <i x="18767" nd="1"/>
        <i x="18768" nd="1"/>
        <i x="18769" nd="1"/>
        <i x="18770" nd="1"/>
        <i x="18771" nd="1"/>
        <i x="18772" nd="1"/>
        <i x="18773" nd="1"/>
        <i x="18774" nd="1"/>
        <i x="18775" nd="1"/>
        <i x="18776" nd="1"/>
        <i x="18777" nd="1"/>
        <i x="18778" nd="1"/>
        <i x="18779" nd="1"/>
        <i x="18780" nd="1"/>
        <i x="18781" nd="1"/>
        <i x="18782" nd="1"/>
        <i x="18783" nd="1"/>
        <i x="18784" nd="1"/>
        <i x="18785" nd="1"/>
        <i x="18786" nd="1"/>
        <i x="18787" nd="1"/>
        <i x="18788" nd="1"/>
        <i x="18789" nd="1"/>
        <i x="18790" nd="1"/>
        <i x="18791" nd="1"/>
        <i x="18792" nd="1"/>
        <i x="18793" nd="1"/>
        <i x="18794" nd="1"/>
        <i x="18795" nd="1"/>
        <i x="18796" nd="1"/>
        <i x="18797" nd="1"/>
        <i x="18798" nd="1"/>
        <i x="18799" nd="1"/>
        <i x="18800" nd="1"/>
        <i x="18801" nd="1"/>
        <i x="18802" nd="1"/>
        <i x="18803" nd="1"/>
        <i x="18804" nd="1"/>
        <i x="18805" nd="1"/>
        <i x="18806" nd="1"/>
        <i x="18807" nd="1"/>
        <i x="18808" nd="1"/>
        <i x="18809" nd="1"/>
        <i x="18810" nd="1"/>
        <i x="18811" nd="1"/>
        <i x="18812" nd="1"/>
        <i x="18813" nd="1"/>
        <i x="18814" nd="1"/>
        <i x="18815" nd="1"/>
        <i x="18816" nd="1"/>
        <i x="18817" nd="1"/>
        <i x="18818" nd="1"/>
        <i x="18819" nd="1"/>
        <i x="18820" nd="1"/>
        <i x="18821" nd="1"/>
        <i x="18822" nd="1"/>
        <i x="18823" nd="1"/>
        <i x="18824" nd="1"/>
        <i x="18825" nd="1"/>
        <i x="18826" nd="1"/>
        <i x="18827" nd="1"/>
        <i x="18828" nd="1"/>
        <i x="18829" nd="1"/>
        <i x="18830" nd="1"/>
        <i x="18831" nd="1"/>
        <i x="18832" nd="1"/>
        <i x="18833" nd="1"/>
        <i x="18834" nd="1"/>
        <i x="18835" nd="1"/>
        <i x="18836" nd="1"/>
        <i x="18837" nd="1"/>
        <i x="18838" nd="1"/>
        <i x="18839" nd="1"/>
        <i x="18840" nd="1"/>
        <i x="18841" nd="1"/>
        <i x="18842" nd="1"/>
        <i x="18843" nd="1"/>
        <i x="18844" nd="1"/>
        <i x="18845" nd="1"/>
        <i x="18846" nd="1"/>
        <i x="18847" nd="1"/>
        <i x="18848" nd="1"/>
        <i x="18849" nd="1"/>
        <i x="18850" nd="1"/>
        <i x="18851" nd="1"/>
        <i x="18852" nd="1"/>
        <i x="18853" nd="1"/>
        <i x="18854" nd="1"/>
        <i x="18855" nd="1"/>
        <i x="18856" nd="1"/>
        <i x="18857" nd="1"/>
        <i x="18858" nd="1"/>
        <i x="18859" nd="1"/>
        <i x="18860" nd="1"/>
        <i x="18861" nd="1"/>
        <i x="18862" nd="1"/>
        <i x="18863" nd="1"/>
        <i x="18864" nd="1"/>
        <i x="18865" nd="1"/>
        <i x="18866" nd="1"/>
        <i x="18867" nd="1"/>
        <i x="18868" nd="1"/>
        <i x="18869" nd="1"/>
        <i x="18870" nd="1"/>
        <i x="18871" nd="1"/>
        <i x="18872" nd="1"/>
        <i x="18873" nd="1"/>
        <i x="18874" nd="1"/>
        <i x="18875" nd="1"/>
        <i x="18876" nd="1"/>
        <i x="18877" nd="1"/>
        <i x="18878" nd="1"/>
        <i x="18879" nd="1"/>
        <i x="18880" nd="1"/>
        <i x="18881" nd="1"/>
        <i x="18882" nd="1"/>
        <i x="18883" nd="1"/>
        <i x="18884" nd="1"/>
        <i x="18885" nd="1"/>
        <i x="18886" nd="1"/>
        <i x="18887" nd="1"/>
        <i x="18888" nd="1"/>
        <i x="18889" nd="1"/>
        <i x="18890" nd="1"/>
        <i x="18891" nd="1"/>
        <i x="18892" nd="1"/>
        <i x="18893" nd="1"/>
        <i x="18894" nd="1"/>
        <i x="18895" nd="1"/>
        <i x="18896" nd="1"/>
        <i x="18897" nd="1"/>
        <i x="18898" nd="1"/>
        <i x="18899" nd="1"/>
        <i x="18900" nd="1"/>
        <i x="18901" nd="1"/>
        <i x="18902" nd="1"/>
        <i x="18903" nd="1"/>
        <i x="18904" nd="1"/>
        <i x="18905" nd="1"/>
        <i x="18906" nd="1"/>
        <i x="18907" nd="1"/>
        <i x="18908" nd="1"/>
        <i x="18909" nd="1"/>
        <i x="18910" nd="1"/>
        <i x="18911" nd="1"/>
        <i x="18912" nd="1"/>
        <i x="18913" nd="1"/>
        <i x="18914" nd="1"/>
        <i x="18915" nd="1"/>
        <i x="18916" nd="1"/>
        <i x="18917" nd="1"/>
        <i x="18918" nd="1"/>
        <i x="18919" nd="1"/>
        <i x="18920" nd="1"/>
        <i x="18921" nd="1"/>
        <i x="18922" nd="1"/>
        <i x="18923" nd="1"/>
        <i x="18924" nd="1"/>
        <i x="18925" nd="1"/>
        <i x="18926" nd="1"/>
        <i x="18927" nd="1"/>
        <i x="18928" nd="1"/>
        <i x="18929" nd="1"/>
        <i x="18930" nd="1"/>
        <i x="18931" nd="1"/>
        <i x="18932" nd="1"/>
        <i x="18933" nd="1"/>
        <i x="18934" nd="1"/>
        <i x="18935" nd="1"/>
        <i x="18936" nd="1"/>
        <i x="18937" nd="1"/>
        <i x="18938" nd="1"/>
        <i x="18939" nd="1"/>
        <i x="18940" nd="1"/>
        <i x="18941" nd="1"/>
        <i x="18942" nd="1"/>
        <i x="18943" nd="1"/>
        <i x="18944" nd="1"/>
        <i x="18945" nd="1"/>
        <i x="18946" nd="1"/>
        <i x="18947" nd="1"/>
        <i x="18948" nd="1"/>
        <i x="18949" nd="1"/>
        <i x="18950" nd="1"/>
        <i x="18951" nd="1"/>
        <i x="18952" nd="1"/>
        <i x="18953" nd="1"/>
        <i x="18954" nd="1"/>
        <i x="18955" nd="1"/>
        <i x="18956" nd="1"/>
        <i x="18957" nd="1"/>
        <i x="18958" nd="1"/>
        <i x="18959" nd="1"/>
        <i x="18960" nd="1"/>
        <i x="18961" nd="1"/>
        <i x="18962" nd="1"/>
        <i x="18963" nd="1"/>
        <i x="18964" nd="1"/>
        <i x="18965" nd="1"/>
        <i x="18966" nd="1"/>
        <i x="18967" nd="1"/>
        <i x="18968" nd="1"/>
        <i x="18969" nd="1"/>
        <i x="18970" nd="1"/>
        <i x="18971" nd="1"/>
        <i x="18972" nd="1"/>
        <i x="18973" nd="1"/>
        <i x="18974" nd="1"/>
        <i x="18975" nd="1"/>
        <i x="18976" nd="1"/>
        <i x="18977" nd="1"/>
        <i x="18978" nd="1"/>
        <i x="18979" nd="1"/>
        <i x="18980" nd="1"/>
        <i x="18981" nd="1"/>
        <i x="18982" nd="1"/>
        <i x="18983" nd="1"/>
        <i x="18984" nd="1"/>
        <i x="18985" nd="1"/>
        <i x="18986" nd="1"/>
        <i x="18987" nd="1"/>
        <i x="18988" nd="1"/>
        <i x="18989" nd="1"/>
        <i x="18990" nd="1"/>
        <i x="18991" nd="1"/>
        <i x="18992" nd="1"/>
        <i x="18993" nd="1"/>
        <i x="18994" nd="1"/>
        <i x="18995" nd="1"/>
        <i x="18996" nd="1"/>
        <i x="18997" nd="1"/>
        <i x="18998" nd="1"/>
        <i x="18999" nd="1"/>
        <i x="19000" nd="1"/>
        <i x="19001" nd="1"/>
        <i x="19002" nd="1"/>
        <i x="19003" nd="1"/>
        <i x="19004" nd="1"/>
        <i x="19005" nd="1"/>
        <i x="19006" nd="1"/>
        <i x="19007" nd="1"/>
        <i x="19008" nd="1"/>
        <i x="19009" nd="1"/>
        <i x="19010" nd="1"/>
        <i x="19011" nd="1"/>
        <i x="19012" nd="1"/>
        <i x="19013" nd="1"/>
        <i x="19014" nd="1"/>
        <i x="19015" nd="1"/>
        <i x="19016" nd="1"/>
        <i x="19017" nd="1"/>
        <i x="19018" nd="1"/>
        <i x="19019" nd="1"/>
        <i x="19020" nd="1"/>
        <i x="19021" nd="1"/>
        <i x="19022" nd="1"/>
        <i x="19023" nd="1"/>
        <i x="19024" nd="1"/>
        <i x="19025" nd="1"/>
        <i x="19026" nd="1"/>
        <i x="19027" nd="1"/>
        <i x="19028" nd="1"/>
        <i x="19029" nd="1"/>
        <i x="19030" nd="1"/>
        <i x="19031" nd="1"/>
        <i x="19032" nd="1"/>
        <i x="19033" nd="1"/>
        <i x="19034" nd="1"/>
        <i x="19035" nd="1"/>
        <i x="19036" nd="1"/>
        <i x="19037" nd="1"/>
        <i x="19038" nd="1"/>
        <i x="19039" nd="1"/>
        <i x="19040" nd="1"/>
        <i x="19041" nd="1"/>
        <i x="19042" nd="1"/>
        <i x="19043" nd="1"/>
        <i x="19044" nd="1"/>
        <i x="19045" nd="1"/>
        <i x="19046" nd="1"/>
        <i x="19047" nd="1"/>
        <i x="19048" nd="1"/>
        <i x="19049" nd="1"/>
        <i x="19050" nd="1"/>
        <i x="19051" nd="1"/>
        <i x="19052" nd="1"/>
        <i x="19053" nd="1"/>
        <i x="19054" nd="1"/>
        <i x="19055" nd="1"/>
        <i x="19056" nd="1"/>
        <i x="19057" nd="1"/>
        <i x="19058" nd="1"/>
        <i x="19059" nd="1"/>
        <i x="19060" nd="1"/>
        <i x="19061" nd="1"/>
        <i x="19062" nd="1"/>
        <i x="19063" nd="1"/>
        <i x="19064" nd="1"/>
        <i x="19065" nd="1"/>
        <i x="19066" nd="1"/>
        <i x="19067" nd="1"/>
        <i x="19068" nd="1"/>
        <i x="19069" nd="1"/>
        <i x="19070" nd="1"/>
        <i x="19071" nd="1"/>
        <i x="19072" nd="1"/>
        <i x="19073" nd="1"/>
        <i x="19074" nd="1"/>
        <i x="19075" nd="1"/>
        <i x="19076" nd="1"/>
        <i x="19077" nd="1"/>
        <i x="19078" nd="1"/>
        <i x="19079" nd="1"/>
        <i x="19080" nd="1"/>
        <i x="19081" nd="1"/>
        <i x="19082" nd="1"/>
        <i x="19083" nd="1"/>
        <i x="19084" nd="1"/>
        <i x="19085" nd="1"/>
        <i x="19086" nd="1"/>
        <i x="19087" nd="1"/>
        <i x="19088" nd="1"/>
        <i x="19089" nd="1"/>
        <i x="19090" nd="1"/>
        <i x="19091" nd="1"/>
        <i x="19092" nd="1"/>
        <i x="19093" nd="1"/>
        <i x="19094" nd="1"/>
        <i x="19095" nd="1"/>
        <i x="19096" nd="1"/>
        <i x="19097" nd="1"/>
        <i x="19098" nd="1"/>
        <i x="19099" nd="1"/>
        <i x="19100" nd="1"/>
        <i x="19101" nd="1"/>
        <i x="19102" nd="1"/>
        <i x="19103" nd="1"/>
        <i x="19104" nd="1"/>
        <i x="19105" nd="1"/>
        <i x="19106" nd="1"/>
        <i x="19107" nd="1"/>
        <i x="19108" nd="1"/>
        <i x="19109" nd="1"/>
        <i x="19110" nd="1"/>
        <i x="19111" nd="1"/>
        <i x="19112" nd="1"/>
        <i x="19113" nd="1"/>
        <i x="19114" nd="1"/>
        <i x="19115" nd="1"/>
        <i x="19116" nd="1"/>
        <i x="19117" nd="1"/>
        <i x="19118" nd="1"/>
        <i x="19119" nd="1"/>
        <i x="19120" nd="1"/>
        <i x="19121" nd="1"/>
        <i x="19122" nd="1"/>
        <i x="19123" nd="1"/>
        <i x="19124" nd="1"/>
        <i x="19125" nd="1"/>
        <i x="19126" nd="1"/>
        <i x="19127" nd="1"/>
        <i x="19128" nd="1"/>
        <i x="19129" nd="1"/>
        <i x="19130" nd="1"/>
        <i x="19131" nd="1"/>
        <i x="19132" nd="1"/>
        <i x="19133" nd="1"/>
        <i x="19134" nd="1"/>
        <i x="19135" nd="1"/>
        <i x="19136" nd="1"/>
        <i x="19137" nd="1"/>
        <i x="19138" nd="1"/>
        <i x="19139" nd="1"/>
        <i x="19140" nd="1"/>
        <i x="19141" nd="1"/>
        <i x="19142" nd="1"/>
        <i x="19143" nd="1"/>
        <i x="19144" nd="1"/>
        <i x="19145" nd="1"/>
        <i x="19146" nd="1"/>
        <i x="19147" nd="1"/>
        <i x="19148" nd="1"/>
        <i x="19149" nd="1"/>
        <i x="19150" nd="1"/>
        <i x="19151" nd="1"/>
        <i x="19152" nd="1"/>
        <i x="19153" nd="1"/>
        <i x="19154" nd="1"/>
        <i x="19155" nd="1"/>
        <i x="19156" nd="1"/>
        <i x="19157" nd="1"/>
        <i x="19158" nd="1"/>
        <i x="19159" nd="1"/>
        <i x="19160" nd="1"/>
        <i x="19161" nd="1"/>
        <i x="19162" nd="1"/>
        <i x="19163" nd="1"/>
        <i x="19164" nd="1"/>
        <i x="19165" nd="1"/>
        <i x="19166" nd="1"/>
        <i x="19167" nd="1"/>
        <i x="19168" nd="1"/>
        <i x="19169" nd="1"/>
        <i x="19170" nd="1"/>
        <i x="19171" nd="1"/>
        <i x="19172" nd="1"/>
        <i x="19173" nd="1"/>
        <i x="19174" nd="1"/>
        <i x="19175" nd="1"/>
        <i x="19176" nd="1"/>
        <i x="19177" nd="1"/>
        <i x="19178" nd="1"/>
        <i x="19179" nd="1"/>
        <i x="19180" nd="1"/>
        <i x="19181" nd="1"/>
        <i x="19182" nd="1"/>
        <i x="19183" nd="1"/>
        <i x="19184" nd="1"/>
        <i x="19185" nd="1"/>
        <i x="19186" nd="1"/>
        <i x="19187" nd="1"/>
        <i x="19188" nd="1"/>
        <i x="19189" nd="1"/>
        <i x="19190" nd="1"/>
        <i x="19191" nd="1"/>
        <i x="19192" nd="1"/>
        <i x="19193" nd="1"/>
        <i x="19194" nd="1"/>
        <i x="19195" nd="1"/>
        <i x="19196" nd="1"/>
        <i x="19197" nd="1"/>
        <i x="19198" nd="1"/>
        <i x="19199" nd="1"/>
        <i x="19200" nd="1"/>
        <i x="19201" nd="1"/>
        <i x="19202" nd="1"/>
        <i x="19203" nd="1"/>
        <i x="19204" nd="1"/>
        <i x="19205" nd="1"/>
        <i x="19206" nd="1"/>
        <i x="19207" nd="1"/>
        <i x="19208" nd="1"/>
        <i x="19209" nd="1"/>
        <i x="19210" nd="1"/>
        <i x="19211" nd="1"/>
        <i x="19212" nd="1"/>
        <i x="19213" nd="1"/>
        <i x="19214" nd="1"/>
        <i x="19215" nd="1"/>
        <i x="19216" nd="1"/>
        <i x="19217" nd="1"/>
        <i x="19218" nd="1"/>
        <i x="19219" nd="1"/>
        <i x="19220" nd="1"/>
        <i x="19221" nd="1"/>
        <i x="19222" nd="1"/>
        <i x="19223" nd="1"/>
        <i x="19224" nd="1"/>
        <i x="19225" nd="1"/>
        <i x="19226" nd="1"/>
        <i x="19227" nd="1"/>
        <i x="19228" nd="1"/>
        <i x="19229" nd="1"/>
        <i x="19230" nd="1"/>
        <i x="19231" nd="1"/>
        <i x="19232" nd="1"/>
        <i x="19233" nd="1"/>
        <i x="19234" nd="1"/>
        <i x="19235" nd="1"/>
        <i x="19236" nd="1"/>
        <i x="19237" nd="1"/>
        <i x="19238" nd="1"/>
        <i x="19239" nd="1"/>
        <i x="19240" nd="1"/>
        <i x="19241" nd="1"/>
        <i x="19242" nd="1"/>
        <i x="19243" nd="1"/>
        <i x="19244" nd="1"/>
        <i x="19245" nd="1"/>
        <i x="19246" nd="1"/>
        <i x="19247" nd="1"/>
        <i x="19248" nd="1"/>
        <i x="19249" nd="1"/>
        <i x="19250" nd="1"/>
        <i x="19251" nd="1"/>
        <i x="19252" nd="1"/>
        <i x="19253" nd="1"/>
        <i x="19254" nd="1"/>
        <i x="19255" nd="1"/>
        <i x="19256" nd="1"/>
        <i x="19257" nd="1"/>
        <i x="19258" nd="1"/>
        <i x="19259" nd="1"/>
        <i x="19260" nd="1"/>
        <i x="19261" nd="1"/>
        <i x="19262" nd="1"/>
        <i x="19263" nd="1"/>
        <i x="19264" nd="1"/>
        <i x="19265" nd="1"/>
        <i x="19266" nd="1"/>
        <i x="19267" nd="1"/>
        <i x="19268" nd="1"/>
        <i x="19269" nd="1"/>
        <i x="19270" nd="1"/>
        <i x="19271" nd="1"/>
        <i x="19272" nd="1"/>
        <i x="19273" nd="1"/>
        <i x="19274" nd="1"/>
        <i x="19275" nd="1"/>
        <i x="19276" nd="1"/>
        <i x="19277" nd="1"/>
        <i x="19278" nd="1"/>
        <i x="19279" nd="1"/>
        <i x="19280" nd="1"/>
        <i x="19281" nd="1"/>
        <i x="19282" nd="1"/>
        <i x="19283" nd="1"/>
        <i x="19284" nd="1"/>
        <i x="19285" nd="1"/>
        <i x="19286" nd="1"/>
        <i x="19287" nd="1"/>
        <i x="19288" nd="1"/>
        <i x="19289" nd="1"/>
        <i x="19290" nd="1"/>
        <i x="19291" nd="1"/>
        <i x="19292" nd="1"/>
        <i x="19293" nd="1"/>
        <i x="19294" nd="1"/>
        <i x="19295" nd="1"/>
        <i x="19296" nd="1"/>
        <i x="19297" nd="1"/>
        <i x="19298" nd="1"/>
        <i x="19299" nd="1"/>
        <i x="19300" nd="1"/>
        <i x="19301" nd="1"/>
        <i x="19302" nd="1"/>
        <i x="19303" nd="1"/>
        <i x="19304" nd="1"/>
        <i x="19305" nd="1"/>
        <i x="19306" nd="1"/>
        <i x="19307" nd="1"/>
        <i x="19308" nd="1"/>
        <i x="19309" nd="1"/>
        <i x="19310" nd="1"/>
        <i x="19311" nd="1"/>
        <i x="19312" nd="1"/>
        <i x="19313" nd="1"/>
        <i x="19314" nd="1"/>
        <i x="19315" nd="1"/>
        <i x="19316" nd="1"/>
        <i x="19317" nd="1"/>
        <i x="19318" nd="1"/>
        <i x="19319" nd="1"/>
        <i x="19320" nd="1"/>
        <i x="19321" nd="1"/>
        <i x="19322" nd="1"/>
        <i x="19323" nd="1"/>
        <i x="19324" nd="1"/>
        <i x="19325" nd="1"/>
        <i x="19326" nd="1"/>
        <i x="19327" nd="1"/>
        <i x="19328" nd="1"/>
        <i x="19329" nd="1"/>
        <i x="19330" nd="1"/>
        <i x="19331" nd="1"/>
        <i x="19332" nd="1"/>
        <i x="19333" nd="1"/>
        <i x="19334" nd="1"/>
        <i x="19335" nd="1"/>
        <i x="19336" nd="1"/>
        <i x="19337" nd="1"/>
        <i x="19338" nd="1"/>
        <i x="19339" nd="1"/>
        <i x="19340" nd="1"/>
        <i x="19341" nd="1"/>
        <i x="19342" nd="1"/>
        <i x="19343" nd="1"/>
        <i x="19344" nd="1"/>
        <i x="19345" nd="1"/>
        <i x="19346" nd="1"/>
        <i x="19347" nd="1"/>
        <i x="19348" nd="1"/>
        <i x="19349" nd="1"/>
        <i x="19350" nd="1"/>
        <i x="19351" nd="1"/>
        <i x="19352" nd="1"/>
        <i x="19353" nd="1"/>
        <i x="19354" nd="1"/>
        <i x="19355" nd="1"/>
        <i x="19356" nd="1"/>
        <i x="19357" nd="1"/>
        <i x="19358" nd="1"/>
        <i x="19359" nd="1"/>
        <i x="19360" nd="1"/>
        <i x="19361" nd="1"/>
        <i x="19362" nd="1"/>
        <i x="19363" nd="1"/>
        <i x="19364" nd="1"/>
        <i x="19365" nd="1"/>
        <i x="19366" nd="1"/>
        <i x="19367" nd="1"/>
        <i x="19368" nd="1"/>
        <i x="19369" nd="1"/>
        <i x="19370" nd="1"/>
        <i x="19371" nd="1"/>
        <i x="19372" nd="1"/>
        <i x="19373" nd="1"/>
        <i x="19374" nd="1"/>
        <i x="19375" nd="1"/>
        <i x="19376" nd="1"/>
        <i x="19377" nd="1"/>
        <i x="19378" nd="1"/>
        <i x="19379" nd="1"/>
        <i x="19380" nd="1"/>
        <i x="19381" nd="1"/>
        <i x="19382" nd="1"/>
        <i x="19383" nd="1"/>
        <i x="19384" nd="1"/>
        <i x="19385" nd="1"/>
        <i x="19386" nd="1"/>
        <i x="19387" nd="1"/>
        <i x="19388" nd="1"/>
        <i x="19389" nd="1"/>
        <i x="19390" nd="1"/>
        <i x="19391" nd="1"/>
        <i x="19392" nd="1"/>
        <i x="19393" nd="1"/>
        <i x="19394" nd="1"/>
        <i x="19395" nd="1"/>
        <i x="19396" nd="1"/>
        <i x="19397" nd="1"/>
        <i x="19398" nd="1"/>
        <i x="19399" nd="1"/>
        <i x="19400" nd="1"/>
        <i x="19401" nd="1"/>
        <i x="19402" nd="1"/>
        <i x="19403" nd="1"/>
        <i x="19404" nd="1"/>
        <i x="19405" nd="1"/>
        <i x="19406" nd="1"/>
        <i x="19407" nd="1"/>
        <i x="19408" nd="1"/>
        <i x="19409" nd="1"/>
        <i x="19410" nd="1"/>
        <i x="19411" nd="1"/>
        <i x="19412" nd="1"/>
        <i x="19413" nd="1"/>
        <i x="19414" nd="1"/>
        <i x="19415" nd="1"/>
        <i x="19416" nd="1"/>
        <i x="19417" nd="1"/>
        <i x="19418" nd="1"/>
        <i x="19419" nd="1"/>
        <i x="19420" nd="1"/>
        <i x="19421" nd="1"/>
        <i x="19422" nd="1"/>
        <i x="19423" nd="1"/>
        <i x="19424" nd="1"/>
        <i x="19425" nd="1"/>
        <i x="19426" nd="1"/>
        <i x="19427" nd="1"/>
        <i x="19428" nd="1"/>
        <i x="19429" nd="1"/>
        <i x="19430" nd="1"/>
        <i x="19431" nd="1"/>
        <i x="19432" nd="1"/>
        <i x="19433" nd="1"/>
        <i x="19434" nd="1"/>
        <i x="19435" nd="1"/>
        <i x="19436" nd="1"/>
        <i x="19437" nd="1"/>
        <i x="19438" nd="1"/>
        <i x="19439" nd="1"/>
        <i x="19440" nd="1"/>
        <i x="19441" nd="1"/>
        <i x="19442" nd="1"/>
        <i x="19443" nd="1"/>
        <i x="19444" nd="1"/>
        <i x="19445" nd="1"/>
        <i x="19446" nd="1"/>
        <i x="19447" nd="1"/>
        <i x="19448" nd="1"/>
        <i x="19449" nd="1"/>
        <i x="19450" nd="1"/>
        <i x="19451" nd="1"/>
        <i x="19452" nd="1"/>
        <i x="19453" nd="1"/>
        <i x="19454" nd="1"/>
        <i x="19455" nd="1"/>
        <i x="19456" nd="1"/>
        <i x="19457" nd="1"/>
        <i x="19458" nd="1"/>
        <i x="19459" nd="1"/>
        <i x="19460" nd="1"/>
        <i x="19461" nd="1"/>
        <i x="19462" nd="1"/>
        <i x="19463" nd="1"/>
        <i x="19464" nd="1"/>
        <i x="19465" nd="1"/>
        <i x="19466" nd="1"/>
        <i x="19467" nd="1"/>
        <i x="19468" nd="1"/>
        <i x="19469" nd="1"/>
        <i x="19470" nd="1"/>
        <i x="19471" nd="1"/>
        <i x="19472" nd="1"/>
        <i x="19473" nd="1"/>
        <i x="19474" nd="1"/>
        <i x="19475" nd="1"/>
        <i x="19476" nd="1"/>
        <i x="19477" nd="1"/>
        <i x="19478" nd="1"/>
        <i x="19479" nd="1"/>
        <i x="19480" nd="1"/>
        <i x="19481" nd="1"/>
        <i x="19482" nd="1"/>
        <i x="19483" nd="1"/>
        <i x="19484" nd="1"/>
        <i x="19485" nd="1"/>
        <i x="19486" nd="1"/>
        <i x="19487" nd="1"/>
        <i x="19488" nd="1"/>
        <i x="19489" nd="1"/>
        <i x="19490" nd="1"/>
        <i x="19491" nd="1"/>
        <i x="19492" nd="1"/>
        <i x="19493" nd="1"/>
        <i x="19494" nd="1"/>
        <i x="19495" nd="1"/>
        <i x="19496" nd="1"/>
        <i x="19497" nd="1"/>
        <i x="19498" nd="1"/>
        <i x="19499" nd="1"/>
        <i x="19500" nd="1"/>
        <i x="19501" nd="1"/>
        <i x="19502" nd="1"/>
        <i x="19503" nd="1"/>
        <i x="19504" nd="1"/>
        <i x="19505" nd="1"/>
        <i x="19506" nd="1"/>
        <i x="19507" nd="1"/>
        <i x="19508" nd="1"/>
        <i x="19509" nd="1"/>
        <i x="19510" nd="1"/>
        <i x="19511" nd="1"/>
        <i x="19512" nd="1"/>
        <i x="19513" nd="1"/>
        <i x="19514" nd="1"/>
        <i x="19515" nd="1"/>
        <i x="19516" nd="1"/>
        <i x="19517" nd="1"/>
        <i x="19518" nd="1"/>
        <i x="19519" nd="1"/>
        <i x="19520" nd="1"/>
        <i x="19521" nd="1"/>
        <i x="19522" nd="1"/>
        <i x="19523" nd="1"/>
        <i x="19524" nd="1"/>
        <i x="19525" nd="1"/>
        <i x="19526" nd="1"/>
        <i x="19527" nd="1"/>
        <i x="19528" nd="1"/>
        <i x="19529" nd="1"/>
        <i x="19530" nd="1"/>
        <i x="19531" nd="1"/>
        <i x="19532" nd="1"/>
        <i x="19533" nd="1"/>
        <i x="19534" nd="1"/>
        <i x="19535" nd="1"/>
        <i x="19536" nd="1"/>
        <i x="19537" nd="1"/>
        <i x="19538" nd="1"/>
        <i x="19539" nd="1"/>
        <i x="19540" nd="1"/>
        <i x="19541" nd="1"/>
        <i x="19542" nd="1"/>
        <i x="19543" nd="1"/>
        <i x="19544" nd="1"/>
        <i x="19545" nd="1"/>
        <i x="19546" nd="1"/>
        <i x="19547" nd="1"/>
        <i x="19548" nd="1"/>
        <i x="19549" nd="1"/>
        <i x="19550" nd="1"/>
        <i x="19551" nd="1"/>
        <i x="19552" nd="1"/>
        <i x="19553" nd="1"/>
        <i x="19554" nd="1"/>
        <i x="19555" nd="1"/>
        <i x="19556" nd="1"/>
        <i x="19557" nd="1"/>
        <i x="19558" nd="1"/>
        <i x="19559" nd="1"/>
        <i x="19560" nd="1"/>
        <i x="19561" nd="1"/>
        <i x="19562" nd="1"/>
        <i x="19563" nd="1"/>
        <i x="19564" nd="1"/>
        <i x="19565" nd="1"/>
        <i x="19566" nd="1"/>
        <i x="19567" nd="1"/>
        <i x="19568" nd="1"/>
        <i x="19569" nd="1"/>
        <i x="19570" nd="1"/>
        <i x="19571" nd="1"/>
        <i x="19572" nd="1"/>
        <i x="19573" nd="1"/>
        <i x="19574" nd="1"/>
        <i x="19575" nd="1"/>
        <i x="19576" nd="1"/>
        <i x="19577" nd="1"/>
        <i x="19578" nd="1"/>
        <i x="19579" nd="1"/>
        <i x="19580" nd="1"/>
        <i x="19581" nd="1"/>
        <i x="19582" nd="1"/>
        <i x="19583" nd="1"/>
        <i x="19584" nd="1"/>
        <i x="19585" nd="1"/>
        <i x="19586" nd="1"/>
        <i x="19587" nd="1"/>
        <i x="19588" nd="1"/>
        <i x="19589" nd="1"/>
        <i x="19590" nd="1"/>
        <i x="19591" nd="1"/>
        <i x="19592" nd="1"/>
        <i x="19593" nd="1"/>
        <i x="19594" nd="1"/>
        <i x="19595" nd="1"/>
        <i x="19596" nd="1"/>
        <i x="19597" nd="1"/>
        <i x="19598" nd="1"/>
        <i x="19599" nd="1"/>
        <i x="19600" nd="1"/>
        <i x="19601" nd="1"/>
        <i x="19602" nd="1"/>
        <i x="19603" nd="1"/>
        <i x="19604" nd="1"/>
        <i x="19605" nd="1"/>
        <i x="19606" nd="1"/>
        <i x="19607" nd="1"/>
        <i x="19608" nd="1"/>
        <i x="19609" nd="1"/>
        <i x="19610" nd="1"/>
        <i x="19611" nd="1"/>
        <i x="19612" nd="1"/>
        <i x="19613" nd="1"/>
        <i x="19614" nd="1"/>
        <i x="19615" nd="1"/>
        <i x="19616" nd="1"/>
        <i x="19617" nd="1"/>
        <i x="19618" nd="1"/>
        <i x="19619" nd="1"/>
        <i x="19620" nd="1"/>
        <i x="19621" nd="1"/>
        <i x="19622" nd="1"/>
        <i x="19623" nd="1"/>
        <i x="19624" nd="1"/>
        <i x="19625" nd="1"/>
        <i x="19626" nd="1"/>
        <i x="19627" nd="1"/>
        <i x="19628" nd="1"/>
        <i x="19629" nd="1"/>
        <i x="19630" nd="1"/>
        <i x="19631" nd="1"/>
        <i x="19632" nd="1"/>
        <i x="19633" nd="1"/>
        <i x="19634" nd="1"/>
        <i x="19635" nd="1"/>
        <i x="19636" nd="1"/>
        <i x="19637" nd="1"/>
        <i x="19638" nd="1"/>
        <i x="19639" nd="1"/>
        <i x="19640" nd="1"/>
        <i x="19641" nd="1"/>
        <i x="19642" nd="1"/>
        <i x="19643" nd="1"/>
        <i x="19644" nd="1"/>
        <i x="19645" nd="1"/>
        <i x="19646" nd="1"/>
        <i x="19647" nd="1"/>
        <i x="19648" nd="1"/>
        <i x="19649" nd="1"/>
        <i x="19650" nd="1"/>
        <i x="19651" nd="1"/>
        <i x="19652" nd="1"/>
        <i x="19653" nd="1"/>
        <i x="19654" nd="1"/>
        <i x="19655" nd="1"/>
        <i x="19656" nd="1"/>
        <i x="19657" nd="1"/>
        <i x="19658" nd="1"/>
        <i x="19659" nd="1"/>
        <i x="19660" nd="1"/>
        <i x="19661" nd="1"/>
        <i x="19662" nd="1"/>
        <i x="19663" nd="1"/>
        <i x="19664" nd="1"/>
        <i x="19665" nd="1"/>
        <i x="19666" nd="1"/>
        <i x="19667" nd="1"/>
        <i x="19668" nd="1"/>
        <i x="19669" nd="1"/>
        <i x="19670" nd="1"/>
        <i x="19671" nd="1"/>
        <i x="19672" nd="1"/>
        <i x="19673" nd="1"/>
        <i x="19674" nd="1"/>
        <i x="19675" nd="1"/>
        <i x="19676" nd="1"/>
        <i x="19677" nd="1"/>
        <i x="19678" nd="1"/>
        <i x="19679" nd="1"/>
        <i x="19680" nd="1"/>
        <i x="19681" nd="1"/>
        <i x="19682" nd="1"/>
        <i x="19683" nd="1"/>
        <i x="19684" nd="1"/>
        <i x="19685" nd="1"/>
        <i x="19686" nd="1"/>
        <i x="19687" nd="1"/>
        <i x="19688" nd="1"/>
        <i x="19689" nd="1"/>
        <i x="19690" nd="1"/>
        <i x="19691" nd="1"/>
        <i x="19692" nd="1"/>
        <i x="19693" nd="1"/>
        <i x="19694" nd="1"/>
        <i x="19695" nd="1"/>
        <i x="19696" nd="1"/>
        <i x="19697" nd="1"/>
        <i x="19698" nd="1"/>
        <i x="19699" nd="1"/>
        <i x="19700" nd="1"/>
        <i x="19701" nd="1"/>
        <i x="19702" nd="1"/>
        <i x="19703" nd="1"/>
        <i x="19704" nd="1"/>
        <i x="19705" nd="1"/>
        <i x="19706" nd="1"/>
        <i x="19707" nd="1"/>
        <i x="19708" nd="1"/>
        <i x="19709" nd="1"/>
        <i x="19710" nd="1"/>
        <i x="19711" nd="1"/>
        <i x="19712" nd="1"/>
        <i x="19713" nd="1"/>
        <i x="19714" nd="1"/>
        <i x="19715" nd="1"/>
        <i x="19716" nd="1"/>
        <i x="19717" nd="1"/>
        <i x="19718" nd="1"/>
        <i x="19719" nd="1"/>
        <i x="19720" nd="1"/>
        <i x="19721" nd="1"/>
        <i x="19722" nd="1"/>
        <i x="19723" nd="1"/>
        <i x="19724" nd="1"/>
        <i x="19725" nd="1"/>
        <i x="19726" nd="1"/>
        <i x="19727" nd="1"/>
        <i x="19728" nd="1"/>
        <i x="19729" nd="1"/>
        <i x="19730" nd="1"/>
        <i x="19731" nd="1"/>
        <i x="19732" nd="1"/>
        <i x="19733" nd="1"/>
        <i x="19734" nd="1"/>
        <i x="19735" nd="1"/>
        <i x="19736" nd="1"/>
        <i x="19737" nd="1"/>
        <i x="19738" nd="1"/>
        <i x="19739" nd="1"/>
        <i x="19740" nd="1"/>
        <i x="19741" nd="1"/>
        <i x="19742" nd="1"/>
        <i x="19743" nd="1"/>
        <i x="19744" nd="1"/>
        <i x="19745" nd="1"/>
        <i x="19746" nd="1"/>
        <i x="19747" nd="1"/>
        <i x="19748" nd="1"/>
        <i x="19749" nd="1"/>
        <i x="19750" nd="1"/>
        <i x="19751" nd="1"/>
        <i x="19752" nd="1"/>
        <i x="19753" nd="1"/>
        <i x="19754" nd="1"/>
        <i x="19755" nd="1"/>
        <i x="19756" nd="1"/>
        <i x="19757" nd="1"/>
        <i x="19758" nd="1"/>
        <i x="19759" nd="1"/>
        <i x="19760" nd="1"/>
        <i x="19761" nd="1"/>
        <i x="19762" nd="1"/>
        <i x="19763" nd="1"/>
        <i x="19764" nd="1"/>
        <i x="19765" nd="1"/>
        <i x="19766" nd="1"/>
        <i x="19767" nd="1"/>
        <i x="19768" nd="1"/>
        <i x="19769" nd="1"/>
        <i x="19770" nd="1"/>
        <i x="19771" nd="1"/>
        <i x="19772" nd="1"/>
        <i x="19773" nd="1"/>
        <i x="19774" nd="1"/>
        <i x="19775" nd="1"/>
        <i x="19776" nd="1"/>
        <i x="19777" nd="1"/>
        <i x="19778" nd="1"/>
        <i x="19779" nd="1"/>
        <i x="19780" nd="1"/>
        <i x="19781" nd="1"/>
        <i x="19782" nd="1"/>
        <i x="19783" nd="1"/>
        <i x="19784" nd="1"/>
        <i x="19785" nd="1"/>
        <i x="19786" nd="1"/>
        <i x="19787" nd="1"/>
        <i x="19788" nd="1"/>
        <i x="19789" nd="1"/>
        <i x="19790" nd="1"/>
        <i x="19791" nd="1"/>
        <i x="19792" nd="1"/>
        <i x="19793" nd="1"/>
        <i x="19794" nd="1"/>
        <i x="19795" nd="1"/>
        <i x="19796" nd="1"/>
        <i x="19797" nd="1"/>
        <i x="19798" nd="1"/>
        <i x="19799" nd="1"/>
        <i x="19800" nd="1"/>
        <i x="19801" nd="1"/>
        <i x="19802" nd="1"/>
        <i x="19803" nd="1"/>
        <i x="19804" nd="1"/>
        <i x="19805" nd="1"/>
        <i x="19806" nd="1"/>
        <i x="19807" nd="1"/>
        <i x="19808" nd="1"/>
        <i x="19809" nd="1"/>
        <i x="19810" nd="1"/>
        <i x="19811" nd="1"/>
        <i x="19812" nd="1"/>
        <i x="19813" nd="1"/>
        <i x="19814" nd="1"/>
        <i x="19815" nd="1"/>
        <i x="19816" nd="1"/>
        <i x="19817" nd="1"/>
        <i x="19818" nd="1"/>
        <i x="19819" nd="1"/>
        <i x="19820" nd="1"/>
        <i x="19821" nd="1"/>
        <i x="19822" nd="1"/>
        <i x="19823" nd="1"/>
        <i x="19824" nd="1"/>
        <i x="19825" nd="1"/>
        <i x="19826" nd="1"/>
        <i x="19827" nd="1"/>
        <i x="19828" nd="1"/>
        <i x="19829" nd="1"/>
        <i x="19830" nd="1"/>
        <i x="19831" nd="1"/>
        <i x="19832" nd="1"/>
        <i x="19833" nd="1"/>
        <i x="19834" nd="1"/>
        <i x="19835" nd="1"/>
        <i x="19836" nd="1"/>
        <i x="19837" nd="1"/>
        <i x="19838" nd="1"/>
        <i x="19839" nd="1"/>
        <i x="19840" nd="1"/>
        <i x="19841" nd="1"/>
        <i x="19842" nd="1"/>
        <i x="19843" nd="1"/>
        <i x="19844" nd="1"/>
        <i x="19845" nd="1"/>
        <i x="19846" nd="1"/>
        <i x="19847" nd="1"/>
        <i x="19848" nd="1"/>
        <i x="19849" nd="1"/>
        <i x="19850" nd="1"/>
        <i x="19851" nd="1"/>
        <i x="19852" nd="1"/>
        <i x="19853" nd="1"/>
        <i x="19854" nd="1"/>
        <i x="19855" nd="1"/>
        <i x="19856" nd="1"/>
        <i x="19857" nd="1"/>
        <i x="19858" nd="1"/>
        <i x="19859" nd="1"/>
        <i x="19860" nd="1"/>
        <i x="19861" nd="1"/>
        <i x="19862" nd="1"/>
        <i x="19863" nd="1"/>
        <i x="19864" nd="1"/>
        <i x="19865" nd="1"/>
        <i x="19866" nd="1"/>
        <i x="19867" nd="1"/>
        <i x="19868" nd="1"/>
        <i x="19869" nd="1"/>
        <i x="19870" nd="1"/>
        <i x="19871" nd="1"/>
        <i x="19872" nd="1"/>
        <i x="19873" nd="1"/>
        <i x="19874" nd="1"/>
        <i x="19875" nd="1"/>
        <i x="19876" nd="1"/>
        <i x="19877" nd="1"/>
        <i x="19878" nd="1"/>
        <i x="19879" nd="1"/>
        <i x="19880" nd="1"/>
        <i x="19881" nd="1"/>
        <i x="19882" nd="1"/>
        <i x="19883" nd="1"/>
        <i x="19884" nd="1"/>
        <i x="19885" nd="1"/>
        <i x="19886" nd="1"/>
        <i x="19887" nd="1"/>
        <i x="19888" nd="1"/>
        <i x="19889" nd="1"/>
        <i x="19890" nd="1"/>
        <i x="19891" nd="1"/>
        <i x="19892" nd="1"/>
        <i x="19893" nd="1"/>
        <i x="19894" nd="1"/>
        <i x="19895" nd="1"/>
        <i x="19896" nd="1"/>
        <i x="19897" nd="1"/>
        <i x="19898" nd="1"/>
        <i x="19899" nd="1"/>
        <i x="19900" nd="1"/>
        <i x="19901" nd="1"/>
        <i x="19902" nd="1"/>
        <i x="19903" nd="1"/>
        <i x="19904" nd="1"/>
        <i x="19905" nd="1"/>
        <i x="19906" nd="1"/>
        <i x="19907" nd="1"/>
        <i x="19908" nd="1"/>
        <i x="19909" nd="1"/>
        <i x="19910" nd="1"/>
        <i x="19911" nd="1"/>
        <i x="19912" nd="1"/>
        <i x="19913" nd="1"/>
        <i x="19914" nd="1"/>
        <i x="19915" nd="1"/>
        <i x="19916" nd="1"/>
        <i x="19917" nd="1"/>
        <i x="19918" nd="1"/>
        <i x="19919" nd="1"/>
        <i x="19920" nd="1"/>
        <i x="19921" nd="1"/>
        <i x="19922" nd="1"/>
        <i x="19923" nd="1"/>
        <i x="19924" nd="1"/>
        <i x="19925" nd="1"/>
        <i x="19926" nd="1"/>
        <i x="19927" nd="1"/>
        <i x="19928" nd="1"/>
        <i x="19929" nd="1"/>
        <i x="19930" nd="1"/>
        <i x="19931" nd="1"/>
        <i x="19932" nd="1"/>
        <i x="19933" nd="1"/>
        <i x="19934" nd="1"/>
        <i x="19935" nd="1"/>
        <i x="19936" nd="1"/>
        <i x="19937" nd="1"/>
        <i x="19938" nd="1"/>
        <i x="19939" nd="1"/>
        <i x="19940" nd="1"/>
        <i x="19941" nd="1"/>
        <i x="19942" nd="1"/>
        <i x="19943" nd="1"/>
        <i x="19944" nd="1"/>
        <i x="19945" nd="1"/>
        <i x="19946" nd="1"/>
        <i x="19947" nd="1"/>
        <i x="19948" nd="1"/>
        <i x="19949" nd="1"/>
        <i x="19950" nd="1"/>
        <i x="19951" nd="1"/>
        <i x="19952" nd="1"/>
        <i x="19953" nd="1"/>
        <i x="19954" nd="1"/>
        <i x="19955" nd="1"/>
        <i x="19956" nd="1"/>
        <i x="19957" nd="1"/>
        <i x="19958" nd="1"/>
        <i x="19959" nd="1"/>
        <i x="19960" nd="1"/>
        <i x="19961" nd="1"/>
        <i x="19962" nd="1"/>
        <i x="19963" nd="1"/>
        <i x="19964" nd="1"/>
        <i x="19965" nd="1"/>
        <i x="19966" nd="1"/>
        <i x="19967" nd="1"/>
        <i x="19968" nd="1"/>
        <i x="19969" nd="1"/>
        <i x="19970" nd="1"/>
        <i x="19971" nd="1"/>
        <i x="19972" nd="1"/>
        <i x="19973" nd="1"/>
        <i x="19974" nd="1"/>
        <i x="19975" nd="1"/>
        <i x="19976" nd="1"/>
        <i x="19977" nd="1"/>
        <i x="19978" nd="1"/>
        <i x="19979" nd="1"/>
        <i x="19980" nd="1"/>
        <i x="19981" nd="1"/>
        <i x="19982" nd="1"/>
        <i x="19983" nd="1"/>
        <i x="19984" nd="1"/>
        <i x="19985" nd="1"/>
        <i x="19986" nd="1"/>
        <i x="19987" nd="1"/>
        <i x="19988" nd="1"/>
        <i x="19989" nd="1"/>
        <i x="19990" nd="1"/>
        <i x="19991" nd="1"/>
        <i x="19992" nd="1"/>
        <i x="19993" nd="1"/>
        <i x="19994" nd="1"/>
        <i x="19995" nd="1"/>
        <i x="19996" nd="1"/>
        <i x="19997" nd="1"/>
        <i x="19998" nd="1"/>
        <i x="19999" nd="1"/>
        <i x="20000" nd="1"/>
        <i x="20001" nd="1"/>
        <i x="20002" nd="1"/>
        <i x="20003" nd="1"/>
        <i x="20004" nd="1"/>
        <i x="20005" nd="1"/>
        <i x="20006" nd="1"/>
        <i x="20007" nd="1"/>
        <i x="20008" nd="1"/>
        <i x="20009" nd="1"/>
        <i x="20010" nd="1"/>
        <i x="20011" nd="1"/>
        <i x="20012" nd="1"/>
        <i x="20013" nd="1"/>
        <i x="20014" nd="1"/>
        <i x="20015" nd="1"/>
        <i x="20016" nd="1"/>
        <i x="20017" nd="1"/>
        <i x="20018" nd="1"/>
        <i x="20019" nd="1"/>
        <i x="20020" nd="1"/>
        <i x="20021" nd="1"/>
        <i x="20022" nd="1"/>
        <i x="20023" nd="1"/>
        <i x="20024" nd="1"/>
        <i x="20025" nd="1"/>
        <i x="20026" nd="1"/>
        <i x="20027" nd="1"/>
        <i x="20028" nd="1"/>
        <i x="20029" nd="1"/>
        <i x="20030" nd="1"/>
        <i x="20031" nd="1"/>
        <i x="20032" nd="1"/>
        <i x="20033" nd="1"/>
        <i x="20034" nd="1"/>
        <i x="20035" nd="1"/>
        <i x="20036" nd="1"/>
        <i x="20037" nd="1"/>
        <i x="20038" nd="1"/>
        <i x="20039" nd="1"/>
        <i x="20040" nd="1"/>
        <i x="20041" nd="1"/>
        <i x="20042" nd="1"/>
        <i x="20043" nd="1"/>
        <i x="20044" nd="1"/>
        <i x="20045" nd="1"/>
        <i x="20046" nd="1"/>
        <i x="20047" nd="1"/>
        <i x="20048" nd="1"/>
        <i x="20049" nd="1"/>
        <i x="20050" nd="1"/>
        <i x="20051" nd="1"/>
        <i x="20052" nd="1"/>
        <i x="20053" nd="1"/>
        <i x="20054" nd="1"/>
        <i x="20055" nd="1"/>
        <i x="20056" nd="1"/>
        <i x="20057" nd="1"/>
        <i x="20058" nd="1"/>
        <i x="20059" nd="1"/>
        <i x="20060" nd="1"/>
        <i x="20061" nd="1"/>
        <i x="20062" nd="1"/>
        <i x="20063" nd="1"/>
        <i x="20064" nd="1"/>
        <i x="20065" nd="1"/>
        <i x="20066" nd="1"/>
        <i x="20067" nd="1"/>
        <i x="20068" nd="1"/>
        <i x="20069" nd="1"/>
        <i x="20070" nd="1"/>
        <i x="20071" nd="1"/>
        <i x="20072" nd="1"/>
        <i x="20073" nd="1"/>
        <i x="20074" nd="1"/>
        <i x="20075" nd="1"/>
        <i x="20076" nd="1"/>
        <i x="20077" nd="1"/>
        <i x="20078" nd="1"/>
        <i x="20079" nd="1"/>
        <i x="20080" nd="1"/>
        <i x="20081" nd="1"/>
        <i x="20082" nd="1"/>
        <i x="20083" nd="1"/>
        <i x="20084" nd="1"/>
        <i x="20085" nd="1"/>
        <i x="20086" nd="1"/>
        <i x="20087" nd="1"/>
        <i x="20088" nd="1"/>
        <i x="20089" nd="1"/>
        <i x="20090" nd="1"/>
        <i x="20091" nd="1"/>
        <i x="20092" nd="1"/>
        <i x="20093" nd="1"/>
        <i x="20094" nd="1"/>
        <i x="20095" nd="1"/>
        <i x="20096" nd="1"/>
        <i x="20097" nd="1"/>
        <i x="20098" nd="1"/>
        <i x="20099" nd="1"/>
        <i x="20100" nd="1"/>
        <i x="20101" nd="1"/>
        <i x="20102" nd="1"/>
        <i x="20103" nd="1"/>
        <i x="20104" nd="1"/>
        <i x="20105" nd="1"/>
        <i x="20106" nd="1"/>
        <i x="20107" nd="1"/>
        <i x="20108" nd="1"/>
        <i x="20109" nd="1"/>
        <i x="20110" nd="1"/>
        <i x="20111" nd="1"/>
        <i x="20112" nd="1"/>
        <i x="20113" nd="1"/>
        <i x="20114" nd="1"/>
        <i x="20115" nd="1"/>
        <i x="20116" nd="1"/>
        <i x="20117" nd="1"/>
        <i x="20118" nd="1"/>
        <i x="20119" nd="1"/>
        <i x="20120" nd="1"/>
        <i x="20121" nd="1"/>
        <i x="20122" nd="1"/>
        <i x="20123" nd="1"/>
        <i x="20124" nd="1"/>
        <i x="20125" nd="1"/>
        <i x="20126" nd="1"/>
        <i x="20127" nd="1"/>
        <i x="20128" nd="1"/>
        <i x="20129" nd="1"/>
        <i x="20130" nd="1"/>
        <i x="20131" nd="1"/>
        <i x="20132" nd="1"/>
        <i x="20133" nd="1"/>
        <i x="20134" nd="1"/>
        <i x="20135" nd="1"/>
        <i x="20136" nd="1"/>
        <i x="20137" nd="1"/>
        <i x="20138" nd="1"/>
        <i x="20139" nd="1"/>
        <i x="20140" nd="1"/>
        <i x="20141" nd="1"/>
        <i x="20142" nd="1"/>
        <i x="20143" nd="1"/>
        <i x="20144" nd="1"/>
        <i x="20145" nd="1"/>
        <i x="20146" nd="1"/>
        <i x="20147" nd="1"/>
        <i x="20148" nd="1"/>
        <i x="20149" nd="1"/>
        <i x="20150" nd="1"/>
        <i x="20151" nd="1"/>
        <i x="20152" nd="1"/>
        <i x="20153" nd="1"/>
        <i x="20154" nd="1"/>
        <i x="20155" nd="1"/>
        <i x="20156" nd="1"/>
        <i x="20157" nd="1"/>
        <i x="20158" nd="1"/>
        <i x="20159" nd="1"/>
        <i x="20160" nd="1"/>
        <i x="20161" nd="1"/>
        <i x="20162" nd="1"/>
        <i x="20163" nd="1"/>
        <i x="20164" nd="1"/>
        <i x="20165" nd="1"/>
        <i x="20166" nd="1"/>
        <i x="20167" nd="1"/>
        <i x="20168" nd="1"/>
        <i x="20169" nd="1"/>
        <i x="20170" nd="1"/>
        <i x="20171" nd="1"/>
        <i x="20172" nd="1"/>
        <i x="20173" nd="1"/>
        <i x="20174" nd="1"/>
        <i x="20175" nd="1"/>
        <i x="20176" nd="1"/>
        <i x="20177" nd="1"/>
        <i x="20178" nd="1"/>
        <i x="20179" nd="1"/>
        <i x="20180" nd="1"/>
        <i x="20181" nd="1"/>
        <i x="20182" nd="1"/>
        <i x="20183" nd="1"/>
        <i x="20184" nd="1"/>
        <i x="20185" nd="1"/>
        <i x="20186" nd="1"/>
        <i x="20187" nd="1"/>
        <i x="20188" nd="1"/>
        <i x="20189" nd="1"/>
        <i x="20190" nd="1"/>
        <i x="20191" nd="1"/>
        <i x="20192" nd="1"/>
        <i x="20193" nd="1"/>
        <i x="20194" nd="1"/>
        <i x="20195" nd="1"/>
        <i x="20196" nd="1"/>
        <i x="20197" nd="1"/>
        <i x="20198" nd="1"/>
        <i x="20199" nd="1"/>
        <i x="20200" nd="1"/>
        <i x="20201" nd="1"/>
        <i x="20202" nd="1"/>
        <i x="20203" nd="1"/>
        <i x="20204" nd="1"/>
        <i x="20205" nd="1"/>
        <i x="20206" nd="1"/>
        <i x="20207" nd="1"/>
        <i x="20208" nd="1"/>
        <i x="20209" nd="1"/>
        <i x="20210" nd="1"/>
        <i x="20211" nd="1"/>
        <i x="20212" nd="1"/>
        <i x="20213" nd="1"/>
        <i x="20214" nd="1"/>
        <i x="20215" nd="1"/>
        <i x="20216" nd="1"/>
        <i x="20217" nd="1"/>
        <i x="20218" nd="1"/>
        <i x="20219" nd="1"/>
        <i x="20220" nd="1"/>
        <i x="20221" nd="1"/>
        <i x="20222" nd="1"/>
        <i x="20223" nd="1"/>
        <i x="20224" nd="1"/>
        <i x="20225" nd="1"/>
        <i x="20226" nd="1"/>
        <i x="20227" nd="1"/>
        <i x="20228" nd="1"/>
        <i x="20229" nd="1"/>
        <i x="20230" nd="1"/>
        <i x="20231" nd="1"/>
        <i x="20232" nd="1"/>
        <i x="20233" nd="1"/>
        <i x="20234" nd="1"/>
        <i x="20235" nd="1"/>
        <i x="20236" nd="1"/>
        <i x="20237" nd="1"/>
        <i x="20238" nd="1"/>
        <i x="20239" nd="1"/>
        <i x="20240" nd="1"/>
        <i x="20241" nd="1"/>
        <i x="20242" nd="1"/>
        <i x="20243" nd="1"/>
        <i x="20244" nd="1"/>
        <i x="20245" nd="1"/>
        <i x="20246" nd="1"/>
        <i x="20247" nd="1"/>
        <i x="20248" nd="1"/>
        <i x="20249" nd="1"/>
        <i x="20250" nd="1"/>
        <i x="20251" nd="1"/>
        <i x="20252" nd="1"/>
        <i x="20253" nd="1"/>
        <i x="20254" nd="1"/>
        <i x="20255" nd="1"/>
        <i x="20256" nd="1"/>
        <i x="20257" nd="1"/>
        <i x="20258" nd="1"/>
        <i x="20259" nd="1"/>
        <i x="20260" nd="1"/>
        <i x="20261" nd="1"/>
        <i x="20262" nd="1"/>
        <i x="20263" nd="1"/>
        <i x="20264" nd="1"/>
        <i x="20265" nd="1"/>
        <i x="20266" nd="1"/>
        <i x="20267" nd="1"/>
        <i x="20268" nd="1"/>
        <i x="20269" nd="1"/>
        <i x="20270" nd="1"/>
        <i x="20271" nd="1"/>
        <i x="20272" nd="1"/>
        <i x="20273" nd="1"/>
        <i x="20274" nd="1"/>
        <i x="20275" nd="1"/>
        <i x="20276" nd="1"/>
        <i x="20277" nd="1"/>
        <i x="20278" nd="1"/>
        <i x="20279" nd="1"/>
        <i x="20280" nd="1"/>
        <i x="20281" nd="1"/>
        <i x="20282" nd="1"/>
        <i x="20283" nd="1"/>
        <i x="20284" nd="1"/>
        <i x="20285" nd="1"/>
        <i x="20286" nd="1"/>
        <i x="20287" nd="1"/>
        <i x="20288" nd="1"/>
        <i x="20289" nd="1"/>
        <i x="20290" nd="1"/>
        <i x="20291" nd="1"/>
        <i x="20292" nd="1"/>
        <i x="20293" nd="1"/>
        <i x="20294" nd="1"/>
        <i x="20295" nd="1"/>
        <i x="20296" nd="1"/>
        <i x="20297" nd="1"/>
        <i x="20298" nd="1"/>
        <i x="20299" nd="1"/>
        <i x="20300" nd="1"/>
        <i x="20301" nd="1"/>
        <i x="20302" nd="1"/>
        <i x="20303" nd="1"/>
        <i x="20304" nd="1"/>
        <i x="20305" nd="1"/>
        <i x="20306" nd="1"/>
        <i x="20307" nd="1"/>
        <i x="20308" nd="1"/>
        <i x="20309" nd="1"/>
        <i x="20310" nd="1"/>
        <i x="20311" nd="1"/>
        <i x="20312" nd="1"/>
        <i x="20313" nd="1"/>
        <i x="20314" nd="1"/>
        <i x="20315" nd="1"/>
        <i x="20316" nd="1"/>
        <i x="20317" nd="1"/>
        <i x="20318" nd="1"/>
        <i x="20319" nd="1"/>
        <i x="20320" nd="1"/>
        <i x="20321" nd="1"/>
        <i x="20322" nd="1"/>
        <i x="20323" nd="1"/>
        <i x="20324" nd="1"/>
        <i x="20325" nd="1"/>
        <i x="20326" nd="1"/>
        <i x="20327" nd="1"/>
        <i x="20328" nd="1"/>
        <i x="20329" nd="1"/>
        <i x="20330" nd="1"/>
        <i x="20331" nd="1"/>
        <i x="20332" nd="1"/>
        <i x="20333" nd="1"/>
        <i x="20334" nd="1"/>
        <i x="20335" nd="1"/>
        <i x="20336" nd="1"/>
        <i x="20337" nd="1"/>
        <i x="20338" nd="1"/>
        <i x="20339" nd="1"/>
        <i x="20340" nd="1"/>
        <i x="20341" nd="1"/>
        <i x="20342" nd="1"/>
        <i x="20343" nd="1"/>
        <i x="20344" nd="1"/>
        <i x="20345" nd="1"/>
        <i x="20346" nd="1"/>
        <i x="20347" nd="1"/>
        <i x="20348" nd="1"/>
        <i x="20349" nd="1"/>
        <i x="20350" nd="1"/>
        <i x="20351" nd="1"/>
        <i x="20352" nd="1"/>
        <i x="20353" nd="1"/>
        <i x="20354" nd="1"/>
        <i x="20355" nd="1"/>
        <i x="20356" nd="1"/>
        <i x="20357" nd="1"/>
        <i x="20358" nd="1"/>
        <i x="20359" nd="1"/>
        <i x="20360" nd="1"/>
        <i x="20361" nd="1"/>
        <i x="20362" nd="1"/>
        <i x="20363" nd="1"/>
        <i x="20364" nd="1"/>
        <i x="20365" nd="1"/>
        <i x="20366" nd="1"/>
        <i x="20367" nd="1"/>
        <i x="20368" nd="1"/>
        <i x="20369" nd="1"/>
        <i x="20370" nd="1"/>
        <i x="20371" nd="1"/>
        <i x="20372" nd="1"/>
        <i x="20373" nd="1"/>
        <i x="20374" nd="1"/>
        <i x="20375" nd="1"/>
        <i x="20376" nd="1"/>
        <i x="20377" nd="1"/>
        <i x="20378" nd="1"/>
        <i x="20379" nd="1"/>
        <i x="20380" nd="1"/>
        <i x="20381" nd="1"/>
        <i x="20382" nd="1"/>
        <i x="20383" nd="1"/>
        <i x="20384" nd="1"/>
        <i x="20385" nd="1"/>
        <i x="20386" nd="1"/>
        <i x="20387" nd="1"/>
        <i x="20388" nd="1"/>
        <i x="20389" nd="1"/>
        <i x="20390" nd="1"/>
        <i x="20391" nd="1"/>
        <i x="20392" nd="1"/>
        <i x="20393" nd="1"/>
        <i x="20394" nd="1"/>
        <i x="20395" nd="1"/>
        <i x="20396" nd="1"/>
        <i x="20397" nd="1"/>
        <i x="20398" nd="1"/>
        <i x="20399" nd="1"/>
        <i x="20400" nd="1"/>
        <i x="20401" nd="1"/>
        <i x="20402" nd="1"/>
        <i x="20403" nd="1"/>
        <i x="20404" nd="1"/>
        <i x="20405" nd="1"/>
        <i x="20406" nd="1"/>
        <i x="20407" nd="1"/>
        <i x="20408" nd="1"/>
        <i x="20409" nd="1"/>
        <i x="20410" nd="1"/>
        <i x="20411" nd="1"/>
        <i x="20412" nd="1"/>
        <i x="20413" nd="1"/>
        <i x="20414" nd="1"/>
        <i x="20415" nd="1"/>
        <i x="20416" nd="1"/>
        <i x="20417" nd="1"/>
        <i x="20418" nd="1"/>
        <i x="20419" nd="1"/>
        <i x="20420" nd="1"/>
        <i x="20421" nd="1"/>
        <i x="20422" nd="1"/>
        <i x="20423" nd="1"/>
        <i x="20424" nd="1"/>
        <i x="20425" nd="1"/>
        <i x="20426" nd="1"/>
        <i x="20427" nd="1"/>
        <i x="20428" nd="1"/>
        <i x="20429" nd="1"/>
        <i x="20430" nd="1"/>
        <i x="20431" nd="1"/>
        <i x="20432" nd="1"/>
        <i x="20433" nd="1"/>
        <i x="20434" nd="1"/>
        <i x="20435" nd="1"/>
        <i x="20436" nd="1"/>
        <i x="20437" nd="1"/>
        <i x="20438" nd="1"/>
        <i x="20439" nd="1"/>
        <i x="20440" nd="1"/>
        <i x="20441" nd="1"/>
        <i x="20442" nd="1"/>
        <i x="20443" nd="1"/>
        <i x="20444" nd="1"/>
        <i x="20445" nd="1"/>
        <i x="20446" nd="1"/>
        <i x="20447" nd="1"/>
        <i x="20448" nd="1"/>
        <i x="20449" nd="1"/>
        <i x="20450" nd="1"/>
        <i x="20451" nd="1"/>
        <i x="20452" nd="1"/>
        <i x="20453" nd="1"/>
        <i x="20454" nd="1"/>
        <i x="20455" nd="1"/>
        <i x="20456" nd="1"/>
        <i x="20457" nd="1"/>
        <i x="20458" nd="1"/>
        <i x="20459" nd="1"/>
        <i x="20460" nd="1"/>
        <i x="20461" nd="1"/>
        <i x="20462" nd="1"/>
        <i x="20463" nd="1"/>
        <i x="20464" nd="1"/>
        <i x="20465" nd="1"/>
        <i x="20466" nd="1"/>
        <i x="20467" nd="1"/>
        <i x="20468" nd="1"/>
        <i x="20469" nd="1"/>
        <i x="20470" nd="1"/>
        <i x="20471" nd="1"/>
        <i x="20472" nd="1"/>
        <i x="20473" nd="1"/>
        <i x="20474" nd="1"/>
        <i x="20475" nd="1"/>
        <i x="20476" nd="1"/>
        <i x="20477" nd="1"/>
        <i x="20478" nd="1"/>
        <i x="20479" nd="1"/>
        <i x="20480" nd="1"/>
        <i x="20481" nd="1"/>
        <i x="20482" nd="1"/>
        <i x="20483" nd="1"/>
        <i x="20484" nd="1"/>
        <i x="20485" nd="1"/>
        <i x="20486" nd="1"/>
        <i x="20487" nd="1"/>
        <i x="20488" nd="1"/>
        <i x="20489" nd="1"/>
        <i x="20490" nd="1"/>
        <i x="20491" nd="1"/>
        <i x="20492" nd="1"/>
        <i x="20493" nd="1"/>
        <i x="20494" nd="1"/>
        <i x="20495" nd="1"/>
        <i x="20496" nd="1"/>
        <i x="20497" nd="1"/>
        <i x="20498" nd="1"/>
        <i x="20499" nd="1"/>
        <i x="20500" nd="1"/>
        <i x="20501" nd="1"/>
        <i x="20502" nd="1"/>
        <i x="20503" nd="1"/>
        <i x="20504" nd="1"/>
        <i x="20505" nd="1"/>
        <i x="20506" nd="1"/>
        <i x="20507" nd="1"/>
        <i x="20508" nd="1"/>
        <i x="20509" nd="1"/>
        <i x="20510" nd="1"/>
        <i x="20511" nd="1"/>
        <i x="20512" nd="1"/>
        <i x="20513" nd="1"/>
        <i x="20514" nd="1"/>
        <i x="20515" nd="1"/>
        <i x="20516" nd="1"/>
        <i x="20517" nd="1"/>
        <i x="20518" nd="1"/>
        <i x="20519" nd="1"/>
        <i x="20520" nd="1"/>
        <i x="20521" nd="1"/>
        <i x="20522" nd="1"/>
        <i x="20523" nd="1"/>
        <i x="20524" nd="1"/>
        <i x="20525" nd="1"/>
        <i x="20526" nd="1"/>
        <i x="20527" nd="1"/>
        <i x="20528" nd="1"/>
        <i x="20529" nd="1"/>
        <i x="20530" nd="1"/>
        <i x="20531" nd="1"/>
        <i x="20532" nd="1"/>
        <i x="20533" nd="1"/>
        <i x="20534" nd="1"/>
        <i x="20535" nd="1"/>
        <i x="20536" nd="1"/>
        <i x="20537" nd="1"/>
        <i x="20538" nd="1"/>
        <i x="20539" nd="1"/>
        <i x="20540" nd="1"/>
        <i x="20541" nd="1"/>
        <i x="20542" nd="1"/>
        <i x="20543" nd="1"/>
        <i x="20544" nd="1"/>
        <i x="20545" nd="1"/>
        <i x="20546" nd="1"/>
        <i x="20547" nd="1"/>
        <i x="20548" nd="1"/>
        <i x="20549" nd="1"/>
        <i x="20550" nd="1"/>
        <i x="20551" nd="1"/>
        <i x="20552" nd="1"/>
        <i x="20553" nd="1"/>
        <i x="20554" nd="1"/>
        <i x="20555" nd="1"/>
        <i x="20556" nd="1"/>
        <i x="20557" nd="1"/>
        <i x="20558" nd="1"/>
        <i x="20559" nd="1"/>
        <i x="20560" nd="1"/>
        <i x="20561" nd="1"/>
        <i x="20562" nd="1"/>
        <i x="20563" nd="1"/>
        <i x="20564" nd="1"/>
        <i x="20565" nd="1"/>
        <i x="20566" nd="1"/>
        <i x="20567" nd="1"/>
        <i x="20568" nd="1"/>
        <i x="20569" nd="1"/>
        <i x="20570" nd="1"/>
        <i x="20571" nd="1"/>
        <i x="20572" nd="1"/>
        <i x="20573" nd="1"/>
        <i x="20574" nd="1"/>
        <i x="20575" nd="1"/>
        <i x="20576" nd="1"/>
        <i x="20577" nd="1"/>
        <i x="20578" nd="1"/>
        <i x="20579" nd="1"/>
        <i x="20580" nd="1"/>
        <i x="20581" nd="1"/>
        <i x="20582" nd="1"/>
        <i x="20583" nd="1"/>
        <i x="20584" nd="1"/>
        <i x="20585" nd="1"/>
        <i x="20586" nd="1"/>
        <i x="20587" nd="1"/>
        <i x="20588" nd="1"/>
        <i x="20589" nd="1"/>
        <i x="20590" nd="1"/>
        <i x="20591" nd="1"/>
        <i x="20592" nd="1"/>
        <i x="20593" nd="1"/>
        <i x="20594" nd="1"/>
        <i x="20595" nd="1"/>
        <i x="20596" nd="1"/>
        <i x="20597" nd="1"/>
        <i x="20598" nd="1"/>
        <i x="20599" nd="1"/>
        <i x="20600" nd="1"/>
        <i x="20601" nd="1"/>
        <i x="20602" nd="1"/>
        <i x="20603" nd="1"/>
        <i x="20604" nd="1"/>
        <i x="20605" nd="1"/>
        <i x="20606" nd="1"/>
        <i x="20607" nd="1"/>
        <i x="20608" nd="1"/>
        <i x="20609" nd="1"/>
        <i x="20610" nd="1"/>
        <i x="20611" nd="1"/>
        <i x="20612" nd="1"/>
        <i x="20613" nd="1"/>
        <i x="20614" nd="1"/>
        <i x="20615" nd="1"/>
        <i x="20616" nd="1"/>
        <i x="20617" nd="1"/>
        <i x="20618" nd="1"/>
        <i x="20619" nd="1"/>
        <i x="20620" nd="1"/>
        <i x="20621" nd="1"/>
        <i x="20622" nd="1"/>
        <i x="20623" nd="1"/>
        <i x="20624" nd="1"/>
        <i x="20625" nd="1"/>
        <i x="20626" nd="1"/>
        <i x="20627" nd="1"/>
        <i x="20628" nd="1"/>
        <i x="20629" nd="1"/>
        <i x="20630" nd="1"/>
        <i x="20631" nd="1"/>
        <i x="20632" nd="1"/>
        <i x="20633" nd="1"/>
        <i x="20634" nd="1"/>
        <i x="20635" nd="1"/>
        <i x="20636" nd="1"/>
        <i x="20637" nd="1"/>
        <i x="20638" nd="1"/>
        <i x="20639" nd="1"/>
        <i x="20640" nd="1"/>
        <i x="20641" nd="1"/>
        <i x="20642" nd="1"/>
        <i x="20643" nd="1"/>
        <i x="20644" nd="1"/>
        <i x="20645" nd="1"/>
        <i x="20646" nd="1"/>
        <i x="20647" nd="1"/>
        <i x="20648" nd="1"/>
        <i x="20649" nd="1"/>
        <i x="20650" nd="1"/>
        <i x="20651" nd="1"/>
        <i x="20652" nd="1"/>
        <i x="20653" nd="1"/>
        <i x="20654" nd="1"/>
        <i x="20655" nd="1"/>
        <i x="20656" nd="1"/>
        <i x="20657" nd="1"/>
        <i x="20658" nd="1"/>
        <i x="20659" nd="1"/>
        <i x="20660" nd="1"/>
        <i x="20661" nd="1"/>
        <i x="20662" nd="1"/>
        <i x="20663" nd="1"/>
        <i x="20664" nd="1"/>
        <i x="20665" nd="1"/>
        <i x="20666" nd="1"/>
        <i x="20667" nd="1"/>
        <i x="20668" nd="1"/>
        <i x="20669" nd="1"/>
        <i x="20670" nd="1"/>
        <i x="20671" nd="1"/>
        <i x="20672" nd="1"/>
        <i x="20673" nd="1"/>
        <i x="20674" nd="1"/>
        <i x="20675" nd="1"/>
        <i x="20676" nd="1"/>
        <i x="20677" nd="1"/>
        <i x="20678" nd="1"/>
        <i x="20679" nd="1"/>
        <i x="20680" nd="1"/>
        <i x="20681" nd="1"/>
        <i x="20682" nd="1"/>
        <i x="20683" nd="1"/>
        <i x="20684" nd="1"/>
        <i x="20685" nd="1"/>
        <i x="20686" nd="1"/>
        <i x="20687" nd="1"/>
        <i x="20688" nd="1"/>
        <i x="20689" nd="1"/>
        <i x="20690" nd="1"/>
        <i x="20691" nd="1"/>
        <i x="20692" nd="1"/>
        <i x="20693" nd="1"/>
        <i x="20694" nd="1"/>
        <i x="20695" nd="1"/>
        <i x="20696" nd="1"/>
        <i x="20697" nd="1"/>
        <i x="20698" nd="1"/>
        <i x="20699" nd="1"/>
        <i x="20700" nd="1"/>
        <i x="20701" nd="1"/>
        <i x="20702" nd="1"/>
        <i x="20703" nd="1"/>
        <i x="20704" nd="1"/>
        <i x="20705" nd="1"/>
        <i x="20706" nd="1"/>
        <i x="20707" nd="1"/>
        <i x="20708" nd="1"/>
        <i x="20709" nd="1"/>
        <i x="20710" nd="1"/>
        <i x="20711" nd="1"/>
        <i x="20712" nd="1"/>
        <i x="20713" nd="1"/>
        <i x="20714" nd="1"/>
        <i x="20715" nd="1"/>
        <i x="20716" nd="1"/>
        <i x="20717" nd="1"/>
        <i x="20718" nd="1"/>
        <i x="20719" nd="1"/>
        <i x="20720" nd="1"/>
        <i x="20721" nd="1"/>
        <i x="20722" nd="1"/>
        <i x="20723" nd="1"/>
        <i x="20724" nd="1"/>
        <i x="20725" nd="1"/>
        <i x="20726" nd="1"/>
        <i x="20727" nd="1"/>
        <i x="20728" nd="1"/>
        <i x="20729" nd="1"/>
        <i x="20730" nd="1"/>
        <i x="20731" nd="1"/>
        <i x="20732" nd="1"/>
        <i x="20733" nd="1"/>
        <i x="20734" nd="1"/>
        <i x="20735" nd="1"/>
        <i x="20736" nd="1"/>
        <i x="20737" nd="1"/>
        <i x="20738" nd="1"/>
        <i x="20739" nd="1"/>
        <i x="20740" nd="1"/>
        <i x="20741" nd="1"/>
        <i x="20742" nd="1"/>
        <i x="20743" nd="1"/>
        <i x="20744" nd="1"/>
        <i x="20745" nd="1"/>
        <i x="20746" nd="1"/>
        <i x="20747" nd="1"/>
        <i x="20748" nd="1"/>
        <i x="20749" nd="1"/>
        <i x="20750" nd="1"/>
        <i x="20751" nd="1"/>
        <i x="20752" nd="1"/>
        <i x="20753" nd="1"/>
        <i x="20754" nd="1"/>
        <i x="20755" nd="1"/>
        <i x="20756" nd="1"/>
        <i x="20757" nd="1"/>
        <i x="20758" nd="1"/>
        <i x="20759" nd="1"/>
        <i x="20760" nd="1"/>
        <i x="20761" nd="1"/>
        <i x="20762" nd="1"/>
        <i x="20763" nd="1"/>
        <i x="20764" nd="1"/>
        <i x="20765" nd="1"/>
        <i x="20766" nd="1"/>
        <i x="20767" nd="1"/>
        <i x="20768" nd="1"/>
        <i x="20769" nd="1"/>
        <i x="20770" nd="1"/>
        <i x="20771" nd="1"/>
        <i x="20772" nd="1"/>
        <i x="20773" nd="1"/>
        <i x="20774" nd="1"/>
        <i x="20775" nd="1"/>
        <i x="20776" nd="1"/>
        <i x="20777" nd="1"/>
        <i x="20778" nd="1"/>
        <i x="20779" nd="1"/>
        <i x="20780" nd="1"/>
        <i x="20781" nd="1"/>
        <i x="20782" nd="1"/>
        <i x="20783" nd="1"/>
        <i x="20784" nd="1"/>
        <i x="20785" nd="1"/>
        <i x="20786" nd="1"/>
        <i x="20787" nd="1"/>
        <i x="20788" nd="1"/>
        <i x="20789" nd="1"/>
        <i x="20790" nd="1"/>
        <i x="20791" nd="1"/>
        <i x="20792" nd="1"/>
        <i x="20793" nd="1"/>
        <i x="20794" nd="1"/>
        <i x="20795" nd="1"/>
        <i x="20796" nd="1"/>
        <i x="20797" nd="1"/>
        <i x="20798" nd="1"/>
        <i x="20799" nd="1"/>
        <i x="20800" nd="1"/>
        <i x="20801" nd="1"/>
        <i x="20802" nd="1"/>
        <i x="20803" nd="1"/>
        <i x="20804" nd="1"/>
        <i x="20805" nd="1"/>
        <i x="20806" nd="1"/>
        <i x="20807" nd="1"/>
        <i x="20808" nd="1"/>
        <i x="20809" nd="1"/>
        <i x="20810" nd="1"/>
        <i x="20811" nd="1"/>
        <i x="20812" nd="1"/>
        <i x="20813" nd="1"/>
        <i x="20814" nd="1"/>
        <i x="20815" nd="1"/>
        <i x="20816" nd="1"/>
        <i x="20817" nd="1"/>
        <i x="20818" nd="1"/>
        <i x="20819" nd="1"/>
        <i x="20820" nd="1"/>
        <i x="20821" nd="1"/>
        <i x="20822" nd="1"/>
        <i x="20823" nd="1"/>
        <i x="20824" nd="1"/>
        <i x="20825" nd="1"/>
        <i x="20826" nd="1"/>
        <i x="20827" nd="1"/>
        <i x="20828" nd="1"/>
        <i x="20829" nd="1"/>
        <i x="20830" nd="1"/>
        <i x="20831" nd="1"/>
        <i x="20832" nd="1"/>
        <i x="20833" nd="1"/>
        <i x="20834" nd="1"/>
        <i x="20835" nd="1"/>
        <i x="20836" nd="1"/>
        <i x="20837" nd="1"/>
        <i x="20838" nd="1"/>
        <i x="20839" nd="1"/>
        <i x="20840" nd="1"/>
        <i x="20841" nd="1"/>
        <i x="20842" nd="1"/>
        <i x="20843" nd="1"/>
        <i x="20844" nd="1"/>
        <i x="20845" nd="1"/>
        <i x="20846" nd="1"/>
        <i x="20847" nd="1"/>
        <i x="20848" nd="1"/>
        <i x="20849" nd="1"/>
        <i x="20850" nd="1"/>
        <i x="20851" nd="1"/>
        <i x="20852" nd="1"/>
        <i x="20853" nd="1"/>
        <i x="20854" nd="1"/>
        <i x="20855" nd="1"/>
        <i x="20856" nd="1"/>
        <i x="20857" nd="1"/>
        <i x="20858" nd="1"/>
        <i x="20859" nd="1"/>
        <i x="20860" nd="1"/>
        <i x="20861" nd="1"/>
        <i x="20862" nd="1"/>
        <i x="20863" nd="1"/>
        <i x="20864" nd="1"/>
        <i x="20865" nd="1"/>
        <i x="20866" nd="1"/>
        <i x="20867" nd="1"/>
        <i x="20868" nd="1"/>
        <i x="20869" nd="1"/>
        <i x="20870" nd="1"/>
        <i x="20871" nd="1"/>
        <i x="20872" nd="1"/>
        <i x="20873" nd="1"/>
        <i x="20874" nd="1"/>
        <i x="20875" nd="1"/>
        <i x="20876" nd="1"/>
        <i x="20877" nd="1"/>
        <i x="20878" nd="1"/>
        <i x="20879" nd="1"/>
        <i x="20880" nd="1"/>
        <i x="20881" nd="1"/>
        <i x="20882" nd="1"/>
        <i x="20883" nd="1"/>
        <i x="20884" nd="1"/>
        <i x="20885" nd="1"/>
        <i x="20886" nd="1"/>
        <i x="20887" nd="1"/>
        <i x="20888" nd="1"/>
        <i x="20889" nd="1"/>
        <i x="20890" nd="1"/>
        <i x="20891" nd="1"/>
        <i x="20892" nd="1"/>
        <i x="20893" nd="1"/>
        <i x="20894" nd="1"/>
        <i x="20895" nd="1"/>
        <i x="20896" nd="1"/>
        <i x="20897" nd="1"/>
        <i x="20898" nd="1"/>
        <i x="20899" nd="1"/>
        <i x="20900" nd="1"/>
        <i x="20901" nd="1"/>
        <i x="20902" nd="1"/>
        <i x="20903" nd="1"/>
        <i x="20904" nd="1"/>
        <i x="20905" nd="1"/>
        <i x="20906" nd="1"/>
        <i x="20907" nd="1"/>
        <i x="20908" nd="1"/>
        <i x="20909" nd="1"/>
        <i x="20910" nd="1"/>
        <i x="20911" nd="1"/>
        <i x="20912" nd="1"/>
        <i x="20913" nd="1"/>
        <i x="20914" nd="1"/>
        <i x="20915" nd="1"/>
        <i x="20916" nd="1"/>
        <i x="20917" nd="1"/>
        <i x="20918" nd="1"/>
        <i x="20919" nd="1"/>
        <i x="20920" nd="1"/>
        <i x="20921" nd="1"/>
        <i x="20922" nd="1"/>
        <i x="20923" nd="1"/>
        <i x="20924" nd="1"/>
        <i x="20925" nd="1"/>
        <i x="20926" nd="1"/>
        <i x="20927" nd="1"/>
        <i x="20928" nd="1"/>
        <i x="20929" nd="1"/>
        <i x="20930" nd="1"/>
        <i x="20931" nd="1"/>
        <i x="20932" nd="1"/>
        <i x="20933" nd="1"/>
        <i x="20934" nd="1"/>
        <i x="20935" nd="1"/>
        <i x="20936" nd="1"/>
        <i x="20937" nd="1"/>
        <i x="20938" nd="1"/>
        <i x="20939" nd="1"/>
        <i x="20940" nd="1"/>
        <i x="20941" nd="1"/>
        <i x="20942" nd="1"/>
        <i x="20943" nd="1"/>
        <i x="20944" nd="1"/>
        <i x="20945" nd="1"/>
        <i x="20946" nd="1"/>
        <i x="20947" nd="1"/>
        <i x="20948" nd="1"/>
        <i x="20949" nd="1"/>
        <i x="20950" nd="1"/>
        <i x="20951" nd="1"/>
        <i x="20952" nd="1"/>
        <i x="20953" nd="1"/>
        <i x="20954" nd="1"/>
        <i x="20955" nd="1"/>
        <i x="20956" nd="1"/>
        <i x="20957" nd="1"/>
        <i x="20958" nd="1"/>
        <i x="20959" nd="1"/>
        <i x="20960" nd="1"/>
        <i x="20961" nd="1"/>
        <i x="20962" nd="1"/>
        <i x="20963" nd="1"/>
        <i x="20964" nd="1"/>
        <i x="20965" nd="1"/>
        <i x="20966" nd="1"/>
        <i x="20967" nd="1"/>
        <i x="20968" nd="1"/>
        <i x="20969" nd="1"/>
        <i x="20970" nd="1"/>
        <i x="20971" nd="1"/>
        <i x="20972" nd="1"/>
        <i x="20973" nd="1"/>
        <i x="20974" nd="1"/>
        <i x="20975" nd="1"/>
        <i x="20976" nd="1"/>
        <i x="20977" nd="1"/>
        <i x="20978" nd="1"/>
        <i x="20979" nd="1"/>
        <i x="20980" nd="1"/>
        <i x="20981" nd="1"/>
        <i x="20982" nd="1"/>
        <i x="20983" nd="1"/>
        <i x="20984" nd="1"/>
        <i x="20985" nd="1"/>
        <i x="20986" nd="1"/>
        <i x="20987" nd="1"/>
        <i x="20988" nd="1"/>
        <i x="20989" nd="1"/>
        <i x="20990" nd="1"/>
        <i x="20991" nd="1"/>
        <i x="20992" nd="1"/>
        <i x="20993" nd="1"/>
        <i x="20994" nd="1"/>
        <i x="20995" nd="1"/>
        <i x="20996" nd="1"/>
        <i x="20997" nd="1"/>
        <i x="20998" nd="1"/>
        <i x="20999" nd="1"/>
        <i x="21000" nd="1"/>
        <i x="21001" nd="1"/>
        <i x="21002" nd="1"/>
        <i x="21003" nd="1"/>
        <i x="21004" nd="1"/>
        <i x="21005" nd="1"/>
        <i x="21006" nd="1"/>
        <i x="21007" nd="1"/>
        <i x="21008" nd="1"/>
        <i x="21009" nd="1"/>
        <i x="21010" nd="1"/>
        <i x="21011" nd="1"/>
        <i x="21012" nd="1"/>
        <i x="21013" nd="1"/>
        <i x="21014" nd="1"/>
        <i x="21015" nd="1"/>
        <i x="21016" nd="1"/>
        <i x="21017" nd="1"/>
        <i x="21018" nd="1"/>
        <i x="21019" nd="1"/>
        <i x="21020" nd="1"/>
        <i x="21021" nd="1"/>
        <i x="21022" nd="1"/>
        <i x="21023" nd="1"/>
        <i x="21024" nd="1"/>
        <i x="21025" nd="1"/>
        <i x="21026" nd="1"/>
        <i x="21027" nd="1"/>
        <i x="21028" nd="1"/>
        <i x="21029" nd="1"/>
        <i x="21030" nd="1"/>
        <i x="21031" nd="1"/>
        <i x="21032" nd="1"/>
        <i x="21033" nd="1"/>
        <i x="21034" nd="1"/>
        <i x="21035" nd="1"/>
        <i x="21036" nd="1"/>
        <i x="21037" nd="1"/>
        <i x="21038" nd="1"/>
        <i x="21039" nd="1"/>
        <i x="21040" nd="1"/>
        <i x="21041" nd="1"/>
        <i x="21042" nd="1"/>
        <i x="21043" nd="1"/>
        <i x="21044" nd="1"/>
        <i x="21045" nd="1"/>
        <i x="21046" nd="1"/>
        <i x="21047" nd="1"/>
        <i x="21048" nd="1"/>
        <i x="21049" nd="1"/>
        <i x="21050" nd="1"/>
        <i x="21051" nd="1"/>
        <i x="21052" nd="1"/>
        <i x="21053" nd="1"/>
        <i x="21054" nd="1"/>
        <i x="21055" nd="1"/>
        <i x="21056" nd="1"/>
        <i x="21057" nd="1"/>
        <i x="21058" nd="1"/>
        <i x="21059" nd="1"/>
        <i x="21060" nd="1"/>
        <i x="21061" nd="1"/>
        <i x="21062" nd="1"/>
        <i x="21063" nd="1"/>
        <i x="21064" nd="1"/>
        <i x="21065" nd="1"/>
        <i x="21066" nd="1"/>
        <i x="21067" nd="1"/>
        <i x="21068" nd="1"/>
        <i x="21069" nd="1"/>
        <i x="21070" nd="1"/>
        <i x="21071" nd="1"/>
        <i x="21072" nd="1"/>
        <i x="21073" nd="1"/>
        <i x="21074" nd="1"/>
        <i x="21075" nd="1"/>
        <i x="21076" nd="1"/>
        <i x="21077" nd="1"/>
        <i x="21078" nd="1"/>
        <i x="21079" nd="1"/>
        <i x="21080" nd="1"/>
        <i x="21081" nd="1"/>
        <i x="21082" nd="1"/>
        <i x="21083" nd="1"/>
        <i x="21084" nd="1"/>
        <i x="21085" nd="1"/>
        <i x="21086" nd="1"/>
        <i x="21087" nd="1"/>
        <i x="21088" nd="1"/>
        <i x="21089" nd="1"/>
        <i x="21090" nd="1"/>
        <i x="21091" nd="1"/>
        <i x="21092" nd="1"/>
        <i x="21093" nd="1"/>
        <i x="21094" nd="1"/>
        <i x="21095" nd="1"/>
        <i x="21096" nd="1"/>
        <i x="21097" nd="1"/>
        <i x="21098" nd="1"/>
        <i x="21099" nd="1"/>
        <i x="21100" nd="1"/>
        <i x="21101" nd="1"/>
        <i x="21102" nd="1"/>
        <i x="21103" nd="1"/>
        <i x="21104" nd="1"/>
        <i x="21105" nd="1"/>
        <i x="21106" nd="1"/>
        <i x="21107" nd="1"/>
        <i x="21108" nd="1"/>
        <i x="21109" nd="1"/>
        <i x="21110" nd="1"/>
        <i x="21111" nd="1"/>
        <i x="21112" nd="1"/>
        <i x="21113" nd="1"/>
        <i x="21114" nd="1"/>
        <i x="21115" nd="1"/>
        <i x="21116" nd="1"/>
        <i x="21117" nd="1"/>
        <i x="21118" nd="1"/>
        <i x="21119" nd="1"/>
        <i x="21120" nd="1"/>
        <i x="21121" nd="1"/>
        <i x="21122" nd="1"/>
        <i x="21123" nd="1"/>
        <i x="21124" nd="1"/>
        <i x="21125" nd="1"/>
        <i x="21126" nd="1"/>
        <i x="21127" nd="1"/>
        <i x="21128" nd="1"/>
        <i x="21129" nd="1"/>
        <i x="21130" nd="1"/>
        <i x="21131" nd="1"/>
        <i x="21132" nd="1"/>
        <i x="21133" nd="1"/>
        <i x="21134" nd="1"/>
        <i x="21135" nd="1"/>
        <i x="21136" nd="1"/>
        <i x="21137" nd="1"/>
        <i x="21138" nd="1"/>
        <i x="21139" nd="1"/>
        <i x="21140" nd="1"/>
        <i x="21141" nd="1"/>
        <i x="21142" nd="1"/>
        <i x="21143" nd="1"/>
        <i x="21144" nd="1"/>
        <i x="21145" nd="1"/>
        <i x="21146" nd="1"/>
        <i x="21147" nd="1"/>
        <i x="21148" nd="1"/>
        <i x="21149" nd="1"/>
        <i x="21150" nd="1"/>
        <i x="21151" nd="1"/>
        <i x="21152" nd="1"/>
        <i x="21153" nd="1"/>
        <i x="21154" nd="1"/>
        <i x="21155" nd="1"/>
        <i x="21156" nd="1"/>
        <i x="21157" nd="1"/>
        <i x="21158" nd="1"/>
        <i x="21159" nd="1"/>
        <i x="21160" nd="1"/>
        <i x="21161" nd="1"/>
        <i x="21162" nd="1"/>
        <i x="21163" nd="1"/>
        <i x="21164" nd="1"/>
        <i x="21165" nd="1"/>
        <i x="21166" nd="1"/>
        <i x="21167" nd="1"/>
        <i x="21168" nd="1"/>
        <i x="21169" nd="1"/>
        <i x="21170" nd="1"/>
        <i x="21171" nd="1"/>
        <i x="21172" nd="1"/>
        <i x="21173" nd="1"/>
        <i x="21174" nd="1"/>
        <i x="21175" nd="1"/>
        <i x="21176" nd="1"/>
        <i x="21177" nd="1"/>
        <i x="21178" nd="1"/>
        <i x="21179" nd="1"/>
        <i x="21180" nd="1"/>
        <i x="21181" nd="1"/>
        <i x="21182" nd="1"/>
        <i x="21183" nd="1"/>
        <i x="21184" nd="1"/>
        <i x="21185" nd="1"/>
        <i x="21186" nd="1"/>
        <i x="21187" nd="1"/>
        <i x="21188" nd="1"/>
        <i x="21189" nd="1"/>
        <i x="21190" nd="1"/>
        <i x="21191" nd="1"/>
        <i x="21192" nd="1"/>
        <i x="21193" nd="1"/>
        <i x="21194" nd="1"/>
        <i x="21195" nd="1"/>
        <i x="21196" nd="1"/>
        <i x="21197" nd="1"/>
        <i x="21198" nd="1"/>
        <i x="21199" nd="1"/>
        <i x="21200" nd="1"/>
        <i x="21201" nd="1"/>
        <i x="21202" nd="1"/>
        <i x="21203" nd="1"/>
        <i x="21204" nd="1"/>
        <i x="21205" nd="1"/>
        <i x="21206" nd="1"/>
        <i x="21207" nd="1"/>
        <i x="21208" nd="1"/>
        <i x="21209" nd="1"/>
        <i x="21210" nd="1"/>
        <i x="21211" nd="1"/>
        <i x="21212" nd="1"/>
        <i x="21213" nd="1"/>
        <i x="21214" nd="1"/>
        <i x="21215" nd="1"/>
        <i x="21216" nd="1"/>
        <i x="21217" nd="1"/>
        <i x="21218" nd="1"/>
        <i x="21219" nd="1"/>
        <i x="21220" nd="1"/>
        <i x="21221" nd="1"/>
        <i x="21222" nd="1"/>
        <i x="21223" nd="1"/>
        <i x="21224" nd="1"/>
        <i x="21225" nd="1"/>
        <i x="21226" nd="1"/>
        <i x="21227" nd="1"/>
        <i x="21228" nd="1"/>
        <i x="21229" nd="1"/>
        <i x="21230" nd="1"/>
        <i x="21231" nd="1"/>
        <i x="21232" nd="1"/>
        <i x="21233" nd="1"/>
        <i x="21234" nd="1"/>
        <i x="21235" nd="1"/>
        <i x="21236" nd="1"/>
        <i x="21237" nd="1"/>
        <i x="21238" nd="1"/>
        <i x="21239" nd="1"/>
        <i x="21240" nd="1"/>
        <i x="21241" nd="1"/>
        <i x="21242" nd="1"/>
        <i x="21243" nd="1"/>
        <i x="21244" nd="1"/>
        <i x="21245" nd="1"/>
        <i x="21246" nd="1"/>
        <i x="21247" nd="1"/>
        <i x="21248" nd="1"/>
        <i x="21249" nd="1"/>
        <i x="21250" nd="1"/>
        <i x="21251" nd="1"/>
        <i x="21252" nd="1"/>
        <i x="21253" nd="1"/>
        <i x="21254" nd="1"/>
        <i x="21255" nd="1"/>
        <i x="21256" nd="1"/>
        <i x="21257" nd="1"/>
        <i x="21258" nd="1"/>
        <i x="21259" nd="1"/>
        <i x="21260" nd="1"/>
        <i x="21261" nd="1"/>
        <i x="21262" nd="1"/>
        <i x="21263" nd="1"/>
        <i x="21264" nd="1"/>
        <i x="21265" nd="1"/>
        <i x="21266" nd="1"/>
        <i x="21267" nd="1"/>
        <i x="21268" nd="1"/>
        <i x="21269" nd="1"/>
        <i x="21270" nd="1"/>
        <i x="21271" nd="1"/>
        <i x="21272" nd="1"/>
        <i x="21273" nd="1"/>
        <i x="21274" nd="1"/>
        <i x="21275" nd="1"/>
        <i x="21276" nd="1"/>
        <i x="21277" nd="1"/>
        <i x="21278" nd="1"/>
        <i x="21279" nd="1"/>
        <i x="21280" nd="1"/>
        <i x="21281" nd="1"/>
        <i x="21282" nd="1"/>
        <i x="21283" nd="1"/>
        <i x="21284" nd="1"/>
        <i x="21285" nd="1"/>
        <i x="21286" nd="1"/>
        <i x="21287" nd="1"/>
        <i x="21288" nd="1"/>
        <i x="21289" nd="1"/>
        <i x="21290" nd="1"/>
        <i x="21291" nd="1"/>
        <i x="21292" nd="1"/>
        <i x="21293" nd="1"/>
        <i x="21294" nd="1"/>
        <i x="21295" nd="1"/>
        <i x="21296" nd="1"/>
        <i x="21297" nd="1"/>
        <i x="21298" nd="1"/>
        <i x="21299" nd="1"/>
        <i x="21300" nd="1"/>
        <i x="21301" nd="1"/>
        <i x="21302" nd="1"/>
        <i x="21303" nd="1"/>
        <i x="21304" nd="1"/>
        <i x="21305" nd="1"/>
        <i x="21306" nd="1"/>
        <i x="21307" nd="1"/>
        <i x="21308" nd="1"/>
        <i x="21309" nd="1"/>
        <i x="21310" nd="1"/>
        <i x="21311" nd="1"/>
        <i x="21312" nd="1"/>
        <i x="21313" nd="1"/>
        <i x="21314" nd="1"/>
        <i x="21315" nd="1"/>
        <i x="21316" nd="1"/>
        <i x="21317" nd="1"/>
        <i x="21318" nd="1"/>
        <i x="21319" nd="1"/>
        <i x="21320" nd="1"/>
        <i x="21321" nd="1"/>
        <i x="21322" nd="1"/>
        <i x="21323" nd="1"/>
        <i x="21324" nd="1"/>
        <i x="21325" nd="1"/>
        <i x="21326" nd="1"/>
        <i x="21327" nd="1"/>
        <i x="21328" nd="1"/>
        <i x="21329" nd="1"/>
        <i x="21330" nd="1"/>
        <i x="21331" nd="1"/>
        <i x="21332" nd="1"/>
        <i x="21333" nd="1"/>
        <i x="21334" nd="1"/>
        <i x="21335" nd="1"/>
        <i x="21336" nd="1"/>
        <i x="21337" nd="1"/>
        <i x="21338" nd="1"/>
        <i x="21339" nd="1"/>
        <i x="21340" nd="1"/>
        <i x="21341" nd="1"/>
        <i x="21342" nd="1"/>
        <i x="21343" nd="1"/>
        <i x="21344" nd="1"/>
        <i x="21345" nd="1"/>
        <i x="21346" nd="1"/>
        <i x="21347" nd="1"/>
        <i x="21348" nd="1"/>
        <i x="21349" nd="1"/>
        <i x="21350" nd="1"/>
        <i x="21351" nd="1"/>
        <i x="21352" nd="1"/>
        <i x="21353" nd="1"/>
        <i x="21354" nd="1"/>
        <i x="21355" nd="1"/>
        <i x="21356" nd="1"/>
        <i x="21357" nd="1"/>
        <i x="21358" nd="1"/>
        <i x="21359" nd="1"/>
        <i x="21360" nd="1"/>
        <i x="21361" nd="1"/>
        <i x="21362" nd="1"/>
        <i x="21363" nd="1"/>
        <i x="21364" nd="1"/>
        <i x="21365" nd="1"/>
        <i x="21366" nd="1"/>
        <i x="21367" nd="1"/>
        <i x="21368" nd="1"/>
        <i x="21369" nd="1"/>
        <i x="21370" nd="1"/>
        <i x="21371" nd="1"/>
        <i x="21372" nd="1"/>
        <i x="21373" nd="1"/>
        <i x="21374" nd="1"/>
        <i x="21375" nd="1"/>
        <i x="21376" nd="1"/>
        <i x="21377" nd="1"/>
        <i x="21378" nd="1"/>
        <i x="21379" nd="1"/>
        <i x="21380" nd="1"/>
        <i x="21381" nd="1"/>
        <i x="21382" nd="1"/>
        <i x="21383" nd="1"/>
        <i x="21384" nd="1"/>
        <i x="21385" nd="1"/>
        <i x="21386" nd="1"/>
        <i x="21387" nd="1"/>
        <i x="21388" nd="1"/>
        <i x="21389" nd="1"/>
        <i x="21390" nd="1"/>
        <i x="21391" nd="1"/>
        <i x="21392" nd="1"/>
        <i x="21393" nd="1"/>
        <i x="21394" nd="1"/>
        <i x="21395" nd="1"/>
        <i x="21396" nd="1"/>
        <i x="21397" nd="1"/>
        <i x="21398" nd="1"/>
        <i x="21399" nd="1"/>
        <i x="21400" nd="1"/>
        <i x="21401" nd="1"/>
        <i x="21402" nd="1"/>
        <i x="21403" nd="1"/>
        <i x="21404" nd="1"/>
        <i x="21405" nd="1"/>
        <i x="21406" nd="1"/>
        <i x="21407" nd="1"/>
        <i x="21408" nd="1"/>
        <i x="21409" nd="1"/>
        <i x="21410" nd="1"/>
        <i x="21411" nd="1"/>
        <i x="21412" nd="1"/>
        <i x="21413" nd="1"/>
        <i x="21414" nd="1"/>
        <i x="21415" nd="1"/>
        <i x="21416" nd="1"/>
        <i x="21417" nd="1"/>
        <i x="21418" nd="1"/>
        <i x="21419" nd="1"/>
        <i x="21420" nd="1"/>
        <i x="21421" nd="1"/>
        <i x="21422" nd="1"/>
        <i x="21423" nd="1"/>
        <i x="21424" nd="1"/>
        <i x="21425" nd="1"/>
        <i x="21426" nd="1"/>
        <i x="21427" nd="1"/>
        <i x="21428" nd="1"/>
        <i x="21429" nd="1"/>
        <i x="21430" nd="1"/>
        <i x="21431" nd="1"/>
        <i x="21432" nd="1"/>
        <i x="21433" nd="1"/>
        <i x="21434" nd="1"/>
        <i x="21435" nd="1"/>
        <i x="21436" nd="1"/>
        <i x="21437" nd="1"/>
        <i x="21438" nd="1"/>
        <i x="21439" nd="1"/>
        <i x="21440" nd="1"/>
        <i x="21441" nd="1"/>
        <i x="21442" nd="1"/>
        <i x="21443" nd="1"/>
        <i x="21444" nd="1"/>
        <i x="21445" nd="1"/>
        <i x="21446" nd="1"/>
        <i x="21447" nd="1"/>
        <i x="21448" nd="1"/>
        <i x="21449" nd="1"/>
        <i x="21450" nd="1"/>
        <i x="21451" nd="1"/>
        <i x="21452" nd="1"/>
        <i x="21453" nd="1"/>
        <i x="21454" nd="1"/>
        <i x="21455" nd="1"/>
        <i x="21456" nd="1"/>
        <i x="21457" nd="1"/>
        <i x="21458" nd="1"/>
        <i x="21459" nd="1"/>
        <i x="21460" nd="1"/>
        <i x="21461" nd="1"/>
        <i x="21462" nd="1"/>
        <i x="21463" nd="1"/>
        <i x="21464" nd="1"/>
        <i x="21465" nd="1"/>
        <i x="21466" nd="1"/>
        <i x="21467" nd="1"/>
        <i x="21468" nd="1"/>
        <i x="21469" nd="1"/>
        <i x="21470" nd="1"/>
        <i x="21471" nd="1"/>
        <i x="21472" nd="1"/>
        <i x="21473" nd="1"/>
        <i x="21474" nd="1"/>
        <i x="21475" nd="1"/>
        <i x="21476" nd="1"/>
        <i x="21477" nd="1"/>
        <i x="21478" nd="1"/>
        <i x="21479" nd="1"/>
        <i x="21480" nd="1"/>
        <i x="21481" nd="1"/>
        <i x="21482" nd="1"/>
        <i x="21483" nd="1"/>
        <i x="21484" nd="1"/>
        <i x="21485" nd="1"/>
        <i x="21486" nd="1"/>
        <i x="21487" nd="1"/>
        <i x="21488" nd="1"/>
        <i x="21489" nd="1"/>
        <i x="21490" nd="1"/>
        <i x="21491" nd="1"/>
        <i x="21492" nd="1"/>
        <i x="21493" nd="1"/>
        <i x="21494" nd="1"/>
        <i x="21495" nd="1"/>
        <i x="21496" nd="1"/>
        <i x="21497" nd="1"/>
        <i x="21498" nd="1"/>
        <i x="21499" nd="1"/>
        <i x="21500" nd="1"/>
        <i x="21501" nd="1"/>
        <i x="21502" nd="1"/>
        <i x="21503" nd="1"/>
        <i x="21504" nd="1"/>
        <i x="21505" nd="1"/>
        <i x="21506" nd="1"/>
        <i x="21507" nd="1"/>
        <i x="21508" nd="1"/>
        <i x="21509" nd="1"/>
        <i x="21510" nd="1"/>
        <i x="21511" nd="1"/>
        <i x="21512" nd="1"/>
        <i x="21513" nd="1"/>
        <i x="21514" nd="1"/>
        <i x="21515" nd="1"/>
        <i x="21516" nd="1"/>
        <i x="21517" nd="1"/>
        <i x="21518" nd="1"/>
        <i x="21519" nd="1"/>
        <i x="21520" nd="1"/>
        <i x="21521" nd="1"/>
        <i x="21522" nd="1"/>
        <i x="21523" nd="1"/>
        <i x="21524" nd="1"/>
        <i x="21525" nd="1"/>
        <i x="21526" nd="1"/>
        <i x="21527" nd="1"/>
        <i x="21528" nd="1"/>
        <i x="21529" nd="1"/>
        <i x="21530" nd="1"/>
        <i x="21531" nd="1"/>
        <i x="21532" nd="1"/>
        <i x="21533" nd="1"/>
        <i x="21534" nd="1"/>
        <i x="21535" nd="1"/>
        <i x="21536" nd="1"/>
        <i x="21537" nd="1"/>
        <i x="21538" nd="1"/>
        <i x="21539" nd="1"/>
        <i x="21540" nd="1"/>
        <i x="21541" nd="1"/>
        <i x="21542" nd="1"/>
        <i x="21543" nd="1"/>
        <i x="21544" nd="1"/>
        <i x="21545" nd="1"/>
        <i x="21546" nd="1"/>
        <i x="21547" nd="1"/>
        <i x="21548" nd="1"/>
        <i x="21549" nd="1"/>
        <i x="21550" nd="1"/>
        <i x="21551" nd="1"/>
        <i x="21552" nd="1"/>
        <i x="21553" nd="1"/>
        <i x="21554" nd="1"/>
        <i x="21555" nd="1"/>
        <i x="21556" nd="1"/>
        <i x="21557" nd="1"/>
        <i x="21558" nd="1"/>
        <i x="21559" nd="1"/>
        <i x="21560" nd="1"/>
        <i x="21561" nd="1"/>
        <i x="21562" nd="1"/>
        <i x="21563" nd="1"/>
        <i x="21564" nd="1"/>
        <i x="21565" nd="1"/>
        <i x="21566" nd="1"/>
        <i x="21567" nd="1"/>
        <i x="21568" nd="1"/>
        <i x="21569" nd="1"/>
        <i x="21570" nd="1"/>
        <i x="21571" nd="1"/>
        <i x="21572" nd="1"/>
        <i x="21573" nd="1"/>
        <i x="21574" nd="1"/>
        <i x="21575" nd="1"/>
        <i x="21576" nd="1"/>
        <i x="21577" nd="1"/>
        <i x="21578" nd="1"/>
        <i x="21579" nd="1"/>
        <i x="21580" nd="1"/>
        <i x="21581" nd="1"/>
        <i x="21582" nd="1"/>
        <i x="21583" nd="1"/>
        <i x="21584" nd="1"/>
        <i x="21585" nd="1"/>
        <i x="21586" nd="1"/>
        <i x="21587" nd="1"/>
        <i x="21588" nd="1"/>
        <i x="21589" nd="1"/>
        <i x="21590" nd="1"/>
        <i x="21591" nd="1"/>
        <i x="21592" nd="1"/>
        <i x="21593" nd="1"/>
        <i x="21594" nd="1"/>
        <i x="21595" nd="1"/>
        <i x="21596" nd="1"/>
        <i x="21597" nd="1"/>
        <i x="21598" nd="1"/>
        <i x="21599" nd="1"/>
        <i x="21600" nd="1"/>
        <i x="21601" nd="1"/>
        <i x="21602" nd="1"/>
        <i x="21603" nd="1"/>
        <i x="21604" nd="1"/>
        <i x="21605" nd="1"/>
        <i x="21606" nd="1"/>
        <i x="21607" nd="1"/>
        <i x="21608" nd="1"/>
        <i x="21609" nd="1"/>
        <i x="21610" nd="1"/>
        <i x="21611" nd="1"/>
        <i x="21612" nd="1"/>
        <i x="21613" nd="1"/>
        <i x="21614" nd="1"/>
        <i x="21615" nd="1"/>
        <i x="21616" nd="1"/>
        <i x="21617" nd="1"/>
        <i x="21618" nd="1"/>
        <i x="21619" nd="1"/>
        <i x="21620" nd="1"/>
        <i x="21621" nd="1"/>
        <i x="21622" nd="1"/>
        <i x="21623" nd="1"/>
        <i x="21624" nd="1"/>
        <i x="21625" nd="1"/>
        <i x="21626" nd="1"/>
        <i x="21627" nd="1"/>
        <i x="21628" nd="1"/>
        <i x="21629" nd="1"/>
        <i x="21630" nd="1"/>
        <i x="21631" nd="1"/>
        <i x="21632" nd="1"/>
        <i x="21633" nd="1"/>
        <i x="21634" nd="1"/>
        <i x="21635" nd="1"/>
        <i x="21636" nd="1"/>
        <i x="21637" nd="1"/>
        <i x="21638" nd="1"/>
        <i x="21639" nd="1"/>
        <i x="21640" nd="1"/>
        <i x="21641" nd="1"/>
        <i x="21642" nd="1"/>
        <i x="21643" nd="1"/>
        <i x="21644" nd="1"/>
        <i x="21645" nd="1"/>
        <i x="21646" nd="1"/>
        <i x="21647" nd="1"/>
        <i x="21648" nd="1"/>
        <i x="21649" nd="1"/>
        <i x="21650" nd="1"/>
        <i x="21651" nd="1"/>
        <i x="21652" nd="1"/>
        <i x="21653" nd="1"/>
        <i x="21654" nd="1"/>
        <i x="21655" nd="1"/>
        <i x="21656" nd="1"/>
        <i x="21657" nd="1"/>
        <i x="21658" nd="1"/>
        <i x="21659" nd="1"/>
        <i x="21660" nd="1"/>
        <i x="21661" nd="1"/>
        <i x="21662" nd="1"/>
        <i x="21663" nd="1"/>
        <i x="21664" nd="1"/>
        <i x="21665" nd="1"/>
        <i x="21666" nd="1"/>
        <i x="21667" nd="1"/>
        <i x="21668" nd="1"/>
        <i x="21669" nd="1"/>
        <i x="21670" nd="1"/>
        <i x="21671" nd="1"/>
        <i x="21672" nd="1"/>
        <i x="21673" nd="1"/>
        <i x="21674" nd="1"/>
        <i x="21675" nd="1"/>
        <i x="21676" nd="1"/>
        <i x="21677" nd="1"/>
        <i x="21678" nd="1"/>
        <i x="21679" nd="1"/>
        <i x="21680" nd="1"/>
        <i x="21681" nd="1"/>
        <i x="21682" nd="1"/>
        <i x="21683" nd="1"/>
        <i x="21684" nd="1"/>
        <i x="21685" nd="1"/>
        <i x="21686" nd="1"/>
        <i x="21687" nd="1"/>
        <i x="21688" nd="1"/>
        <i x="21689" nd="1"/>
        <i x="21690" nd="1"/>
        <i x="21691" nd="1"/>
        <i x="21692" nd="1"/>
        <i x="21693" nd="1"/>
        <i x="21694" nd="1"/>
        <i x="21695" nd="1"/>
        <i x="21696" nd="1"/>
        <i x="21697" nd="1"/>
        <i x="21698" nd="1"/>
        <i x="21699" nd="1"/>
        <i x="21700" nd="1"/>
        <i x="21701" nd="1"/>
        <i x="21702" nd="1"/>
        <i x="21703" nd="1"/>
        <i x="21704" nd="1"/>
        <i x="21705" nd="1"/>
        <i x="21706" nd="1"/>
        <i x="21707" nd="1"/>
        <i x="21708" nd="1"/>
        <i x="21709" nd="1"/>
        <i x="21710" nd="1"/>
        <i x="21711" nd="1"/>
        <i x="21712" nd="1"/>
        <i x="21713" nd="1"/>
        <i x="21714" nd="1"/>
        <i x="21715" nd="1"/>
        <i x="21716" nd="1"/>
        <i x="21717" nd="1"/>
        <i x="21718" nd="1"/>
        <i x="21719" nd="1"/>
        <i x="21720" nd="1"/>
        <i x="21721" nd="1"/>
        <i x="21722" nd="1"/>
        <i x="21723" nd="1"/>
        <i x="21724" nd="1"/>
        <i x="21725" nd="1"/>
        <i x="21726" nd="1"/>
        <i x="21727" nd="1"/>
        <i x="21728" nd="1"/>
        <i x="21729" nd="1"/>
        <i x="21730" nd="1"/>
        <i x="21731" nd="1"/>
        <i x="21732" nd="1"/>
        <i x="21733" nd="1"/>
        <i x="21734" nd="1"/>
        <i x="21735" nd="1"/>
        <i x="21736" nd="1"/>
        <i x="21737" nd="1"/>
        <i x="21738" nd="1"/>
        <i x="21739" nd="1"/>
        <i x="21740" nd="1"/>
        <i x="21741" nd="1"/>
        <i x="21742" nd="1"/>
        <i x="21743" nd="1"/>
        <i x="21744" nd="1"/>
        <i x="21745" nd="1"/>
        <i x="21746" nd="1"/>
        <i x="21747" nd="1"/>
        <i x="21748" nd="1"/>
        <i x="21749" nd="1"/>
        <i x="21750" nd="1"/>
        <i x="21751" nd="1"/>
        <i x="21752" nd="1"/>
        <i x="21753" nd="1"/>
        <i x="21754" nd="1"/>
        <i x="21755" nd="1"/>
        <i x="21756" nd="1"/>
        <i x="21757" nd="1"/>
        <i x="21758" nd="1"/>
        <i x="21759" nd="1"/>
        <i x="21760" nd="1"/>
        <i x="21761" nd="1"/>
        <i x="21762" nd="1"/>
        <i x="21763" nd="1"/>
        <i x="21764" nd="1"/>
        <i x="21765" nd="1"/>
        <i x="21766" nd="1"/>
        <i x="21767" nd="1"/>
        <i x="21768" nd="1"/>
        <i x="21769" nd="1"/>
        <i x="21770" nd="1"/>
        <i x="21771" nd="1"/>
        <i x="21772" nd="1"/>
        <i x="21773" nd="1"/>
        <i x="21774" nd="1"/>
        <i x="21775" nd="1"/>
        <i x="21776" nd="1"/>
        <i x="21777" nd="1"/>
        <i x="21778" nd="1"/>
        <i x="21779" nd="1"/>
        <i x="21780" nd="1"/>
        <i x="21781" nd="1"/>
        <i x="21782" nd="1"/>
        <i x="21783" nd="1"/>
        <i x="21784" nd="1"/>
        <i x="21785" nd="1"/>
        <i x="21786" nd="1"/>
        <i x="21787" nd="1"/>
        <i x="21788" nd="1"/>
        <i x="21789" nd="1"/>
        <i x="21790" nd="1"/>
        <i x="21791" nd="1"/>
        <i x="21792" nd="1"/>
        <i x="21793" nd="1"/>
        <i x="21794" nd="1"/>
        <i x="21795" nd="1"/>
        <i x="21796" nd="1"/>
        <i x="21797" nd="1"/>
        <i x="21798" nd="1"/>
        <i x="21799" nd="1"/>
        <i x="21800" nd="1"/>
        <i x="21801" nd="1"/>
        <i x="21802" nd="1"/>
        <i x="21803" nd="1"/>
        <i x="21804" nd="1"/>
        <i x="21805" nd="1"/>
        <i x="21806" nd="1"/>
        <i x="21807" nd="1"/>
        <i x="21808" nd="1"/>
        <i x="21809" nd="1"/>
        <i x="21810" nd="1"/>
        <i x="21811" nd="1"/>
        <i x="21812" nd="1"/>
        <i x="21813" nd="1"/>
        <i x="21814" nd="1"/>
        <i x="21815" nd="1"/>
        <i x="21816" nd="1"/>
        <i x="21817" nd="1"/>
        <i x="21818" nd="1"/>
        <i x="21819" nd="1"/>
        <i x="21820" nd="1"/>
        <i x="21821" nd="1"/>
        <i x="21822" nd="1"/>
        <i x="21823" nd="1"/>
        <i x="21824" nd="1"/>
        <i x="21825" nd="1"/>
        <i x="21826" nd="1"/>
        <i x="21827" nd="1"/>
        <i x="21828" nd="1"/>
        <i x="21829" nd="1"/>
        <i x="21830" nd="1"/>
        <i x="21831" nd="1"/>
        <i x="21832" nd="1"/>
        <i x="21833" nd="1"/>
        <i x="21834" nd="1"/>
        <i x="21835" nd="1"/>
        <i x="21836" nd="1"/>
        <i x="21837" nd="1"/>
        <i x="21838" nd="1"/>
        <i x="21839" nd="1"/>
        <i x="21840" nd="1"/>
        <i x="21841" nd="1"/>
        <i x="21842" nd="1"/>
        <i x="21843" nd="1"/>
        <i x="21844" nd="1"/>
        <i x="21845" nd="1"/>
        <i x="21846" nd="1"/>
        <i x="21847" nd="1"/>
        <i x="21848" nd="1"/>
        <i x="21849" nd="1"/>
        <i x="21850" nd="1"/>
        <i x="21851" nd="1"/>
        <i x="21852" nd="1"/>
        <i x="21853" nd="1"/>
        <i x="21854" nd="1"/>
        <i x="21855" nd="1"/>
        <i x="21856" nd="1"/>
        <i x="21857" nd="1"/>
        <i x="21858" nd="1"/>
        <i x="21859" nd="1"/>
        <i x="21860" nd="1"/>
        <i x="21861" nd="1"/>
        <i x="21862" nd="1"/>
        <i x="21863" nd="1"/>
        <i x="21864" nd="1"/>
        <i x="21865" nd="1"/>
        <i x="21866" nd="1"/>
        <i x="21867" nd="1"/>
        <i x="21868" nd="1"/>
        <i x="21869" nd="1"/>
        <i x="21870" nd="1"/>
        <i x="21871" nd="1"/>
        <i x="21872" nd="1"/>
        <i x="21873" nd="1"/>
        <i x="21874" nd="1"/>
        <i x="21875" nd="1"/>
        <i x="21876" nd="1"/>
        <i x="21877" nd="1"/>
        <i x="21878" nd="1"/>
        <i x="21879" nd="1"/>
        <i x="21880" nd="1"/>
        <i x="21881" nd="1"/>
        <i x="21882" nd="1"/>
        <i x="21883" nd="1"/>
        <i x="21884" nd="1"/>
        <i x="21885" nd="1"/>
        <i x="21886" nd="1"/>
        <i x="21887" nd="1"/>
        <i x="21888" nd="1"/>
        <i x="21889" nd="1"/>
        <i x="21890" nd="1"/>
        <i x="21891" nd="1"/>
        <i x="21892" nd="1"/>
        <i x="21893" nd="1"/>
        <i x="21894" nd="1"/>
        <i x="21895" nd="1"/>
        <i x="21896" nd="1"/>
        <i x="21897" nd="1"/>
        <i x="21898" nd="1"/>
        <i x="21899" nd="1"/>
        <i x="21900" nd="1"/>
        <i x="21901" nd="1"/>
        <i x="21902" nd="1"/>
        <i x="21903" nd="1"/>
        <i x="21904" nd="1"/>
        <i x="21905" nd="1"/>
        <i x="21906" nd="1"/>
        <i x="21907" nd="1"/>
        <i x="21908" nd="1"/>
        <i x="21909" nd="1"/>
        <i x="21910" nd="1"/>
        <i x="21911" nd="1"/>
        <i x="21912" nd="1"/>
        <i x="21913" nd="1"/>
        <i x="21914" nd="1"/>
        <i x="21915" nd="1"/>
        <i x="21916" nd="1"/>
        <i x="21917" nd="1"/>
        <i x="21918" nd="1"/>
        <i x="21919" nd="1"/>
        <i x="21920" nd="1"/>
        <i x="21921" nd="1"/>
        <i x="21922" nd="1"/>
        <i x="21923" nd="1"/>
        <i x="21924" nd="1"/>
        <i x="21925" nd="1"/>
        <i x="21926" nd="1"/>
        <i x="21927" nd="1"/>
        <i x="21928" nd="1"/>
        <i x="21929" nd="1"/>
        <i x="21930" nd="1"/>
        <i x="21931" nd="1"/>
        <i x="21932" nd="1"/>
        <i x="21933" nd="1"/>
        <i x="21934" nd="1"/>
        <i x="21935" nd="1"/>
        <i x="21936" nd="1"/>
        <i x="21937" nd="1"/>
        <i x="21938" nd="1"/>
        <i x="21939" nd="1"/>
        <i x="21940" nd="1"/>
        <i x="21941" nd="1"/>
        <i x="21942" nd="1"/>
        <i x="21943" nd="1"/>
        <i x="21944" nd="1"/>
        <i x="21945" nd="1"/>
        <i x="21946" nd="1"/>
        <i x="21947" nd="1"/>
        <i x="21948" nd="1"/>
        <i x="21949" nd="1"/>
        <i x="21950" nd="1"/>
        <i x="21951" nd="1"/>
        <i x="21952" nd="1"/>
        <i x="21953" nd="1"/>
        <i x="21954" nd="1"/>
        <i x="21955" nd="1"/>
        <i x="21956" nd="1"/>
        <i x="21957" nd="1"/>
        <i x="21958" nd="1"/>
        <i x="21959" nd="1"/>
        <i x="21960" nd="1"/>
        <i x="21961" nd="1"/>
        <i x="21962" nd="1"/>
        <i x="21963" nd="1"/>
        <i x="21964" nd="1"/>
        <i x="21965" nd="1"/>
        <i x="21966" nd="1"/>
        <i x="21967" nd="1"/>
        <i x="21968" nd="1"/>
        <i x="21969" nd="1"/>
        <i x="21970" nd="1"/>
        <i x="21971" nd="1"/>
        <i x="21972" nd="1"/>
        <i x="21973" nd="1"/>
        <i x="21974" nd="1"/>
        <i x="21975" nd="1"/>
        <i x="21976" nd="1"/>
        <i x="21977" nd="1"/>
        <i x="21978" nd="1"/>
        <i x="21979" nd="1"/>
        <i x="21980" nd="1"/>
        <i x="21981" nd="1"/>
        <i x="21982" nd="1"/>
        <i x="21983" nd="1"/>
        <i x="21984" nd="1"/>
        <i x="21985" nd="1"/>
        <i x="21986" nd="1"/>
        <i x="21987" nd="1"/>
        <i x="21988" nd="1"/>
        <i x="21989" nd="1"/>
        <i x="21990" nd="1"/>
        <i x="21991" nd="1"/>
        <i x="21992" nd="1"/>
        <i x="21993" nd="1"/>
        <i x="21994" nd="1"/>
        <i x="21995" nd="1"/>
        <i x="21996" nd="1"/>
        <i x="21997" nd="1"/>
        <i x="21998" nd="1"/>
        <i x="21999" nd="1"/>
        <i x="22000" nd="1"/>
        <i x="22001" nd="1"/>
        <i x="22002" nd="1"/>
        <i x="22003" nd="1"/>
        <i x="22004" nd="1"/>
        <i x="22005" nd="1"/>
        <i x="22006" nd="1"/>
        <i x="22007" nd="1"/>
        <i x="22008" nd="1"/>
        <i x="22009" nd="1"/>
        <i x="22010" nd="1"/>
        <i x="22011" nd="1"/>
        <i x="22012" nd="1"/>
        <i x="22013" nd="1"/>
        <i x="22014" nd="1"/>
        <i x="22015" nd="1"/>
        <i x="22016" nd="1"/>
        <i x="22017" nd="1"/>
        <i x="22018" nd="1"/>
        <i x="22019" nd="1"/>
        <i x="22020" nd="1"/>
        <i x="22021" nd="1"/>
        <i x="22022" nd="1"/>
        <i x="22023" nd="1"/>
        <i x="22024" nd="1"/>
        <i x="22025" nd="1"/>
        <i x="22026" nd="1"/>
        <i x="22027" nd="1"/>
        <i x="22028" nd="1"/>
        <i x="22029" nd="1"/>
        <i x="22030" nd="1"/>
        <i x="22031" nd="1"/>
        <i x="22032" nd="1"/>
        <i x="22033" nd="1"/>
        <i x="22034" nd="1"/>
        <i x="22035" nd="1"/>
        <i x="22036" nd="1"/>
        <i x="22037" nd="1"/>
        <i x="22038" nd="1"/>
        <i x="22039" nd="1"/>
        <i x="22040" nd="1"/>
        <i x="22041" nd="1"/>
        <i x="22042" nd="1"/>
        <i x="22043" nd="1"/>
        <i x="22044" nd="1"/>
        <i x="22045" nd="1"/>
        <i x="22046" nd="1"/>
        <i x="22047" nd="1"/>
        <i x="22048" nd="1"/>
        <i x="22049" nd="1"/>
        <i x="22050" nd="1"/>
        <i x="22051" nd="1"/>
        <i x="22052" nd="1"/>
        <i x="22053" nd="1"/>
        <i x="22054" nd="1"/>
        <i x="22055" nd="1"/>
        <i x="22056" nd="1"/>
        <i x="22057" nd="1"/>
        <i x="22058" nd="1"/>
        <i x="22059" nd="1"/>
        <i x="22060" nd="1"/>
        <i x="22061" nd="1"/>
        <i x="22062" nd="1"/>
        <i x="22063" nd="1"/>
        <i x="22064" nd="1"/>
        <i x="22065" nd="1"/>
        <i x="22066" nd="1"/>
        <i x="22067" nd="1"/>
        <i x="22068" nd="1"/>
        <i x="22069" nd="1"/>
        <i x="22070" nd="1"/>
        <i x="22071" nd="1"/>
        <i x="22072" nd="1"/>
        <i x="22073" nd="1"/>
        <i x="22074" nd="1"/>
        <i x="22075" nd="1"/>
        <i x="22076" nd="1"/>
        <i x="22077" nd="1"/>
        <i x="22078" nd="1"/>
        <i x="22079" nd="1"/>
        <i x="22080" nd="1"/>
        <i x="22081" nd="1"/>
        <i x="22082" nd="1"/>
        <i x="22083" nd="1"/>
        <i x="22084" nd="1"/>
        <i x="22085" nd="1"/>
        <i x="22086" nd="1"/>
        <i x="22087" nd="1"/>
        <i x="22088" nd="1"/>
        <i x="22089" nd="1"/>
        <i x="22090" nd="1"/>
        <i x="22091" nd="1"/>
        <i x="22092" nd="1"/>
        <i x="22093" nd="1"/>
        <i x="22094" nd="1"/>
        <i x="22095" nd="1"/>
        <i x="22096" nd="1"/>
        <i x="22097" nd="1"/>
        <i x="22098" nd="1"/>
        <i x="22099" nd="1"/>
        <i x="22100" nd="1"/>
        <i x="22101" nd="1"/>
        <i x="22102" nd="1"/>
        <i x="22103" nd="1"/>
        <i x="22104" nd="1"/>
        <i x="22105" nd="1"/>
        <i x="22106" nd="1"/>
        <i x="22107" nd="1"/>
        <i x="22108" nd="1"/>
        <i x="22109" nd="1"/>
        <i x="22110" nd="1"/>
        <i x="22111" nd="1"/>
        <i x="22112" nd="1"/>
        <i x="22113" nd="1"/>
        <i x="22114" nd="1"/>
        <i x="22115" nd="1"/>
        <i x="22116" nd="1"/>
        <i x="22117" nd="1"/>
        <i x="22118" nd="1"/>
        <i x="22119" nd="1"/>
        <i x="22120" nd="1"/>
        <i x="22121" nd="1"/>
        <i x="22122" nd="1"/>
        <i x="22123" nd="1"/>
        <i x="22124" nd="1"/>
        <i x="22125" nd="1"/>
        <i x="22126" nd="1"/>
        <i x="22127" nd="1"/>
        <i x="22128" nd="1"/>
        <i x="22129" nd="1"/>
        <i x="22130" nd="1"/>
        <i x="22131" nd="1"/>
        <i x="22132" nd="1"/>
        <i x="22133" nd="1"/>
        <i x="22134" nd="1"/>
        <i x="22135" nd="1"/>
        <i x="22136" nd="1"/>
        <i x="22137" nd="1"/>
        <i x="22138" nd="1"/>
        <i x="22139" nd="1"/>
        <i x="22140" nd="1"/>
        <i x="22141" nd="1"/>
        <i x="22142" nd="1"/>
        <i x="22143" nd="1"/>
        <i x="22144" nd="1"/>
        <i x="22145" nd="1"/>
        <i x="22146" nd="1"/>
        <i x="22147" nd="1"/>
        <i x="22148" nd="1"/>
        <i x="22149" nd="1"/>
        <i x="22150" nd="1"/>
        <i x="22151" nd="1"/>
        <i x="22152" nd="1"/>
        <i x="22153" nd="1"/>
        <i x="22154" nd="1"/>
        <i x="22155" nd="1"/>
        <i x="22156" nd="1"/>
        <i x="22157" nd="1"/>
        <i x="22158" nd="1"/>
        <i x="22159" nd="1"/>
        <i x="22160" nd="1"/>
        <i x="22161" nd="1"/>
        <i x="22162" nd="1"/>
        <i x="22163" nd="1"/>
        <i x="22164" nd="1"/>
        <i x="22165" nd="1"/>
        <i x="22166" nd="1"/>
        <i x="22167" nd="1"/>
        <i x="22168" nd="1"/>
        <i x="22169" nd="1"/>
        <i x="22170" nd="1"/>
        <i x="22171" nd="1"/>
        <i x="22172" nd="1"/>
        <i x="22173" nd="1"/>
        <i x="22174" nd="1"/>
        <i x="22175" nd="1"/>
        <i x="22176" nd="1"/>
        <i x="22177" nd="1"/>
        <i x="22178" nd="1"/>
        <i x="22179" nd="1"/>
        <i x="22180" nd="1"/>
        <i x="22181" nd="1"/>
        <i x="22182" nd="1"/>
        <i x="22183" nd="1"/>
        <i x="22184" nd="1"/>
        <i x="22185" nd="1"/>
        <i x="22186" nd="1"/>
        <i x="22187" nd="1"/>
        <i x="22188" nd="1"/>
        <i x="22189" nd="1"/>
        <i x="22190" nd="1"/>
        <i x="22191" nd="1"/>
        <i x="22192" nd="1"/>
        <i x="22193" nd="1"/>
        <i x="22194" nd="1"/>
        <i x="22195" nd="1"/>
        <i x="22196" nd="1"/>
        <i x="22197" nd="1"/>
        <i x="22198" nd="1"/>
        <i x="22199" nd="1"/>
        <i x="22200" nd="1"/>
        <i x="22201" nd="1"/>
        <i x="22202" nd="1"/>
        <i x="22203" nd="1"/>
        <i x="22204" nd="1"/>
        <i x="22205" nd="1"/>
        <i x="22206" nd="1"/>
        <i x="22207" nd="1"/>
        <i x="22208" nd="1"/>
        <i x="22209" nd="1"/>
        <i x="22210" nd="1"/>
        <i x="22211" nd="1"/>
        <i x="22212" nd="1"/>
        <i x="22213" nd="1"/>
        <i x="22214" nd="1"/>
        <i x="22215" nd="1"/>
        <i x="22216" nd="1"/>
        <i x="22217" nd="1"/>
        <i x="22218" nd="1"/>
        <i x="22219" nd="1"/>
        <i x="22220" nd="1"/>
        <i x="22221" nd="1"/>
        <i x="22222" nd="1"/>
        <i x="22223" nd="1"/>
        <i x="22224" nd="1"/>
        <i x="22225" nd="1"/>
        <i x="22226" nd="1"/>
        <i x="22227" nd="1"/>
        <i x="22228" nd="1"/>
        <i x="22229" nd="1"/>
        <i x="22230" nd="1"/>
        <i x="22231" nd="1"/>
        <i x="22232" nd="1"/>
        <i x="22233" nd="1"/>
        <i x="22234" nd="1"/>
        <i x="22235" nd="1"/>
        <i x="22236" nd="1"/>
        <i x="22237" nd="1"/>
        <i x="22238" nd="1"/>
        <i x="22239" nd="1"/>
        <i x="22240" nd="1"/>
        <i x="22241" nd="1"/>
        <i x="22242" nd="1"/>
        <i x="22243" nd="1"/>
        <i x="22244" nd="1"/>
        <i x="22245" nd="1"/>
        <i x="22246" nd="1"/>
        <i x="22247" nd="1"/>
        <i x="22248" nd="1"/>
        <i x="22249" nd="1"/>
        <i x="22250" nd="1"/>
        <i x="22251" nd="1"/>
        <i x="22252" nd="1"/>
        <i x="22253" nd="1"/>
        <i x="22254" nd="1"/>
        <i x="22255" nd="1"/>
        <i x="22256" nd="1"/>
        <i x="22257" nd="1"/>
        <i x="22258" nd="1"/>
        <i x="22259" nd="1"/>
        <i x="22260" nd="1"/>
        <i x="22261" nd="1"/>
        <i x="22262" nd="1"/>
        <i x="22263" nd="1"/>
        <i x="22264" nd="1"/>
        <i x="22265" nd="1"/>
        <i x="22266" nd="1"/>
        <i x="22267" nd="1"/>
        <i x="22268" nd="1"/>
        <i x="22269" nd="1"/>
        <i x="22270" nd="1"/>
        <i x="22271" nd="1"/>
        <i x="22272" nd="1"/>
        <i x="22273" nd="1"/>
        <i x="22274" nd="1"/>
        <i x="22275" nd="1"/>
        <i x="22276" nd="1"/>
        <i x="22277" nd="1"/>
        <i x="22278" nd="1"/>
        <i x="22279" nd="1"/>
        <i x="22280" nd="1"/>
        <i x="22281" nd="1"/>
        <i x="22282" nd="1"/>
        <i x="22283" nd="1"/>
        <i x="22284" nd="1"/>
        <i x="22285" nd="1"/>
        <i x="22286" nd="1"/>
        <i x="22287" nd="1"/>
        <i x="22288" nd="1"/>
        <i x="22289" nd="1"/>
        <i x="22290" nd="1"/>
        <i x="22291" nd="1"/>
        <i x="22292" nd="1"/>
        <i x="22293" nd="1"/>
        <i x="22294" nd="1"/>
        <i x="22295" nd="1"/>
        <i x="22296" nd="1"/>
        <i x="22297" nd="1"/>
        <i x="22298" nd="1"/>
        <i x="22299" nd="1"/>
        <i x="22300" nd="1"/>
        <i x="22301" nd="1"/>
        <i x="22302" nd="1"/>
        <i x="22303" nd="1"/>
        <i x="22304" nd="1"/>
        <i x="22305" nd="1"/>
        <i x="22306" nd="1"/>
        <i x="22307" nd="1"/>
        <i x="22308" nd="1"/>
        <i x="22309" nd="1"/>
        <i x="22310" nd="1"/>
        <i x="22311" nd="1"/>
        <i x="22312" nd="1"/>
        <i x="22313" nd="1"/>
        <i x="22314" nd="1"/>
        <i x="22315" nd="1"/>
        <i x="22316" nd="1"/>
        <i x="22317" nd="1"/>
        <i x="22318" nd="1"/>
        <i x="22319" nd="1"/>
        <i x="22320" nd="1"/>
        <i x="22321" nd="1"/>
        <i x="22322" nd="1"/>
        <i x="22323" nd="1"/>
        <i x="22324" nd="1"/>
        <i x="22325" nd="1"/>
        <i x="22326" nd="1"/>
        <i x="22327" nd="1"/>
        <i x="22328" nd="1"/>
        <i x="22329" nd="1"/>
        <i x="22330" nd="1"/>
        <i x="22331" nd="1"/>
        <i x="22332" nd="1"/>
        <i x="22333" nd="1"/>
        <i x="22334" nd="1"/>
        <i x="22335" nd="1"/>
        <i x="22336" nd="1"/>
        <i x="22337" nd="1"/>
        <i x="22338" nd="1"/>
        <i x="22339" nd="1"/>
        <i x="22340" nd="1"/>
        <i x="22341" nd="1"/>
        <i x="22342" nd="1"/>
        <i x="22343" nd="1"/>
        <i x="22344" nd="1"/>
        <i x="22345" nd="1"/>
        <i x="22346" nd="1"/>
        <i x="22347" nd="1"/>
        <i x="22348" nd="1"/>
        <i x="22349" nd="1"/>
        <i x="22350" nd="1"/>
        <i x="22351" nd="1"/>
        <i x="22352" nd="1"/>
        <i x="22353" nd="1"/>
        <i x="22354" nd="1"/>
        <i x="22355" nd="1"/>
        <i x="22356" nd="1"/>
        <i x="22357" nd="1"/>
        <i x="22358" nd="1"/>
        <i x="22359" nd="1"/>
        <i x="22360" nd="1"/>
        <i x="22361" nd="1"/>
        <i x="22362" nd="1"/>
        <i x="22363" nd="1"/>
        <i x="22364" nd="1"/>
        <i x="22365" nd="1"/>
        <i x="22366" nd="1"/>
        <i x="22367" nd="1"/>
        <i x="22368" nd="1"/>
        <i x="22369" nd="1"/>
        <i x="22370" nd="1"/>
        <i x="22371" nd="1"/>
        <i x="22372" nd="1"/>
        <i x="22373" nd="1"/>
        <i x="22374" nd="1"/>
        <i x="22375" nd="1"/>
        <i x="22376" nd="1"/>
        <i x="22377" nd="1"/>
        <i x="22378" nd="1"/>
        <i x="22379" nd="1"/>
        <i x="22380" nd="1"/>
        <i x="22381" nd="1"/>
        <i x="22382" nd="1"/>
        <i x="22383" nd="1"/>
        <i x="22384" nd="1"/>
        <i x="22385" nd="1"/>
        <i x="22386" nd="1"/>
        <i x="22387" nd="1"/>
        <i x="22388" nd="1"/>
        <i x="22389" nd="1"/>
        <i x="22390" nd="1"/>
        <i x="22391" nd="1"/>
        <i x="22392" nd="1"/>
        <i x="22393" nd="1"/>
        <i x="22394" nd="1"/>
        <i x="22395" nd="1"/>
        <i x="22396" nd="1"/>
        <i x="22397" nd="1"/>
        <i x="22398" nd="1"/>
        <i x="22399" nd="1"/>
        <i x="22400" nd="1"/>
        <i x="22401" nd="1"/>
        <i x="22402" nd="1"/>
        <i x="22403" nd="1"/>
        <i x="22404" nd="1"/>
        <i x="22405" nd="1"/>
        <i x="22406" nd="1"/>
        <i x="22407" nd="1"/>
        <i x="22408" nd="1"/>
        <i x="22409" nd="1"/>
        <i x="22410" nd="1"/>
        <i x="22411" nd="1"/>
        <i x="22412" nd="1"/>
        <i x="22413" nd="1"/>
        <i x="22414" nd="1"/>
        <i x="22415" nd="1"/>
        <i x="22416" nd="1"/>
        <i x="22417" nd="1"/>
        <i x="22418" nd="1"/>
        <i x="22419" nd="1"/>
        <i x="22420" nd="1"/>
        <i x="22421" nd="1"/>
        <i x="22422" nd="1"/>
        <i x="22423" nd="1"/>
        <i x="22424" nd="1"/>
        <i x="22425" nd="1"/>
        <i x="22426" nd="1"/>
        <i x="22427" nd="1"/>
        <i x="22428" nd="1"/>
        <i x="22429" nd="1"/>
        <i x="22430" nd="1"/>
        <i x="22431" nd="1"/>
        <i x="22432" nd="1"/>
        <i x="22433" nd="1"/>
        <i x="22434" nd="1"/>
        <i x="22435" nd="1"/>
        <i x="22436" nd="1"/>
        <i x="22437" nd="1"/>
        <i x="22438" nd="1"/>
        <i x="22439" nd="1"/>
        <i x="22440" nd="1"/>
        <i x="22441" nd="1"/>
        <i x="22442" nd="1"/>
        <i x="22443" nd="1"/>
        <i x="22444" nd="1"/>
        <i x="22445" nd="1"/>
        <i x="22446" nd="1"/>
        <i x="22447" nd="1"/>
        <i x="22448" nd="1"/>
        <i x="22449" nd="1"/>
        <i x="22450" nd="1"/>
        <i x="22451" nd="1"/>
        <i x="22452" nd="1"/>
        <i x="22453" nd="1"/>
        <i x="22454" nd="1"/>
        <i x="22455" nd="1"/>
        <i x="22456" nd="1"/>
        <i x="22457" nd="1"/>
        <i x="22458" nd="1"/>
        <i x="22459" nd="1"/>
        <i x="22460" nd="1"/>
        <i x="22461" nd="1"/>
        <i x="22462" nd="1"/>
        <i x="22463" nd="1"/>
        <i x="22464" nd="1"/>
        <i x="22465" nd="1"/>
        <i x="22466" nd="1"/>
        <i x="22467" nd="1"/>
        <i x="22468" nd="1"/>
        <i x="22469" nd="1"/>
        <i x="22470" nd="1"/>
        <i x="22471" nd="1"/>
        <i x="22472" nd="1"/>
        <i x="22473" nd="1"/>
        <i x="22474" nd="1"/>
        <i x="22475" nd="1"/>
        <i x="22476" nd="1"/>
        <i x="22477" nd="1"/>
        <i x="22478" nd="1"/>
        <i x="22479" nd="1"/>
        <i x="22480" nd="1"/>
        <i x="22481" nd="1"/>
        <i x="22482" nd="1"/>
        <i x="22483" nd="1"/>
        <i x="22484" nd="1"/>
        <i x="22485" nd="1"/>
        <i x="22486" nd="1"/>
        <i x="22487" nd="1"/>
        <i x="22488" nd="1"/>
        <i x="22489" nd="1"/>
        <i x="22490" nd="1"/>
        <i x="22491" nd="1"/>
        <i x="22492" nd="1"/>
        <i x="22493" nd="1"/>
        <i x="22494" nd="1"/>
        <i x="22495" nd="1"/>
        <i x="22496" nd="1"/>
        <i x="22497" nd="1"/>
        <i x="22498" nd="1"/>
        <i x="22499" nd="1"/>
        <i x="22500" nd="1"/>
        <i x="22501" nd="1"/>
        <i x="22502" nd="1"/>
        <i x="22503" nd="1"/>
        <i x="22504" nd="1"/>
        <i x="22505" nd="1"/>
        <i x="22506" nd="1"/>
        <i x="22507" nd="1"/>
        <i x="22508" nd="1"/>
        <i x="22509" nd="1"/>
        <i x="22510" nd="1"/>
        <i x="22511" nd="1"/>
        <i x="22512" nd="1"/>
        <i x="22513" nd="1"/>
        <i x="22514" nd="1"/>
        <i x="22515" nd="1"/>
        <i x="22516" nd="1"/>
        <i x="22517" nd="1"/>
        <i x="22518" nd="1"/>
        <i x="22519" nd="1"/>
        <i x="22520" nd="1"/>
        <i x="22521" nd="1"/>
        <i x="22522" nd="1"/>
        <i x="22523" nd="1"/>
        <i x="22524" nd="1"/>
        <i x="22525" nd="1"/>
        <i x="22526" nd="1"/>
        <i x="22527" nd="1"/>
        <i x="22528" nd="1"/>
        <i x="22529" nd="1"/>
        <i x="22530" nd="1"/>
        <i x="22531" nd="1"/>
        <i x="22532" nd="1"/>
        <i x="22533" nd="1"/>
        <i x="22534" nd="1"/>
        <i x="22535" nd="1"/>
        <i x="22536" nd="1"/>
        <i x="22537" nd="1"/>
        <i x="22538" nd="1"/>
        <i x="22539" nd="1"/>
        <i x="22540" nd="1"/>
        <i x="22541" nd="1"/>
        <i x="22542" nd="1"/>
        <i x="22543" nd="1"/>
        <i x="22544" nd="1"/>
        <i x="22545" nd="1"/>
        <i x="22546" nd="1"/>
        <i x="22547" nd="1"/>
        <i x="22548" nd="1"/>
        <i x="22549" nd="1"/>
        <i x="22550" nd="1"/>
        <i x="22551" nd="1"/>
        <i x="22552" nd="1"/>
        <i x="22553" nd="1"/>
        <i x="22554" nd="1"/>
        <i x="22555" nd="1"/>
        <i x="22556" nd="1"/>
        <i x="22557" nd="1"/>
        <i x="22558" nd="1"/>
        <i x="22559" nd="1"/>
        <i x="22560" nd="1"/>
        <i x="22561" nd="1"/>
        <i x="22562" nd="1"/>
        <i x="22563" nd="1"/>
        <i x="22564" nd="1"/>
        <i x="22565" nd="1"/>
        <i x="22566" nd="1"/>
        <i x="22567" nd="1"/>
        <i x="22568" nd="1"/>
        <i x="22569" nd="1"/>
        <i x="22570" nd="1"/>
        <i x="22571" nd="1"/>
        <i x="22572" nd="1"/>
        <i x="22573" nd="1"/>
        <i x="22574" nd="1"/>
        <i x="22575" nd="1"/>
        <i x="22576" nd="1"/>
        <i x="22577" nd="1"/>
        <i x="22578" nd="1"/>
        <i x="22579" nd="1"/>
        <i x="22580" nd="1"/>
        <i x="22581" nd="1"/>
        <i x="22582" nd="1"/>
        <i x="22583" nd="1"/>
        <i x="22584" nd="1"/>
        <i x="22585" nd="1"/>
        <i x="22586" nd="1"/>
        <i x="22587" nd="1"/>
        <i x="22588" nd="1"/>
        <i x="22589" nd="1"/>
        <i x="22590" nd="1"/>
        <i x="22591" nd="1"/>
        <i x="22592" nd="1"/>
        <i x="22593" nd="1"/>
        <i x="22594" nd="1"/>
        <i x="22595" nd="1"/>
        <i x="22596" nd="1"/>
        <i x="22597" nd="1"/>
        <i x="22598" nd="1"/>
        <i x="22599" nd="1"/>
        <i x="22600" nd="1"/>
        <i x="22601" nd="1"/>
        <i x="22602" nd="1"/>
        <i x="22603" nd="1"/>
        <i x="22604" nd="1"/>
        <i x="22605" nd="1"/>
        <i x="22606" nd="1"/>
        <i x="22607" nd="1"/>
        <i x="22608" nd="1"/>
        <i x="22609" nd="1"/>
        <i x="22610" nd="1"/>
        <i x="22611" nd="1"/>
        <i x="22612" nd="1"/>
        <i x="22613" nd="1"/>
        <i x="22614" nd="1"/>
        <i x="22615" nd="1"/>
        <i x="22616" nd="1"/>
        <i x="22617" nd="1"/>
        <i x="22618" nd="1"/>
        <i x="22619" nd="1"/>
        <i x="22620" nd="1"/>
        <i x="22621" nd="1"/>
        <i x="22622" nd="1"/>
        <i x="22623" nd="1"/>
        <i x="22624" nd="1"/>
        <i x="22625" nd="1"/>
        <i x="22626" nd="1"/>
        <i x="22627" nd="1"/>
        <i x="22628" nd="1"/>
        <i x="22629" nd="1"/>
        <i x="22630" nd="1"/>
        <i x="22631" nd="1"/>
        <i x="22632" nd="1"/>
        <i x="22633" nd="1"/>
        <i x="22634" nd="1"/>
        <i x="22635" nd="1"/>
        <i x="22636" nd="1"/>
        <i x="22637" nd="1"/>
        <i x="22638" nd="1"/>
        <i x="22639" nd="1"/>
        <i x="22640" nd="1"/>
        <i x="22641" nd="1"/>
        <i x="22642" nd="1"/>
        <i x="22643" nd="1"/>
        <i x="22644" nd="1"/>
        <i x="22645" nd="1"/>
        <i x="22646" nd="1"/>
        <i x="22647" nd="1"/>
        <i x="22648" nd="1"/>
        <i x="22649" nd="1"/>
        <i x="22650" nd="1"/>
        <i x="22651" nd="1"/>
        <i x="22652" nd="1"/>
        <i x="22653" nd="1"/>
        <i x="22654" nd="1"/>
        <i x="22655" nd="1"/>
        <i x="22656" nd="1"/>
        <i x="22657" nd="1"/>
        <i x="22658" nd="1"/>
        <i x="22659" nd="1"/>
        <i x="22660" nd="1"/>
        <i x="22661" nd="1"/>
        <i x="22662" nd="1"/>
        <i x="22663" nd="1"/>
        <i x="22664" nd="1"/>
        <i x="22665" nd="1"/>
        <i x="22666" nd="1"/>
        <i x="22667" nd="1"/>
        <i x="22668" nd="1"/>
        <i x="22669" nd="1"/>
        <i x="22670" nd="1"/>
        <i x="22671" nd="1"/>
        <i x="22672" nd="1"/>
        <i x="22673" nd="1"/>
        <i x="22674" nd="1"/>
        <i x="22675" nd="1"/>
        <i x="22676" nd="1"/>
        <i x="22677" nd="1"/>
        <i x="22678" nd="1"/>
        <i x="22679" nd="1"/>
        <i x="22680" nd="1"/>
        <i x="22681" nd="1"/>
        <i x="22682" nd="1"/>
        <i x="22683" nd="1"/>
        <i x="22684" nd="1"/>
        <i x="22685" nd="1"/>
        <i x="22686" nd="1"/>
        <i x="22687" nd="1"/>
        <i x="22688" nd="1"/>
        <i x="22689" nd="1"/>
        <i x="22690" nd="1"/>
        <i x="22691" nd="1"/>
        <i x="22692" nd="1"/>
        <i x="22693" nd="1"/>
        <i x="22694" nd="1"/>
        <i x="22695" nd="1"/>
        <i x="22696" nd="1"/>
        <i x="22697" nd="1"/>
        <i x="22698" nd="1"/>
        <i x="22699" nd="1"/>
        <i x="22700" nd="1"/>
        <i x="22701" nd="1"/>
        <i x="22702" nd="1"/>
        <i x="22703" nd="1"/>
        <i x="22704" nd="1"/>
        <i x="22705" nd="1"/>
        <i x="22706" nd="1"/>
        <i x="22707" nd="1"/>
        <i x="22708" nd="1"/>
        <i x="22709" nd="1"/>
        <i x="22710" nd="1"/>
        <i x="22711" nd="1"/>
        <i x="22712" nd="1"/>
        <i x="22713" nd="1"/>
        <i x="22714" nd="1"/>
        <i x="22715" nd="1"/>
        <i x="22716" nd="1"/>
        <i x="22717" nd="1"/>
        <i x="22718" nd="1"/>
        <i x="22719" nd="1"/>
        <i x="22720" nd="1"/>
        <i x="22721" nd="1"/>
        <i x="22722" nd="1"/>
        <i x="22723" nd="1"/>
        <i x="22724" nd="1"/>
        <i x="22725" nd="1"/>
        <i x="22726" nd="1"/>
        <i x="22727" nd="1"/>
        <i x="22728" nd="1"/>
        <i x="22729" nd="1"/>
        <i x="22730" nd="1"/>
        <i x="22731" nd="1"/>
        <i x="22732" nd="1"/>
        <i x="22733" nd="1"/>
        <i x="22734" nd="1"/>
        <i x="22735" nd="1"/>
        <i x="22736" nd="1"/>
        <i x="22737" nd="1"/>
        <i x="22738" nd="1"/>
        <i x="22739" nd="1"/>
        <i x="22740" nd="1"/>
        <i x="22741" nd="1"/>
        <i x="22742" nd="1"/>
        <i x="22743" nd="1"/>
        <i x="22744" nd="1"/>
        <i x="22745" nd="1"/>
        <i x="22746" nd="1"/>
        <i x="22747" nd="1"/>
        <i x="22748" nd="1"/>
        <i x="22749" nd="1"/>
        <i x="22750" nd="1"/>
        <i x="22751" nd="1"/>
        <i x="22752" nd="1"/>
        <i x="22753" nd="1"/>
        <i x="22754" nd="1"/>
        <i x="22755" nd="1"/>
        <i x="22756" nd="1"/>
        <i x="22757" nd="1"/>
        <i x="22758" nd="1"/>
        <i x="22759" nd="1"/>
        <i x="22760" nd="1"/>
        <i x="22761" nd="1"/>
        <i x="22762" nd="1"/>
        <i x="22763" nd="1"/>
        <i x="22764" nd="1"/>
        <i x="22765" nd="1"/>
        <i x="22766" nd="1"/>
        <i x="22767" nd="1"/>
        <i x="22768" nd="1"/>
        <i x="22769" nd="1"/>
        <i x="22770" nd="1"/>
        <i x="22771" nd="1"/>
        <i x="22772" nd="1"/>
        <i x="22773" nd="1"/>
        <i x="22774" nd="1"/>
        <i x="22775" nd="1"/>
        <i x="22776" nd="1"/>
        <i x="22777" nd="1"/>
        <i x="22778" nd="1"/>
        <i x="22779" nd="1"/>
        <i x="22780" nd="1"/>
        <i x="22781" nd="1"/>
        <i x="22782" nd="1"/>
        <i x="22783" nd="1"/>
        <i x="22784" nd="1"/>
        <i x="22785" nd="1"/>
        <i x="22786" nd="1"/>
        <i x="22787" nd="1"/>
        <i x="22788" nd="1"/>
        <i x="22789" nd="1"/>
        <i x="22790" nd="1"/>
        <i x="22791" nd="1"/>
        <i x="22792" nd="1"/>
        <i x="22793" nd="1"/>
        <i x="22794" nd="1"/>
        <i x="22795" nd="1"/>
        <i x="22796" nd="1"/>
        <i x="22797" nd="1"/>
        <i x="22798" nd="1"/>
        <i x="22799" nd="1"/>
        <i x="22800" nd="1"/>
        <i x="22801" nd="1"/>
        <i x="22802" nd="1"/>
        <i x="22803" nd="1"/>
        <i x="22804" nd="1"/>
        <i x="22805" nd="1"/>
        <i x="22806" nd="1"/>
        <i x="22807" nd="1"/>
        <i x="22808" nd="1"/>
        <i x="22809" nd="1"/>
        <i x="22810" nd="1"/>
        <i x="22811" nd="1"/>
        <i x="22812" nd="1"/>
        <i x="22813" nd="1"/>
        <i x="22814" nd="1"/>
        <i x="22815" nd="1"/>
        <i x="22816" nd="1"/>
        <i x="22817" nd="1"/>
        <i x="22818" nd="1"/>
        <i x="22819" nd="1"/>
        <i x="22820" nd="1"/>
        <i x="22821" nd="1"/>
        <i x="22822" nd="1"/>
        <i x="22823" nd="1"/>
        <i x="22824" nd="1"/>
        <i x="22825" nd="1"/>
        <i x="22826" nd="1"/>
        <i x="22827" nd="1"/>
        <i x="22828" nd="1"/>
        <i x="22829" nd="1"/>
        <i x="22830" nd="1"/>
        <i x="22831" nd="1"/>
        <i x="22832" nd="1"/>
        <i x="22833" nd="1"/>
        <i x="22834" nd="1"/>
        <i x="22835" nd="1"/>
        <i x="22836" nd="1"/>
        <i x="22837" nd="1"/>
        <i x="22838" nd="1"/>
        <i x="22839" nd="1"/>
        <i x="22840" nd="1"/>
        <i x="22841" nd="1"/>
        <i x="22842" nd="1"/>
        <i x="22843" nd="1"/>
        <i x="22844" nd="1"/>
        <i x="22845" nd="1"/>
        <i x="22846" nd="1"/>
        <i x="22847" nd="1"/>
        <i x="22848" nd="1"/>
        <i x="22849" nd="1"/>
        <i x="22850" nd="1"/>
        <i x="22851" nd="1"/>
        <i x="22852" nd="1"/>
        <i x="22853" nd="1"/>
        <i x="22854" nd="1"/>
        <i x="22855" nd="1"/>
        <i x="22856" nd="1"/>
        <i x="22857" nd="1"/>
        <i x="22858" nd="1"/>
        <i x="22859" nd="1"/>
        <i x="22860" nd="1"/>
        <i x="22861" nd="1"/>
        <i x="22862" nd="1"/>
        <i x="22863" nd="1"/>
        <i x="22864" nd="1"/>
        <i x="22865" nd="1"/>
        <i x="22866" nd="1"/>
        <i x="22867" nd="1"/>
        <i x="22868" nd="1"/>
        <i x="22869" nd="1"/>
        <i x="22870" nd="1"/>
        <i x="22871" nd="1"/>
        <i x="22872" nd="1"/>
        <i x="22873" nd="1"/>
        <i x="22874" nd="1"/>
        <i x="22875" nd="1"/>
        <i x="22876" nd="1"/>
        <i x="22877" nd="1"/>
        <i x="22878" nd="1"/>
        <i x="22879" nd="1"/>
        <i x="22880" nd="1"/>
        <i x="22881" nd="1"/>
        <i x="22882" nd="1"/>
        <i x="22883" nd="1"/>
        <i x="22884" nd="1"/>
        <i x="22885" nd="1"/>
        <i x="22886" nd="1"/>
        <i x="22887" nd="1"/>
        <i x="22888" nd="1"/>
        <i x="22889" nd="1"/>
        <i x="22890" nd="1"/>
        <i x="22891" nd="1"/>
        <i x="22892" nd="1"/>
        <i x="22893" nd="1"/>
        <i x="22894" nd="1"/>
        <i x="22895" nd="1"/>
        <i x="22896" nd="1"/>
        <i x="22897" nd="1"/>
        <i x="22898" nd="1"/>
        <i x="22899" nd="1"/>
        <i x="22900" nd="1"/>
        <i x="22901" nd="1"/>
        <i x="22902" nd="1"/>
        <i x="22903" nd="1"/>
        <i x="22904" nd="1"/>
        <i x="22905" nd="1"/>
        <i x="22906" nd="1"/>
        <i x="22907" nd="1"/>
        <i x="22908" nd="1"/>
        <i x="22909" nd="1"/>
        <i x="22910" nd="1"/>
        <i x="22911" nd="1"/>
        <i x="22912" nd="1"/>
        <i x="22913" nd="1"/>
        <i x="22914" nd="1"/>
        <i x="22915" nd="1"/>
        <i x="22916" nd="1"/>
        <i x="22917" nd="1"/>
        <i x="22918" nd="1"/>
        <i x="22919" nd="1"/>
        <i x="22920" nd="1"/>
        <i x="22921" nd="1"/>
        <i x="22922" nd="1"/>
        <i x="22923" nd="1"/>
        <i x="22924" nd="1"/>
        <i x="22925" nd="1"/>
        <i x="22926" nd="1"/>
        <i x="22927" nd="1"/>
        <i x="22928" nd="1"/>
        <i x="22929" nd="1"/>
        <i x="22930" nd="1"/>
        <i x="22931" nd="1"/>
        <i x="22932" nd="1"/>
        <i x="22933" nd="1"/>
        <i x="22934" nd="1"/>
        <i x="22935" nd="1"/>
        <i x="22936" nd="1"/>
        <i x="22937" nd="1"/>
        <i x="22938" nd="1"/>
        <i x="22939" nd="1"/>
        <i x="22940" nd="1"/>
        <i x="22941" nd="1"/>
        <i x="22942" nd="1"/>
        <i x="22943" nd="1"/>
        <i x="22944" nd="1"/>
        <i x="22945" nd="1"/>
        <i x="22946" nd="1"/>
        <i x="22947" nd="1"/>
        <i x="22948" nd="1"/>
        <i x="22949" nd="1"/>
        <i x="22950" nd="1"/>
        <i x="22951" nd="1"/>
        <i x="22952" nd="1"/>
        <i x="22953" nd="1"/>
        <i x="22954" nd="1"/>
        <i x="22955" nd="1"/>
        <i x="22956" nd="1"/>
        <i x="22957" nd="1"/>
        <i x="22958" nd="1"/>
        <i x="22959" nd="1"/>
        <i x="22960" nd="1"/>
        <i x="22961" nd="1"/>
        <i x="22962" nd="1"/>
        <i x="22963" nd="1"/>
        <i x="22964" nd="1"/>
        <i x="22965" nd="1"/>
        <i x="22966" nd="1"/>
        <i x="22967" nd="1"/>
        <i x="22968" nd="1"/>
        <i x="22969" nd="1"/>
        <i x="22970" nd="1"/>
        <i x="22971" nd="1"/>
        <i x="22972" nd="1"/>
        <i x="22973" nd="1"/>
        <i x="22974" nd="1"/>
        <i x="22975" nd="1"/>
        <i x="22976" nd="1"/>
        <i x="22977" nd="1"/>
        <i x="22978" nd="1"/>
        <i x="22979" nd="1"/>
        <i x="22980" nd="1"/>
        <i x="22981" nd="1"/>
        <i x="22982" nd="1"/>
        <i x="22983" nd="1"/>
        <i x="22984" nd="1"/>
        <i x="22985" nd="1"/>
        <i x="22986" nd="1"/>
        <i x="22987" nd="1"/>
        <i x="22988" nd="1"/>
        <i x="22989" nd="1"/>
        <i x="22990" nd="1"/>
        <i x="22991" nd="1"/>
        <i x="22992" nd="1"/>
        <i x="22993" nd="1"/>
        <i x="22994" nd="1"/>
        <i x="22995" nd="1"/>
        <i x="22996" nd="1"/>
        <i x="22997" nd="1"/>
        <i x="22998" nd="1"/>
        <i x="22999" nd="1"/>
        <i x="23000" nd="1"/>
        <i x="23001" nd="1"/>
        <i x="23002" nd="1"/>
        <i x="23003" nd="1"/>
        <i x="23004" nd="1"/>
        <i x="23005" nd="1"/>
        <i x="23006" nd="1"/>
        <i x="23007" nd="1"/>
        <i x="23008" nd="1"/>
        <i x="23009" nd="1"/>
        <i x="23010" nd="1"/>
        <i x="23011" nd="1"/>
        <i x="23012" nd="1"/>
        <i x="23013" nd="1"/>
        <i x="23014" nd="1"/>
        <i x="23015" nd="1"/>
        <i x="23016" nd="1"/>
        <i x="23017" nd="1"/>
        <i x="23018" nd="1"/>
        <i x="23019" nd="1"/>
        <i x="23020" nd="1"/>
        <i x="23021" nd="1"/>
        <i x="23022" nd="1"/>
        <i x="23023" nd="1"/>
        <i x="23024" nd="1"/>
        <i x="23025" nd="1"/>
        <i x="23026" nd="1"/>
        <i x="23027" nd="1"/>
        <i x="23028" nd="1"/>
        <i x="23029" nd="1"/>
        <i x="23030" nd="1"/>
        <i x="23031" nd="1"/>
        <i x="23032" nd="1"/>
        <i x="23033" nd="1"/>
        <i x="23034" nd="1"/>
        <i x="23035" nd="1"/>
        <i x="23036" nd="1"/>
        <i x="23037" nd="1"/>
        <i x="23038" nd="1"/>
        <i x="23039" nd="1"/>
        <i x="23040" nd="1"/>
        <i x="23041" nd="1"/>
        <i x="23042" nd="1"/>
        <i x="23043" nd="1"/>
        <i x="23044" nd="1"/>
        <i x="23045" nd="1"/>
        <i x="23046" nd="1"/>
        <i x="23047" nd="1"/>
        <i x="23048" nd="1"/>
        <i x="23049" nd="1"/>
        <i x="23050" nd="1"/>
        <i x="23051" nd="1"/>
        <i x="23052" nd="1"/>
        <i x="23053" nd="1"/>
        <i x="23054" nd="1"/>
        <i x="23055" nd="1"/>
        <i x="23056" nd="1"/>
        <i x="23057" nd="1"/>
        <i x="23058" nd="1"/>
        <i x="23059" nd="1"/>
        <i x="23060" nd="1"/>
        <i x="23061" nd="1"/>
        <i x="23062" nd="1"/>
        <i x="23063" nd="1"/>
        <i x="23064" nd="1"/>
        <i x="23065" nd="1"/>
        <i x="23066" nd="1"/>
        <i x="23067" nd="1"/>
        <i x="23068" nd="1"/>
        <i x="23069" nd="1"/>
        <i x="23070" nd="1"/>
        <i x="23071" nd="1"/>
        <i x="23072" nd="1"/>
        <i x="23073" nd="1"/>
        <i x="23074" nd="1"/>
        <i x="23075" nd="1"/>
        <i x="23076" nd="1"/>
        <i x="23077" nd="1"/>
        <i x="23078" nd="1"/>
        <i x="23079" nd="1"/>
        <i x="23080" nd="1"/>
        <i x="23081" nd="1"/>
        <i x="23082" nd="1"/>
        <i x="23083" nd="1"/>
        <i x="23084" nd="1"/>
        <i x="23085" nd="1"/>
        <i x="23086" nd="1"/>
        <i x="23087" nd="1"/>
        <i x="23088" nd="1"/>
        <i x="23089" nd="1"/>
        <i x="23090" nd="1"/>
        <i x="23091" nd="1"/>
        <i x="23092" nd="1"/>
        <i x="23093" nd="1"/>
        <i x="23094" nd="1"/>
        <i x="23095" nd="1"/>
        <i x="23096" nd="1"/>
        <i x="23097" nd="1"/>
        <i x="23098" nd="1"/>
        <i x="23099" nd="1"/>
        <i x="23100" nd="1"/>
        <i x="23101" nd="1"/>
        <i x="23102" nd="1"/>
        <i x="23103" nd="1"/>
        <i x="23104" nd="1"/>
        <i x="23105" nd="1"/>
        <i x="23106" nd="1"/>
        <i x="23107" nd="1"/>
        <i x="23108" nd="1"/>
        <i x="23109" nd="1"/>
        <i x="23110" nd="1"/>
        <i x="23111" nd="1"/>
        <i x="23112" nd="1"/>
        <i x="23113" nd="1"/>
        <i x="23114" nd="1"/>
        <i x="23115" nd="1"/>
        <i x="23116" nd="1"/>
        <i x="23117" nd="1"/>
        <i x="23118" nd="1"/>
        <i x="23119" nd="1"/>
        <i x="23120" nd="1"/>
        <i x="23121" nd="1"/>
        <i x="23122" nd="1"/>
        <i x="23123" nd="1"/>
        <i x="23124" nd="1"/>
        <i x="23125" nd="1"/>
        <i x="23126" nd="1"/>
        <i x="23127" nd="1"/>
        <i x="23128" nd="1"/>
        <i x="23129" nd="1"/>
        <i x="23130" nd="1"/>
        <i x="23131" nd="1"/>
        <i x="23132" nd="1"/>
        <i x="23133" nd="1"/>
        <i x="23134" nd="1"/>
        <i x="23135" nd="1"/>
        <i x="23136" nd="1"/>
        <i x="23137" nd="1"/>
        <i x="23138" nd="1"/>
        <i x="23139" nd="1"/>
        <i x="23140" nd="1"/>
        <i x="23141" nd="1"/>
        <i x="23142" nd="1"/>
        <i x="23143" nd="1"/>
        <i x="23144" nd="1"/>
        <i x="23145" nd="1"/>
        <i x="23146" nd="1"/>
        <i x="23147" nd="1"/>
        <i x="23148" nd="1"/>
        <i x="23149" nd="1"/>
        <i x="23150" nd="1"/>
        <i x="23151" nd="1"/>
        <i x="23152" nd="1"/>
        <i x="23153" nd="1"/>
        <i x="23154" nd="1"/>
        <i x="23155" nd="1"/>
        <i x="23156" nd="1"/>
        <i x="23157" nd="1"/>
        <i x="23158" nd="1"/>
        <i x="23159" nd="1"/>
        <i x="23160" nd="1"/>
        <i x="23161" nd="1"/>
        <i x="23162" nd="1"/>
        <i x="23163" nd="1"/>
        <i x="23164" nd="1"/>
        <i x="23165" nd="1"/>
        <i x="23166" nd="1"/>
        <i x="23167" nd="1"/>
        <i x="23168" nd="1"/>
        <i x="23169" nd="1"/>
        <i x="23170" nd="1"/>
        <i x="23171" nd="1"/>
        <i x="23172" nd="1"/>
        <i x="23173" nd="1"/>
        <i x="23174" nd="1"/>
        <i x="23175" nd="1"/>
        <i x="23176" nd="1"/>
        <i x="23177" nd="1"/>
        <i x="23178" nd="1"/>
        <i x="23179" nd="1"/>
        <i x="23180" nd="1"/>
        <i x="23181" nd="1"/>
        <i x="23182" nd="1"/>
        <i x="23183" nd="1"/>
        <i x="23184" nd="1"/>
        <i x="23185" nd="1"/>
        <i x="23186" nd="1"/>
        <i x="23187" nd="1"/>
        <i x="23188" nd="1"/>
        <i x="23189" nd="1"/>
        <i x="23190" nd="1"/>
        <i x="23191" nd="1"/>
        <i x="23192" nd="1"/>
        <i x="23193" nd="1"/>
        <i x="23194" nd="1"/>
        <i x="23195" nd="1"/>
        <i x="23196" nd="1"/>
        <i x="23197" nd="1"/>
        <i x="23198" nd="1"/>
        <i x="23199" nd="1"/>
        <i x="23200" nd="1"/>
        <i x="23201" nd="1"/>
        <i x="23202" nd="1"/>
        <i x="23203" nd="1"/>
        <i x="23204" nd="1"/>
        <i x="23205" nd="1"/>
        <i x="23206" nd="1"/>
        <i x="23207" nd="1"/>
        <i x="23208" nd="1"/>
        <i x="23209" nd="1"/>
        <i x="23210" nd="1"/>
        <i x="23211" nd="1"/>
        <i x="23212" nd="1"/>
        <i x="23213" nd="1"/>
        <i x="23214" nd="1"/>
        <i x="23215" nd="1"/>
        <i x="23216" nd="1"/>
        <i x="23217" nd="1"/>
        <i x="23218" nd="1"/>
        <i x="23219" nd="1"/>
        <i x="23220" nd="1"/>
        <i x="23221" nd="1"/>
        <i x="23222" nd="1"/>
        <i x="23223" nd="1"/>
        <i x="23224" nd="1"/>
        <i x="23225" nd="1"/>
        <i x="23226" nd="1"/>
        <i x="23227" nd="1"/>
        <i x="23228" nd="1"/>
        <i x="23229" nd="1"/>
        <i x="23230" nd="1"/>
        <i x="23231" nd="1"/>
        <i x="23232" nd="1"/>
        <i x="23233" nd="1"/>
        <i x="23234" nd="1"/>
        <i x="23235" nd="1"/>
        <i x="23236" nd="1"/>
        <i x="23237" nd="1"/>
        <i x="23238" nd="1"/>
        <i x="23239" nd="1"/>
        <i x="23240" nd="1"/>
        <i x="23241" nd="1"/>
        <i x="23242" nd="1"/>
        <i x="23243" nd="1"/>
        <i x="23244" nd="1"/>
        <i x="23245" nd="1"/>
        <i x="23246" nd="1"/>
        <i x="23247" nd="1"/>
        <i x="23248" nd="1"/>
        <i x="23249" nd="1"/>
        <i x="23250" nd="1"/>
        <i x="23251" nd="1"/>
        <i x="23252" nd="1"/>
        <i x="23253" nd="1"/>
        <i x="23254" nd="1"/>
        <i x="23255" nd="1"/>
        <i x="23256" nd="1"/>
        <i x="23257" nd="1"/>
        <i x="23258" nd="1"/>
        <i x="23259" nd="1"/>
        <i x="23260" nd="1"/>
        <i x="23261" nd="1"/>
        <i x="23262" nd="1"/>
        <i x="23263" nd="1"/>
        <i x="23264" nd="1"/>
        <i x="23265" nd="1"/>
        <i x="23266" nd="1"/>
        <i x="23267" nd="1"/>
        <i x="23268" nd="1"/>
        <i x="23269" nd="1"/>
        <i x="23270" nd="1"/>
        <i x="23271" nd="1"/>
        <i x="23272" nd="1"/>
        <i x="23273" nd="1"/>
        <i x="23274" nd="1"/>
        <i x="23275" nd="1"/>
        <i x="23276" nd="1"/>
        <i x="23277" nd="1"/>
        <i x="23278" nd="1"/>
        <i x="23279" nd="1"/>
        <i x="23280" nd="1"/>
        <i x="23281" nd="1"/>
        <i x="23282" nd="1"/>
        <i x="23283" nd="1"/>
        <i x="23284" nd="1"/>
        <i x="23285" nd="1"/>
        <i x="23286" nd="1"/>
        <i x="23287" nd="1"/>
        <i x="23288" nd="1"/>
        <i x="23289" nd="1"/>
        <i x="23290" nd="1"/>
        <i x="23291" nd="1"/>
        <i x="23292" nd="1"/>
        <i x="23293" nd="1"/>
        <i x="23294" nd="1"/>
        <i x="23295" nd="1"/>
        <i x="23296" nd="1"/>
        <i x="23297" nd="1"/>
        <i x="23298" nd="1"/>
        <i x="23299" nd="1"/>
        <i x="23300" nd="1"/>
        <i x="23301" nd="1"/>
        <i x="23302" nd="1"/>
        <i x="23303" nd="1"/>
        <i x="23304" nd="1"/>
        <i x="23305" nd="1"/>
        <i x="23306" nd="1"/>
        <i x="23307" nd="1"/>
        <i x="23308" nd="1"/>
        <i x="23309" nd="1"/>
        <i x="23310" nd="1"/>
        <i x="23311" nd="1"/>
        <i x="23312" nd="1"/>
        <i x="23313" nd="1"/>
        <i x="23314" nd="1"/>
        <i x="23315" nd="1"/>
        <i x="23316" nd="1"/>
        <i x="23317" nd="1"/>
        <i x="23318" nd="1"/>
        <i x="23319" nd="1"/>
        <i x="23320" nd="1"/>
        <i x="23321" nd="1"/>
        <i x="23322" nd="1"/>
        <i x="23323" nd="1"/>
        <i x="23324" nd="1"/>
        <i x="23325" nd="1"/>
        <i x="23326" nd="1"/>
        <i x="23327" nd="1"/>
        <i x="23328" nd="1"/>
        <i x="23329" nd="1"/>
        <i x="23330" nd="1"/>
        <i x="23331" nd="1"/>
        <i x="23332" nd="1"/>
        <i x="23333" nd="1"/>
        <i x="23334" nd="1"/>
        <i x="23335" nd="1"/>
        <i x="23336" nd="1"/>
        <i x="23337" nd="1"/>
        <i x="23338" nd="1"/>
        <i x="23339" nd="1"/>
        <i x="23340" nd="1"/>
        <i x="23341" nd="1"/>
        <i x="23342" nd="1"/>
        <i x="23343" nd="1"/>
        <i x="23344" nd="1"/>
        <i x="23345" nd="1"/>
        <i x="23346" nd="1"/>
        <i x="23347" nd="1"/>
        <i x="23348" nd="1"/>
        <i x="23349" nd="1"/>
        <i x="23350" nd="1"/>
        <i x="23351" nd="1"/>
        <i x="23352" nd="1"/>
        <i x="23353" nd="1"/>
        <i x="23354" nd="1"/>
        <i x="23355" nd="1"/>
        <i x="23356" nd="1"/>
        <i x="23357" nd="1"/>
        <i x="23358" nd="1"/>
        <i x="23359" nd="1"/>
        <i x="23360" nd="1"/>
        <i x="23361" nd="1"/>
        <i x="23362" nd="1"/>
        <i x="23363" nd="1"/>
        <i x="23364" nd="1"/>
        <i x="23365" nd="1"/>
        <i x="23366" nd="1"/>
        <i x="23367" nd="1"/>
        <i x="23368" nd="1"/>
        <i x="23369" nd="1"/>
        <i x="23370" nd="1"/>
        <i x="23371" nd="1"/>
        <i x="23372" nd="1"/>
        <i x="23373" nd="1"/>
        <i x="23374" nd="1"/>
        <i x="23375" nd="1"/>
        <i x="23376" nd="1"/>
        <i x="23377" nd="1"/>
        <i x="23378" nd="1"/>
        <i x="23379" nd="1"/>
        <i x="23380" nd="1"/>
        <i x="23381" nd="1"/>
        <i x="23382" nd="1"/>
        <i x="23383" nd="1"/>
        <i x="23384" nd="1"/>
        <i x="23385" nd="1"/>
        <i x="23386" nd="1"/>
        <i x="23387" nd="1"/>
        <i x="23388" nd="1"/>
        <i x="23389" nd="1"/>
        <i x="23390" nd="1"/>
        <i x="23391" nd="1"/>
        <i x="23392" nd="1"/>
        <i x="23393" nd="1"/>
        <i x="23394" nd="1"/>
        <i x="23395" nd="1"/>
        <i x="23396" nd="1"/>
        <i x="23397" nd="1"/>
        <i x="23398" nd="1"/>
        <i x="23399" nd="1"/>
        <i x="23400" nd="1"/>
        <i x="23401" nd="1"/>
        <i x="23402" nd="1"/>
        <i x="23403" nd="1"/>
        <i x="23404" nd="1"/>
        <i x="23405" nd="1"/>
        <i x="23406" nd="1"/>
        <i x="23407" nd="1"/>
        <i x="23408" nd="1"/>
        <i x="23409" nd="1"/>
        <i x="23410" nd="1"/>
        <i x="23411" nd="1"/>
        <i x="23412" nd="1"/>
        <i x="23413" nd="1"/>
        <i x="23414" nd="1"/>
        <i x="23415" nd="1"/>
        <i x="23416" nd="1"/>
        <i x="23417" nd="1"/>
        <i x="23418" nd="1"/>
        <i x="23419" nd="1"/>
        <i x="23420" nd="1"/>
        <i x="23421" nd="1"/>
        <i x="23422" nd="1"/>
        <i x="23423" nd="1"/>
        <i x="23424" nd="1"/>
        <i x="23425" nd="1"/>
        <i x="23426" nd="1"/>
        <i x="23427" nd="1"/>
        <i x="23428" nd="1"/>
        <i x="23429" nd="1"/>
        <i x="23430" nd="1"/>
        <i x="23431" nd="1"/>
        <i x="23432" nd="1"/>
        <i x="23433" nd="1"/>
        <i x="23434" nd="1"/>
        <i x="23435" nd="1"/>
        <i x="23436" nd="1"/>
        <i x="23437" nd="1"/>
        <i x="23438" nd="1"/>
        <i x="23439" nd="1"/>
        <i x="23440" nd="1"/>
        <i x="23441" nd="1"/>
        <i x="23442" nd="1"/>
        <i x="23443" nd="1"/>
        <i x="23444" nd="1"/>
        <i x="23445" nd="1"/>
        <i x="23446" nd="1"/>
        <i x="23447" nd="1"/>
        <i x="23448" nd="1"/>
        <i x="23449" nd="1"/>
        <i x="23450" nd="1"/>
        <i x="23451" nd="1"/>
        <i x="23452" nd="1"/>
        <i x="23453" nd="1"/>
        <i x="23454" nd="1"/>
        <i x="23455" nd="1"/>
        <i x="23456" nd="1"/>
        <i x="23457" nd="1"/>
        <i x="23458" nd="1"/>
        <i x="23459" nd="1"/>
        <i x="23460" nd="1"/>
        <i x="23461" nd="1"/>
        <i x="23462" nd="1"/>
        <i x="23463" nd="1"/>
        <i x="23464" nd="1"/>
        <i x="23465" nd="1"/>
        <i x="23466" nd="1"/>
        <i x="23467" nd="1"/>
        <i x="23468" nd="1"/>
        <i x="23469" nd="1"/>
        <i x="23470" nd="1"/>
        <i x="23471" nd="1"/>
        <i x="23472" nd="1"/>
        <i x="23473" nd="1"/>
        <i x="23474" nd="1"/>
        <i x="23475" nd="1"/>
        <i x="23476" nd="1"/>
        <i x="23477" nd="1"/>
        <i x="23478" nd="1"/>
        <i x="23479" nd="1"/>
        <i x="23480" nd="1"/>
        <i x="23481" nd="1"/>
        <i x="23482" nd="1"/>
        <i x="23483" nd="1"/>
        <i x="23484" nd="1"/>
        <i x="23485" nd="1"/>
        <i x="23486" nd="1"/>
        <i x="23487" nd="1"/>
        <i x="23488" nd="1"/>
        <i x="23489" nd="1"/>
        <i x="23490" nd="1"/>
        <i x="23491" nd="1"/>
        <i x="23492" nd="1"/>
        <i x="23493" nd="1"/>
        <i x="23494" nd="1"/>
        <i x="23495" nd="1"/>
        <i x="23496" nd="1"/>
        <i x="23497" nd="1"/>
        <i x="23498" nd="1"/>
        <i x="23499" nd="1"/>
        <i x="23500" nd="1"/>
        <i x="23501" nd="1"/>
        <i x="23502" nd="1"/>
        <i x="23503" nd="1"/>
        <i x="23504" nd="1"/>
        <i x="23505" nd="1"/>
        <i x="23506" nd="1"/>
        <i x="23507" nd="1"/>
        <i x="23508" nd="1"/>
        <i x="23509" nd="1"/>
        <i x="23510" nd="1"/>
        <i x="23511" nd="1"/>
        <i x="23512" nd="1"/>
        <i x="23513" nd="1"/>
        <i x="23514" nd="1"/>
        <i x="23515" nd="1"/>
        <i x="23516" nd="1"/>
        <i x="23517" nd="1"/>
        <i x="23518" nd="1"/>
        <i x="23519" nd="1"/>
        <i x="23520" nd="1"/>
        <i x="23521" nd="1"/>
        <i x="23522" nd="1"/>
        <i x="23523" nd="1"/>
        <i x="23524" nd="1"/>
        <i x="23525" nd="1"/>
        <i x="23526" nd="1"/>
        <i x="23527" nd="1"/>
        <i x="23528" nd="1"/>
        <i x="23529" nd="1"/>
        <i x="23530" nd="1"/>
        <i x="23531" nd="1"/>
        <i x="23532" nd="1"/>
        <i x="23533" nd="1"/>
        <i x="23534" nd="1"/>
        <i x="23535" nd="1"/>
        <i x="23536" nd="1"/>
        <i x="23537" nd="1"/>
        <i x="23538" nd="1"/>
        <i x="23539" nd="1"/>
        <i x="23540" nd="1"/>
        <i x="23541" nd="1"/>
        <i x="23542" nd="1"/>
        <i x="23543" nd="1"/>
        <i x="23544" nd="1"/>
        <i x="23545" nd="1"/>
        <i x="23546" nd="1"/>
        <i x="23547" nd="1"/>
        <i x="23548" nd="1"/>
        <i x="23549" nd="1"/>
        <i x="23550" nd="1"/>
        <i x="23551" nd="1"/>
        <i x="23552" nd="1"/>
        <i x="23553" nd="1"/>
        <i x="23554" nd="1"/>
        <i x="23555" nd="1"/>
        <i x="23556" nd="1"/>
        <i x="23557" nd="1"/>
        <i x="23558" nd="1"/>
        <i x="23559" nd="1"/>
        <i x="23560" nd="1"/>
        <i x="23561" nd="1"/>
        <i x="23562" nd="1"/>
        <i x="23563" nd="1"/>
        <i x="23564" nd="1"/>
        <i x="23565" nd="1"/>
        <i x="23566" nd="1"/>
        <i x="23567" nd="1"/>
        <i x="23568" nd="1"/>
        <i x="23569" nd="1"/>
        <i x="23570" nd="1"/>
        <i x="23571" nd="1"/>
        <i x="23572" nd="1"/>
        <i x="23573" nd="1"/>
        <i x="23574" nd="1"/>
        <i x="23575" nd="1"/>
        <i x="23576" nd="1"/>
        <i x="23577" nd="1"/>
        <i x="23578" nd="1"/>
        <i x="23579" nd="1"/>
        <i x="23580" nd="1"/>
        <i x="23581" nd="1"/>
        <i x="23582" nd="1"/>
        <i x="23583" nd="1"/>
        <i x="23584" nd="1"/>
        <i x="23585" nd="1"/>
        <i x="23586" nd="1"/>
        <i x="23587" nd="1"/>
        <i x="23588" nd="1"/>
        <i x="23589" nd="1"/>
        <i x="23590" nd="1"/>
        <i x="23591" nd="1"/>
        <i x="23592" nd="1"/>
        <i x="23593" nd="1"/>
        <i x="23594" nd="1"/>
        <i x="23595" nd="1"/>
        <i x="23596" nd="1"/>
        <i x="23597" nd="1"/>
        <i x="23598" nd="1"/>
        <i x="23599" nd="1"/>
        <i x="23600" nd="1"/>
        <i x="23601" nd="1"/>
        <i x="23602" nd="1"/>
        <i x="23603" nd="1"/>
        <i x="23604" nd="1"/>
        <i x="23605" nd="1"/>
        <i x="23606" nd="1"/>
        <i x="23607" nd="1"/>
        <i x="23608" nd="1"/>
        <i x="23609" nd="1"/>
        <i x="23610" nd="1"/>
        <i x="23611" nd="1"/>
        <i x="23612" nd="1"/>
        <i x="23613" nd="1"/>
        <i x="23614" nd="1"/>
        <i x="23615" nd="1"/>
        <i x="23616" nd="1"/>
        <i x="23617" nd="1"/>
        <i x="23618" nd="1"/>
        <i x="23619" nd="1"/>
        <i x="23620" nd="1"/>
        <i x="23621" nd="1"/>
        <i x="23622" nd="1"/>
        <i x="23623" nd="1"/>
        <i x="23624" nd="1"/>
        <i x="23625" nd="1"/>
        <i x="23626" nd="1"/>
        <i x="23627" nd="1"/>
        <i x="23628" nd="1"/>
        <i x="23629" nd="1"/>
        <i x="23630" nd="1"/>
        <i x="23631" nd="1"/>
        <i x="23632" nd="1"/>
        <i x="23633" nd="1"/>
        <i x="23634" nd="1"/>
        <i x="23635" nd="1"/>
        <i x="23636" nd="1"/>
        <i x="23637" nd="1"/>
        <i x="23638" nd="1"/>
        <i x="23639" nd="1"/>
        <i x="23640" nd="1"/>
        <i x="23641" nd="1"/>
        <i x="23642" nd="1"/>
        <i x="23643" nd="1"/>
        <i x="23644" nd="1"/>
        <i x="23645" nd="1"/>
        <i x="23646" nd="1"/>
        <i x="23647" nd="1"/>
        <i x="23648" nd="1"/>
        <i x="23649" nd="1"/>
        <i x="23650" nd="1"/>
        <i x="23651" nd="1"/>
        <i x="23652" nd="1"/>
        <i x="23653" nd="1"/>
        <i x="23654" nd="1"/>
        <i x="23655" nd="1"/>
        <i x="23656" nd="1"/>
        <i x="23657" nd="1"/>
        <i x="23658" nd="1"/>
        <i x="23659" nd="1"/>
        <i x="23660" nd="1"/>
        <i x="23661" nd="1"/>
        <i x="23662" nd="1"/>
        <i x="23663" nd="1"/>
        <i x="23664" nd="1"/>
        <i x="23665" nd="1"/>
        <i x="23666" nd="1"/>
        <i x="23667" nd="1"/>
        <i x="23668" nd="1"/>
        <i x="23669" nd="1"/>
        <i x="23670" nd="1"/>
        <i x="23671" nd="1"/>
        <i x="23672" nd="1"/>
        <i x="23673" nd="1"/>
        <i x="23674" nd="1"/>
        <i x="23675" nd="1"/>
        <i x="23676" nd="1"/>
        <i x="23677" nd="1"/>
        <i x="23678" nd="1"/>
        <i x="23679" nd="1"/>
        <i x="23680" nd="1"/>
        <i x="23681" nd="1"/>
        <i x="23682" nd="1"/>
        <i x="23683" nd="1"/>
        <i x="23684" nd="1"/>
        <i x="23685" nd="1"/>
        <i x="23686" nd="1"/>
        <i x="23687" nd="1"/>
        <i x="23688" nd="1"/>
        <i x="23689" nd="1"/>
        <i x="23690" nd="1"/>
        <i x="23691" nd="1"/>
        <i x="23692" nd="1"/>
        <i x="23693" nd="1"/>
        <i x="23694" nd="1"/>
        <i x="23695" nd="1"/>
        <i x="23696" nd="1"/>
        <i x="23697" nd="1"/>
        <i x="23698" nd="1"/>
        <i x="23699" nd="1"/>
        <i x="23700" nd="1"/>
        <i x="23701" nd="1"/>
        <i x="23702" nd="1"/>
        <i x="23703" nd="1"/>
        <i x="23704" nd="1"/>
        <i x="23705" nd="1"/>
        <i x="23706" nd="1"/>
        <i x="23707" nd="1"/>
        <i x="23708" nd="1"/>
        <i x="23709" nd="1"/>
        <i x="23710" nd="1"/>
        <i x="23711" nd="1"/>
        <i x="23712" nd="1"/>
        <i x="23713" nd="1"/>
        <i x="23714" nd="1"/>
        <i x="23715" nd="1"/>
        <i x="23716" nd="1"/>
        <i x="23717" nd="1"/>
        <i x="23718" nd="1"/>
        <i x="23719" nd="1"/>
        <i x="23720" nd="1"/>
        <i x="23721" nd="1"/>
        <i x="23722" nd="1"/>
        <i x="23723" nd="1"/>
        <i x="23724" nd="1"/>
        <i x="23725" nd="1"/>
        <i x="23726" nd="1"/>
        <i x="23727" nd="1"/>
        <i x="23728" nd="1"/>
        <i x="23729" nd="1"/>
        <i x="23730" nd="1"/>
        <i x="23731" nd="1"/>
        <i x="23732" nd="1"/>
        <i x="23733" nd="1"/>
        <i x="23734" nd="1"/>
        <i x="23735" nd="1"/>
        <i x="23736" nd="1"/>
        <i x="23737" nd="1"/>
        <i x="23738" nd="1"/>
        <i x="23739" nd="1"/>
        <i x="23740" nd="1"/>
        <i x="23741" nd="1"/>
        <i x="23742" nd="1"/>
        <i x="23743" nd="1"/>
        <i x="23744" nd="1"/>
        <i x="23745" nd="1"/>
        <i x="23746" nd="1"/>
        <i x="23747" nd="1"/>
        <i x="23748" nd="1"/>
        <i x="23749" nd="1"/>
        <i x="23750" nd="1"/>
        <i x="23751" nd="1"/>
        <i x="23752" nd="1"/>
        <i x="23753" nd="1"/>
        <i x="23754" nd="1"/>
        <i x="23755" nd="1"/>
        <i x="23756" nd="1"/>
        <i x="23757" nd="1"/>
        <i x="23758" nd="1"/>
        <i x="23759" nd="1"/>
        <i x="23760" nd="1"/>
        <i x="23761" nd="1"/>
        <i x="23762" nd="1"/>
        <i x="23763" nd="1"/>
        <i x="23764" nd="1"/>
        <i x="23765" nd="1"/>
        <i x="23766" nd="1"/>
        <i x="23767" nd="1"/>
        <i x="23768" nd="1"/>
        <i x="23769" nd="1"/>
        <i x="23770" nd="1"/>
        <i x="23771" nd="1"/>
        <i x="23772" nd="1"/>
        <i x="23773" nd="1"/>
        <i x="23774" nd="1"/>
        <i x="23775" nd="1"/>
        <i x="23776" nd="1"/>
        <i x="23777" nd="1"/>
        <i x="23778" nd="1"/>
        <i x="23779" nd="1"/>
        <i x="23780" nd="1"/>
        <i x="23781" nd="1"/>
        <i x="23782" nd="1"/>
        <i x="23783" nd="1"/>
        <i x="23784" nd="1"/>
        <i x="23785" nd="1"/>
        <i x="23786" nd="1"/>
        <i x="23787" nd="1"/>
        <i x="23788" nd="1"/>
        <i x="23789" nd="1"/>
        <i x="23790" nd="1"/>
        <i x="23791" nd="1"/>
        <i x="23792" nd="1"/>
        <i x="23793" nd="1"/>
        <i x="23794" nd="1"/>
        <i x="23795" nd="1"/>
        <i x="23796" nd="1"/>
        <i x="23797" nd="1"/>
        <i x="23798" nd="1"/>
        <i x="23799" nd="1"/>
        <i x="23800" nd="1"/>
        <i x="23801" nd="1"/>
        <i x="23802" nd="1"/>
        <i x="23803" nd="1"/>
        <i x="23804" nd="1"/>
        <i x="23805" nd="1"/>
        <i x="23806" nd="1"/>
        <i x="23807" nd="1"/>
        <i x="23808" nd="1"/>
        <i x="23809" nd="1"/>
        <i x="23810" nd="1"/>
        <i x="23811" nd="1"/>
        <i x="23812" nd="1"/>
        <i x="23813" nd="1"/>
        <i x="23814" nd="1"/>
        <i x="23815" nd="1"/>
        <i x="23816" nd="1"/>
        <i x="23817" nd="1"/>
        <i x="23818" nd="1"/>
        <i x="23819" nd="1"/>
        <i x="23820" nd="1"/>
        <i x="23821" nd="1"/>
        <i x="23822" nd="1"/>
        <i x="23823" nd="1"/>
        <i x="23824" nd="1"/>
        <i x="23825" nd="1"/>
        <i x="23826" nd="1"/>
        <i x="23827" nd="1"/>
        <i x="23828" nd="1"/>
        <i x="23829" nd="1"/>
        <i x="23830" nd="1"/>
        <i x="23831" nd="1"/>
        <i x="23832" nd="1"/>
        <i x="23833" nd="1"/>
        <i x="23834" nd="1"/>
        <i x="23835" nd="1"/>
        <i x="23836" nd="1"/>
        <i x="23837" nd="1"/>
        <i x="23838" nd="1"/>
        <i x="23839" nd="1"/>
        <i x="23840" nd="1"/>
        <i x="23841" nd="1"/>
        <i x="23842" nd="1"/>
        <i x="23843" nd="1"/>
        <i x="23844" nd="1"/>
        <i x="23845" nd="1"/>
        <i x="23846" nd="1"/>
        <i x="23847" nd="1"/>
        <i x="23848" nd="1"/>
        <i x="23849" nd="1"/>
        <i x="23850" nd="1"/>
        <i x="23851" nd="1"/>
        <i x="23852" nd="1"/>
        <i x="23853" nd="1"/>
        <i x="23854" nd="1"/>
        <i x="23855" nd="1"/>
        <i x="23856" nd="1"/>
        <i x="23857" nd="1"/>
        <i x="23858" nd="1"/>
        <i x="23859" nd="1"/>
        <i x="23860" nd="1"/>
        <i x="23861" nd="1"/>
        <i x="23862" nd="1"/>
        <i x="23863" nd="1"/>
        <i x="23864" nd="1"/>
        <i x="23865" nd="1"/>
        <i x="23866" nd="1"/>
        <i x="23867" nd="1"/>
        <i x="23868" nd="1"/>
        <i x="23869" nd="1"/>
        <i x="23870" nd="1"/>
        <i x="23871" nd="1"/>
        <i x="23872" nd="1"/>
        <i x="23873" nd="1"/>
        <i x="23874" nd="1"/>
        <i x="23875" nd="1"/>
        <i x="23876" nd="1"/>
        <i x="23877" nd="1"/>
        <i x="23878" nd="1"/>
        <i x="23879" nd="1"/>
        <i x="23880" nd="1"/>
        <i x="23881" nd="1"/>
        <i x="23882" nd="1"/>
        <i x="23883" nd="1"/>
        <i x="23884" nd="1"/>
        <i x="23885" nd="1"/>
        <i x="23886" nd="1"/>
        <i x="23887" nd="1"/>
        <i x="23888" nd="1"/>
        <i x="23889" nd="1"/>
        <i x="23890" nd="1"/>
        <i x="23891" nd="1"/>
        <i x="23892" nd="1"/>
        <i x="23893" nd="1"/>
        <i x="23894" nd="1"/>
        <i x="23895" nd="1"/>
        <i x="23896" nd="1"/>
        <i x="23897" nd="1"/>
        <i x="23898" nd="1"/>
        <i x="23899" nd="1"/>
        <i x="23900" nd="1"/>
        <i x="23901" nd="1"/>
        <i x="23902" nd="1"/>
        <i x="23903" nd="1"/>
        <i x="23904" nd="1"/>
        <i x="23905" nd="1"/>
        <i x="23906" nd="1"/>
        <i x="23907" nd="1"/>
        <i x="23908" nd="1"/>
        <i x="23909" nd="1"/>
        <i x="23910" nd="1"/>
        <i x="23911" nd="1"/>
        <i x="23912" nd="1"/>
        <i x="23913" nd="1"/>
        <i x="23914" nd="1"/>
        <i x="23915" nd="1"/>
        <i x="23916" nd="1"/>
        <i x="23917" nd="1"/>
        <i x="23918" nd="1"/>
        <i x="23919" nd="1"/>
        <i x="23920" nd="1"/>
        <i x="23921" nd="1"/>
        <i x="23922" nd="1"/>
        <i x="23923" nd="1"/>
        <i x="23924" nd="1"/>
        <i x="23925" nd="1"/>
        <i x="23926" nd="1"/>
        <i x="23927" nd="1"/>
        <i x="23928" nd="1"/>
        <i x="23929" nd="1"/>
        <i x="23930" nd="1"/>
        <i x="23931" nd="1"/>
        <i x="23932" nd="1"/>
        <i x="23933" nd="1"/>
        <i x="23934" nd="1"/>
        <i x="23935" nd="1"/>
        <i x="23936" nd="1"/>
        <i x="23937" nd="1"/>
        <i x="23938" nd="1"/>
        <i x="23939" nd="1"/>
        <i x="23940" nd="1"/>
        <i x="23941" nd="1"/>
        <i x="23942" nd="1"/>
        <i x="23943" nd="1"/>
        <i x="23944" nd="1"/>
        <i x="23945" nd="1"/>
        <i x="23946" nd="1"/>
        <i x="23947" nd="1"/>
        <i x="23948" nd="1"/>
        <i x="23949" nd="1"/>
        <i x="23950" nd="1"/>
        <i x="23951" nd="1"/>
        <i x="23952" nd="1"/>
        <i x="23953" nd="1"/>
        <i x="23954" nd="1"/>
        <i x="23955" nd="1"/>
        <i x="23956" nd="1"/>
        <i x="23957" nd="1"/>
        <i x="23958" nd="1"/>
        <i x="23959" nd="1"/>
        <i x="23960" nd="1"/>
        <i x="23961" nd="1"/>
        <i x="23962" nd="1"/>
        <i x="23963" nd="1"/>
        <i x="23964" nd="1"/>
        <i x="23965" nd="1"/>
        <i x="23966" nd="1"/>
        <i x="23967" nd="1"/>
        <i x="23968" nd="1"/>
        <i x="23969" nd="1"/>
        <i x="23970" nd="1"/>
        <i x="23971" nd="1"/>
        <i x="23972" nd="1"/>
        <i x="23973" nd="1"/>
        <i x="23974" nd="1"/>
        <i x="23975" nd="1"/>
        <i x="23976" nd="1"/>
        <i x="23977" nd="1"/>
        <i x="23978" nd="1"/>
        <i x="23979" nd="1"/>
        <i x="23980" nd="1"/>
        <i x="23981" nd="1"/>
        <i x="23982" nd="1"/>
        <i x="23983" nd="1"/>
        <i x="23984" nd="1"/>
        <i x="23985" nd="1"/>
        <i x="23986" nd="1"/>
        <i x="23987" nd="1"/>
        <i x="23988" nd="1"/>
        <i x="23989" nd="1"/>
        <i x="23990" nd="1"/>
        <i x="23991" nd="1"/>
        <i x="23992" nd="1"/>
        <i x="23993" nd="1"/>
        <i x="23994" nd="1"/>
        <i x="23995" nd="1"/>
        <i x="23996" nd="1"/>
        <i x="23997" nd="1"/>
        <i x="23998" nd="1"/>
        <i x="23999" nd="1"/>
        <i x="24000" nd="1"/>
        <i x="24001" nd="1"/>
        <i x="24002" nd="1"/>
        <i x="24003" nd="1"/>
        <i x="24004" nd="1"/>
        <i x="24005" nd="1"/>
        <i x="24006" nd="1"/>
        <i x="24007" nd="1"/>
        <i x="24008" nd="1"/>
        <i x="24009" nd="1"/>
        <i x="24010" nd="1"/>
        <i x="24011" nd="1"/>
        <i x="24012" nd="1"/>
        <i x="24013" nd="1"/>
        <i x="24014" nd="1"/>
        <i x="24015" nd="1"/>
        <i x="24016" nd="1"/>
        <i x="24017" nd="1"/>
        <i x="24018" nd="1"/>
        <i x="24019" nd="1"/>
        <i x="24020" nd="1"/>
        <i x="24021" nd="1"/>
        <i x="24022" nd="1"/>
        <i x="24023" nd="1"/>
        <i x="24024" nd="1"/>
        <i x="24025" nd="1"/>
        <i x="24026" nd="1"/>
        <i x="24027" nd="1"/>
        <i x="24028" nd="1"/>
        <i x="24029" nd="1"/>
        <i x="24030" nd="1"/>
        <i x="24031" nd="1"/>
        <i x="24032" nd="1"/>
        <i x="24033" nd="1"/>
        <i x="24034" nd="1"/>
        <i x="24035" nd="1"/>
        <i x="24036" nd="1"/>
        <i x="24037" nd="1"/>
        <i x="24038" nd="1"/>
        <i x="24039" nd="1"/>
        <i x="24040" nd="1"/>
        <i x="24041" nd="1"/>
        <i x="24042" nd="1"/>
        <i x="24043" nd="1"/>
        <i x="24044" nd="1"/>
        <i x="24045" nd="1"/>
        <i x="24046" nd="1"/>
        <i x="24047" nd="1"/>
        <i x="24048" nd="1"/>
        <i x="24049" nd="1"/>
        <i x="24050" nd="1"/>
        <i x="24051" nd="1"/>
        <i x="24052" nd="1"/>
        <i x="24053" nd="1"/>
        <i x="24054" nd="1"/>
        <i x="24055" nd="1"/>
        <i x="24056" nd="1"/>
        <i x="24057" nd="1"/>
        <i x="24058" nd="1"/>
        <i x="24059" nd="1"/>
        <i x="24060" nd="1"/>
        <i x="24061" nd="1"/>
        <i x="24062" nd="1"/>
        <i x="24063" nd="1"/>
        <i x="24064" nd="1"/>
        <i x="24065" nd="1"/>
        <i x="24066" nd="1"/>
        <i x="24067" nd="1"/>
        <i x="24068" nd="1"/>
        <i x="24069" nd="1"/>
        <i x="24070" nd="1"/>
        <i x="24071" nd="1"/>
        <i x="24072" nd="1"/>
        <i x="24073" nd="1"/>
        <i x="24074" nd="1"/>
        <i x="24075" nd="1"/>
        <i x="24076" nd="1"/>
        <i x="24077" nd="1"/>
        <i x="24078" nd="1"/>
        <i x="24079" nd="1"/>
        <i x="24080" nd="1"/>
        <i x="24081" nd="1"/>
        <i x="24082" nd="1"/>
        <i x="24083" nd="1"/>
        <i x="24084" nd="1"/>
        <i x="24085" nd="1"/>
        <i x="24086" nd="1"/>
        <i x="24087" nd="1"/>
        <i x="24088" nd="1"/>
        <i x="24089" nd="1"/>
        <i x="24090" nd="1"/>
        <i x="24091" nd="1"/>
        <i x="24092" nd="1"/>
        <i x="24093" nd="1"/>
        <i x="24094" nd="1"/>
        <i x="24095" nd="1"/>
        <i x="24096" nd="1"/>
        <i x="24097" nd="1"/>
        <i x="24098" nd="1"/>
        <i x="24099" nd="1"/>
        <i x="24100" nd="1"/>
        <i x="24101" nd="1"/>
        <i x="24102" nd="1"/>
        <i x="24103" nd="1"/>
        <i x="24104" nd="1"/>
        <i x="24105" nd="1"/>
        <i x="24106" nd="1"/>
        <i x="24107" nd="1"/>
        <i x="24108" nd="1"/>
        <i x="24109" nd="1"/>
        <i x="24110" nd="1"/>
        <i x="24111" nd="1"/>
        <i x="24112" nd="1"/>
        <i x="24113" nd="1"/>
        <i x="24114" nd="1"/>
        <i x="24115" nd="1"/>
        <i x="24116" nd="1"/>
        <i x="24117" nd="1"/>
        <i x="24118" nd="1"/>
        <i x="24119" nd="1"/>
        <i x="24120" nd="1"/>
        <i x="24121" nd="1"/>
        <i x="24122" nd="1"/>
        <i x="24123" nd="1"/>
        <i x="24124" nd="1"/>
        <i x="24125" nd="1"/>
        <i x="24126" nd="1"/>
        <i x="24127" nd="1"/>
        <i x="24128" nd="1"/>
        <i x="24129" nd="1"/>
        <i x="24130" nd="1"/>
        <i x="24131" nd="1"/>
        <i x="24132" nd="1"/>
        <i x="24133" nd="1"/>
        <i x="24134" nd="1"/>
        <i x="24135" nd="1"/>
        <i x="24136" nd="1"/>
        <i x="24137" nd="1"/>
        <i x="24138" nd="1"/>
        <i x="24139" nd="1"/>
        <i x="24140" nd="1"/>
        <i x="24141" nd="1"/>
        <i x="24142" nd="1"/>
        <i x="24143" nd="1"/>
        <i x="24144" nd="1"/>
        <i x="24145" nd="1"/>
        <i x="24146" nd="1"/>
        <i x="24147" nd="1"/>
        <i x="24148" nd="1"/>
        <i x="24149" nd="1"/>
        <i x="24150" nd="1"/>
        <i x="24151" nd="1"/>
        <i x="24152" nd="1"/>
        <i x="24153" nd="1"/>
        <i x="24154" nd="1"/>
        <i x="24155" nd="1"/>
        <i x="24156" nd="1"/>
        <i x="24157" nd="1"/>
        <i x="24158" nd="1"/>
        <i x="24159" nd="1"/>
        <i x="24160" nd="1"/>
        <i x="24161" nd="1"/>
        <i x="24162" nd="1"/>
        <i x="24163" nd="1"/>
        <i x="24164" nd="1"/>
        <i x="24165" nd="1"/>
        <i x="24166" nd="1"/>
        <i x="24167" nd="1"/>
        <i x="24168" nd="1"/>
        <i x="24169" nd="1"/>
        <i x="24170" nd="1"/>
        <i x="24171" nd="1"/>
        <i x="24172" nd="1"/>
        <i x="24173" nd="1"/>
        <i x="24174" nd="1"/>
        <i x="24175" nd="1"/>
        <i x="24176" nd="1"/>
        <i x="24177" nd="1"/>
        <i x="24178" nd="1"/>
        <i x="24179" nd="1"/>
        <i x="24180" nd="1"/>
        <i x="24181" nd="1"/>
        <i x="24182" nd="1"/>
        <i x="24183" nd="1"/>
        <i x="24184" nd="1"/>
        <i x="24185" nd="1"/>
        <i x="24186" nd="1"/>
        <i x="24187" nd="1"/>
        <i x="24188" nd="1"/>
        <i x="24189" nd="1"/>
        <i x="24190" nd="1"/>
        <i x="24191" nd="1"/>
        <i x="24192" nd="1"/>
        <i x="24193" nd="1"/>
        <i x="24194" nd="1"/>
        <i x="24195" nd="1"/>
        <i x="24196" nd="1"/>
        <i x="24197" nd="1"/>
        <i x="24198" nd="1"/>
        <i x="24199" nd="1"/>
        <i x="24200" nd="1"/>
        <i x="24201" nd="1"/>
        <i x="24202" nd="1"/>
        <i x="24203" nd="1"/>
        <i x="24204" nd="1"/>
        <i x="24205" nd="1"/>
        <i x="24206" nd="1"/>
        <i x="24207" nd="1"/>
        <i x="24208" nd="1"/>
        <i x="24209" nd="1"/>
        <i x="24210" nd="1"/>
        <i x="24211" nd="1"/>
        <i x="24212" nd="1"/>
        <i x="24213" nd="1"/>
        <i x="24214" nd="1"/>
        <i x="24215" nd="1"/>
        <i x="24216" nd="1"/>
        <i x="24217" nd="1"/>
        <i x="24218" nd="1"/>
        <i x="24219" nd="1"/>
        <i x="24220" nd="1"/>
        <i x="24221" nd="1"/>
        <i x="24222" nd="1"/>
        <i x="24223" nd="1"/>
        <i x="24224" nd="1"/>
        <i x="24225" nd="1"/>
        <i x="24226" nd="1"/>
        <i x="24227" nd="1"/>
        <i x="24228" nd="1"/>
        <i x="24229" nd="1"/>
        <i x="24230" nd="1"/>
        <i x="24231" nd="1"/>
        <i x="24232" nd="1"/>
        <i x="24233" nd="1"/>
        <i x="24234" nd="1"/>
        <i x="24235" nd="1"/>
        <i x="24236" nd="1"/>
        <i x="24237" nd="1"/>
        <i x="24238" nd="1"/>
        <i x="24239" nd="1"/>
        <i x="24240" nd="1"/>
        <i x="24241" nd="1"/>
        <i x="24242" nd="1"/>
        <i x="24243" nd="1"/>
        <i x="24244" nd="1"/>
        <i x="24245" nd="1"/>
        <i x="24246" nd="1"/>
        <i x="24247" nd="1"/>
        <i x="24248" nd="1"/>
        <i x="24249" nd="1"/>
        <i x="24250" nd="1"/>
        <i x="24251" nd="1"/>
        <i x="24252" nd="1"/>
        <i x="24253" nd="1"/>
        <i x="24254" nd="1"/>
        <i x="24255" nd="1"/>
        <i x="24256" nd="1"/>
        <i x="24257" nd="1"/>
        <i x="24258" nd="1"/>
        <i x="24259" nd="1"/>
        <i x="24260" nd="1"/>
        <i x="24261" nd="1"/>
        <i x="24262" nd="1"/>
        <i x="24263" nd="1"/>
        <i x="24264" nd="1"/>
        <i x="24265" nd="1"/>
        <i x="24266" nd="1"/>
        <i x="24267" nd="1"/>
        <i x="24268" nd="1"/>
        <i x="24269" nd="1"/>
        <i x="24270" nd="1"/>
        <i x="24271" nd="1"/>
        <i x="24272" nd="1"/>
        <i x="24273" nd="1"/>
        <i x="24274" nd="1"/>
        <i x="24275" nd="1"/>
        <i x="24276" nd="1"/>
        <i x="24277" nd="1"/>
        <i x="24278" nd="1"/>
        <i x="24279" nd="1"/>
        <i x="24280" nd="1"/>
        <i x="24281" nd="1"/>
        <i x="24282" nd="1"/>
        <i x="24283" nd="1"/>
        <i x="24284" nd="1"/>
        <i x="24285" nd="1"/>
        <i x="24286" nd="1"/>
        <i x="24287" nd="1"/>
        <i x="24288" nd="1"/>
        <i x="24289" nd="1"/>
        <i x="24290" nd="1"/>
        <i x="24291" nd="1"/>
        <i x="24292" nd="1"/>
        <i x="24293" nd="1"/>
        <i x="24294" nd="1"/>
        <i x="24295" nd="1"/>
        <i x="24296" nd="1"/>
        <i x="24297" nd="1"/>
        <i x="24298" nd="1"/>
        <i x="24299" nd="1"/>
        <i x="24300" nd="1"/>
        <i x="24301" nd="1"/>
        <i x="24302" nd="1"/>
        <i x="24303" nd="1"/>
        <i x="24304" nd="1"/>
        <i x="24305" nd="1"/>
        <i x="24306" nd="1"/>
        <i x="24307" nd="1"/>
        <i x="24308" nd="1"/>
        <i x="24309" nd="1"/>
        <i x="24310" nd="1"/>
        <i x="24311" nd="1"/>
        <i x="24312" nd="1"/>
        <i x="24313" nd="1"/>
        <i x="24314" nd="1"/>
        <i x="24315" nd="1"/>
        <i x="24316" nd="1"/>
        <i x="24317" nd="1"/>
        <i x="24318" nd="1"/>
        <i x="24319" nd="1"/>
        <i x="24320" nd="1"/>
        <i x="24321" nd="1"/>
        <i x="24322" nd="1"/>
        <i x="24323" nd="1"/>
        <i x="24324" nd="1"/>
        <i x="24325" nd="1"/>
        <i x="24326" nd="1"/>
        <i x="24327" nd="1"/>
        <i x="24328" nd="1"/>
        <i x="24329" nd="1"/>
        <i x="24330" nd="1"/>
        <i x="24331" nd="1"/>
        <i x="24332" nd="1"/>
        <i x="24333" nd="1"/>
        <i x="24334" nd="1"/>
        <i x="24335" nd="1"/>
        <i x="24336" nd="1"/>
        <i x="24337" nd="1"/>
        <i x="24338" nd="1"/>
        <i x="24339" nd="1"/>
        <i x="24340" nd="1"/>
        <i x="24341" nd="1"/>
        <i x="24342" nd="1"/>
        <i x="24343" nd="1"/>
        <i x="24344" nd="1"/>
        <i x="24345" nd="1"/>
        <i x="24346" nd="1"/>
        <i x="24347" nd="1"/>
        <i x="24348" nd="1"/>
        <i x="24349" nd="1"/>
        <i x="24350" nd="1"/>
        <i x="24351" nd="1"/>
        <i x="24352" nd="1"/>
        <i x="24353" nd="1"/>
        <i x="24354" nd="1"/>
        <i x="24355" nd="1"/>
        <i x="24356" nd="1"/>
        <i x="24357" nd="1"/>
        <i x="24358" nd="1"/>
        <i x="24359" nd="1"/>
        <i x="24360" nd="1"/>
        <i x="24361" nd="1"/>
        <i x="24362" nd="1"/>
        <i x="24363" nd="1"/>
        <i x="24364" nd="1"/>
        <i x="24365" nd="1"/>
        <i x="24366" nd="1"/>
        <i x="24367" nd="1"/>
        <i x="24368" nd="1"/>
        <i x="24369" nd="1"/>
        <i x="24370" nd="1"/>
        <i x="24371" nd="1"/>
        <i x="24372" nd="1"/>
        <i x="24373" nd="1"/>
        <i x="24374" nd="1"/>
        <i x="24375" nd="1"/>
        <i x="24376" nd="1"/>
        <i x="24377" nd="1"/>
        <i x="24378" nd="1"/>
        <i x="24379" nd="1"/>
        <i x="24380" nd="1"/>
        <i x="24381" nd="1"/>
        <i x="24382" nd="1"/>
        <i x="24383" nd="1"/>
        <i x="24384" nd="1"/>
        <i x="24385" nd="1"/>
        <i x="24386" nd="1"/>
        <i x="24387" nd="1"/>
        <i x="24388" nd="1"/>
        <i x="24389" nd="1"/>
        <i x="24390" nd="1"/>
        <i x="24391" nd="1"/>
        <i x="24392" nd="1"/>
        <i x="24393" nd="1"/>
        <i x="24394" nd="1"/>
        <i x="24395" nd="1"/>
        <i x="24396" nd="1"/>
        <i x="24397" nd="1"/>
        <i x="24398" nd="1"/>
        <i x="24399" nd="1"/>
        <i x="24400" nd="1"/>
        <i x="24401" nd="1"/>
        <i x="24402" nd="1"/>
        <i x="24403" nd="1"/>
        <i x="24404" nd="1"/>
        <i x="24405" nd="1"/>
        <i x="24406" nd="1"/>
        <i x="24407" nd="1"/>
        <i x="24408" nd="1"/>
        <i x="24409" nd="1"/>
        <i x="24410" nd="1"/>
        <i x="24411" nd="1"/>
        <i x="24412" nd="1"/>
        <i x="24413" nd="1"/>
        <i x="24414" nd="1"/>
        <i x="24415" nd="1"/>
        <i x="24416" nd="1"/>
        <i x="24417" nd="1"/>
        <i x="24418" nd="1"/>
        <i x="24419" nd="1"/>
        <i x="24420" nd="1"/>
        <i x="24421" nd="1"/>
        <i x="24422" nd="1"/>
        <i x="24423" nd="1"/>
        <i x="24424" nd="1"/>
        <i x="24425" nd="1"/>
        <i x="24426" nd="1"/>
        <i x="24427" nd="1"/>
        <i x="24428" nd="1"/>
        <i x="24429" nd="1"/>
        <i x="24430" nd="1"/>
        <i x="24431" nd="1"/>
        <i x="24432" nd="1"/>
        <i x="24433" nd="1"/>
        <i x="24434" nd="1"/>
        <i x="24435" nd="1"/>
        <i x="24436" nd="1"/>
        <i x="24437" nd="1"/>
        <i x="24438" nd="1"/>
        <i x="24439" nd="1"/>
        <i x="24440" nd="1"/>
        <i x="24441" nd="1"/>
        <i x="24442" nd="1"/>
        <i x="24443" nd="1"/>
        <i x="24444" nd="1"/>
        <i x="24445" nd="1"/>
        <i x="24446" nd="1"/>
        <i x="24447" nd="1"/>
        <i x="24448" nd="1"/>
        <i x="24449" nd="1"/>
        <i x="24450" nd="1"/>
        <i x="24451" nd="1"/>
        <i x="24452" nd="1"/>
        <i x="24453" nd="1"/>
        <i x="24454" nd="1"/>
        <i x="24455" nd="1"/>
        <i x="24456" nd="1"/>
        <i x="24457" nd="1"/>
        <i x="24458" nd="1"/>
        <i x="24459" nd="1"/>
        <i x="24460" nd="1"/>
        <i x="24461" nd="1"/>
        <i x="24462" nd="1"/>
        <i x="24463" nd="1"/>
        <i x="24464" nd="1"/>
        <i x="24465" nd="1"/>
        <i x="24466" nd="1"/>
        <i x="24467" nd="1"/>
        <i x="24468" nd="1"/>
        <i x="24469" nd="1"/>
        <i x="24470" nd="1"/>
        <i x="24471" nd="1"/>
        <i x="24472" nd="1"/>
        <i x="24473" nd="1"/>
        <i x="24474" nd="1"/>
        <i x="24475" nd="1"/>
        <i x="24476" nd="1"/>
        <i x="24477" nd="1"/>
        <i x="24478" nd="1"/>
        <i x="24479" nd="1"/>
        <i x="24480" nd="1"/>
        <i x="24481" nd="1"/>
        <i x="24482" nd="1"/>
        <i x="24483" nd="1"/>
        <i x="24484" nd="1"/>
        <i x="24485" nd="1"/>
        <i x="24486" nd="1"/>
        <i x="24487" nd="1"/>
        <i x="24488" nd="1"/>
        <i x="24489" nd="1"/>
        <i x="24490" nd="1"/>
        <i x="24491" nd="1"/>
        <i x="24492" nd="1"/>
        <i x="24493" nd="1"/>
        <i x="24494" nd="1"/>
        <i x="24495" nd="1"/>
        <i x="24496" nd="1"/>
        <i x="24497" nd="1"/>
        <i x="24498" nd="1"/>
        <i x="24499" nd="1"/>
        <i x="24500" nd="1"/>
        <i x="24501" nd="1"/>
        <i x="24502" nd="1"/>
        <i x="24503" nd="1"/>
        <i x="24504" nd="1"/>
        <i x="24505" nd="1"/>
        <i x="24506" nd="1"/>
        <i x="24507" nd="1"/>
        <i x="24508" nd="1"/>
        <i x="24509" nd="1"/>
        <i x="24510" nd="1"/>
        <i x="24511" nd="1"/>
        <i x="24512" nd="1"/>
        <i x="24513" nd="1"/>
        <i x="24514" nd="1"/>
        <i x="24515" nd="1"/>
        <i x="24516" nd="1"/>
        <i x="24517" nd="1"/>
        <i x="24518" nd="1"/>
        <i x="24519" nd="1"/>
        <i x="24520" nd="1"/>
        <i x="24521" nd="1"/>
        <i x="24522" nd="1"/>
        <i x="24523" nd="1"/>
        <i x="24524" nd="1"/>
        <i x="24525" nd="1"/>
        <i x="24526" nd="1"/>
        <i x="24527" nd="1"/>
        <i x="24528" nd="1"/>
        <i x="24529" nd="1"/>
        <i x="24530" nd="1"/>
        <i x="24531" nd="1"/>
        <i x="24532" nd="1"/>
        <i x="24533" nd="1"/>
        <i x="24534" nd="1"/>
        <i x="24535" nd="1"/>
        <i x="24536" nd="1"/>
        <i x="24537" nd="1"/>
        <i x="24538" nd="1"/>
        <i x="24539" nd="1"/>
        <i x="24540" nd="1"/>
        <i x="24541" nd="1"/>
        <i x="24542" nd="1"/>
        <i x="24543" nd="1"/>
        <i x="24544" nd="1"/>
        <i x="24545" nd="1"/>
        <i x="24546" nd="1"/>
        <i x="24547" nd="1"/>
        <i x="24548" nd="1"/>
        <i x="24549" nd="1"/>
        <i x="24550" nd="1"/>
        <i x="24551" nd="1"/>
        <i x="24552" nd="1"/>
        <i x="24553" nd="1"/>
        <i x="24554" nd="1"/>
        <i x="24555" nd="1"/>
        <i x="24556" nd="1"/>
        <i x="24557" nd="1"/>
        <i x="24558" nd="1"/>
        <i x="24559" nd="1"/>
        <i x="24560" nd="1"/>
        <i x="24561" nd="1"/>
        <i x="24562" nd="1"/>
        <i x="24563" nd="1"/>
        <i x="24564" nd="1"/>
        <i x="24565" nd="1"/>
        <i x="24566" nd="1"/>
        <i x="24567" nd="1"/>
        <i x="24568" nd="1"/>
        <i x="24569" nd="1"/>
        <i x="24570" nd="1"/>
        <i x="24571" nd="1"/>
        <i x="24572" nd="1"/>
        <i x="24573" nd="1"/>
        <i x="24574" nd="1"/>
        <i x="24575" nd="1"/>
        <i x="24576" nd="1"/>
        <i x="24577" nd="1"/>
        <i x="24578" nd="1"/>
        <i x="24579" nd="1"/>
        <i x="24580" nd="1"/>
        <i x="24581" nd="1"/>
        <i x="24582" nd="1"/>
        <i x="24583" nd="1"/>
        <i x="24584" nd="1"/>
        <i x="24585" nd="1"/>
        <i x="24586" nd="1"/>
        <i x="24587" nd="1"/>
        <i x="24588" nd="1"/>
        <i x="24589" nd="1"/>
        <i x="24590" nd="1"/>
        <i x="24591" nd="1"/>
        <i x="24592" nd="1"/>
        <i x="24593" nd="1"/>
        <i x="24594" nd="1"/>
        <i x="24595" nd="1"/>
        <i x="24596" nd="1"/>
        <i x="24597" nd="1"/>
        <i x="24598" nd="1"/>
        <i x="24599" nd="1"/>
        <i x="24600" nd="1"/>
        <i x="24601" nd="1"/>
        <i x="24602" nd="1"/>
        <i x="24603" nd="1"/>
        <i x="24604" nd="1"/>
        <i x="24605" nd="1"/>
        <i x="24606" nd="1"/>
        <i x="24607" nd="1"/>
        <i x="24608" nd="1"/>
        <i x="24609" nd="1"/>
        <i x="24610" nd="1"/>
        <i x="24611" nd="1"/>
        <i x="24612" nd="1"/>
        <i x="24613" nd="1"/>
        <i x="24614" nd="1"/>
        <i x="24615" nd="1"/>
        <i x="24616" nd="1"/>
        <i x="24617" nd="1"/>
        <i x="24618" nd="1"/>
        <i x="24619" nd="1"/>
        <i x="24620" nd="1"/>
        <i x="24621" nd="1"/>
        <i x="24622" nd="1"/>
        <i x="24623" nd="1"/>
        <i x="24624" nd="1"/>
        <i x="24625" nd="1"/>
        <i x="24626" nd="1"/>
        <i x="24627" nd="1"/>
        <i x="24628" nd="1"/>
        <i x="24629" nd="1"/>
        <i x="24630" nd="1"/>
        <i x="24631" nd="1"/>
        <i x="24632" nd="1"/>
        <i x="24633" nd="1"/>
        <i x="24634" nd="1"/>
        <i x="24635" nd="1"/>
        <i x="24636" nd="1"/>
        <i x="24637" nd="1"/>
        <i x="24638" nd="1"/>
        <i x="24639" nd="1"/>
        <i x="24640" nd="1"/>
        <i x="24641" nd="1"/>
        <i x="24642" nd="1"/>
        <i x="24643" nd="1"/>
        <i x="24644" nd="1"/>
        <i x="24645" nd="1"/>
        <i x="24646" nd="1"/>
        <i x="24647" nd="1"/>
        <i x="24648" nd="1"/>
        <i x="24649" nd="1"/>
        <i x="24650" nd="1"/>
        <i x="24651" nd="1"/>
        <i x="24652" nd="1"/>
        <i x="24653" nd="1"/>
        <i x="24654" nd="1"/>
        <i x="24655" nd="1"/>
        <i x="24656" nd="1"/>
        <i x="24657" nd="1"/>
        <i x="24658" nd="1"/>
        <i x="24659" nd="1"/>
        <i x="24660" nd="1"/>
        <i x="24661" nd="1"/>
        <i x="24662" nd="1"/>
        <i x="24663" nd="1"/>
        <i x="24664" nd="1"/>
        <i x="24665" nd="1"/>
        <i x="24666" nd="1"/>
        <i x="24667" nd="1"/>
        <i x="24668" nd="1"/>
        <i x="24669" nd="1"/>
        <i x="24670" nd="1"/>
        <i x="24671" nd="1"/>
        <i x="24672" nd="1"/>
        <i x="24673" nd="1"/>
        <i x="24674" nd="1"/>
        <i x="24675" nd="1"/>
        <i x="24676" nd="1"/>
        <i x="24677" nd="1"/>
        <i x="24678" nd="1"/>
        <i x="24679" nd="1"/>
        <i x="24680" nd="1"/>
        <i x="24681" nd="1"/>
        <i x="24682" nd="1"/>
        <i x="24683" nd="1"/>
        <i x="24684" nd="1"/>
        <i x="24685" nd="1"/>
        <i x="24686" nd="1"/>
        <i x="24687" nd="1"/>
        <i x="24688" nd="1"/>
        <i x="24689" nd="1"/>
        <i x="24690" nd="1"/>
        <i x="24691" nd="1"/>
        <i x="24692" nd="1"/>
        <i x="24693" nd="1"/>
        <i x="24694" nd="1"/>
        <i x="24695" nd="1"/>
        <i x="24696" nd="1"/>
        <i x="24697" nd="1"/>
        <i x="24698" nd="1"/>
        <i x="24699" nd="1"/>
        <i x="24700" nd="1"/>
        <i x="24701" nd="1"/>
        <i x="24702" nd="1"/>
        <i x="24703" nd="1"/>
        <i x="24704" nd="1"/>
        <i x="24705" nd="1"/>
        <i x="24706" nd="1"/>
        <i x="24707" nd="1"/>
        <i x="24708" nd="1"/>
        <i x="24709" nd="1"/>
        <i x="24710" nd="1"/>
        <i x="24711" nd="1"/>
        <i x="24712" nd="1"/>
        <i x="24713" nd="1"/>
        <i x="24714" nd="1"/>
        <i x="24715" nd="1"/>
        <i x="24716" nd="1"/>
        <i x="24717" nd="1"/>
        <i x="24718" nd="1"/>
        <i x="24719" nd="1"/>
        <i x="24720" nd="1"/>
        <i x="24721" nd="1"/>
        <i x="24722" nd="1"/>
        <i x="24723" nd="1"/>
        <i x="24724" nd="1"/>
        <i x="24725" nd="1"/>
        <i x="24726" nd="1"/>
        <i x="24727" nd="1"/>
        <i x="24728" nd="1"/>
        <i x="24729" nd="1"/>
        <i x="24730" nd="1"/>
        <i x="24731" nd="1"/>
        <i x="2473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Date) 1" xr10:uid="{69584BA6-0559-44FC-84A2-6FC8F908DEF8}" cache="Slicer_Days__Date" caption="Days (Date)" rowHeight="251883"/>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1CEAB9F-8867-4AE9-979B-43EA8235528D}" name="Table8" displayName="Table8" ref="M3:N9" totalsRowShown="0" headerRowDxfId="33">
  <autoFilter ref="M3:N9" xr:uid="{01CEAB9F-8867-4AE9-979B-43EA8235528D}"/>
  <tableColumns count="2">
    <tableColumn id="1" xr3:uid="{3D40E2CB-8491-4F35-999C-E0AD12E7FB98}" name="Stage" dataDxfId="32"/>
    <tableColumn id="2" xr3:uid="{AA25246C-DAA6-43E4-AE50-61D45DE04B80}" name="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C2B077-54BE-4EAE-9EBA-BF83986272DB}" name="Table1" displayName="Table1" ref="A1:H676" totalsRowShown="0" dataDxfId="8">
  <autoFilter ref="A1:H676" xr:uid="{88C2B077-54BE-4EAE-9EBA-BF83986272DB}"/>
  <sortState xmlns:xlrd2="http://schemas.microsoft.com/office/spreadsheetml/2017/richdata2" ref="A2:H676">
    <sortCondition ref="E671:E676"/>
  </sortState>
  <tableColumns count="8">
    <tableColumn id="1" xr3:uid="{6EB74A82-B9FB-4097-B551-DCB373F02F5E}" name="#" dataDxfId="7"/>
    <tableColumn id="2" xr3:uid="{B628ED76-A4BC-44D6-A6FF-26CAD146A281}" name="Candidate Number" dataDxfId="6"/>
    <tableColumn id="3" xr3:uid="{D4FD6764-2A3B-4920-8E1B-4D641C02A87C}" name="Name" dataDxfId="5"/>
    <tableColumn id="6" xr3:uid="{5AF95F13-C7BF-4970-8AE4-2B9EEF9B9D13}" name="Email Adress" dataDxfId="4" dataCellStyle="Hyperlink"/>
    <tableColumn id="8" xr3:uid="{234A4DAF-D4B7-42CC-BBAC-D4437BB3C5B6}" name="Date" dataDxfId="3" dataCellStyle="Hyperlink"/>
    <tableColumn id="4" xr3:uid="{CA6B0B14-54D3-4A68-BD58-A2F45923143B}" name="DataBase or Not" dataDxfId="2"/>
    <tableColumn id="7" xr3:uid="{638093DA-EFAA-4C03-8AC4-78D614DB80E4}" name="Status" dataDxfId="1"/>
    <tableColumn id="9" xr3:uid="{3AB4E55C-5BE5-4DAA-945A-6F91010B5284}" name="Comment"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5DAC3F9-D232-4D1D-A1F0-C481C95D483C}" name="JobSpecs_Source" displayName="JobSpecs_Source" ref="A1:G245" tableType="queryTable" totalsRowShown="0" headerRowDxfId="31" dataDxfId="30">
  <autoFilter ref="A1:G245" xr:uid="{65DAC3F9-D232-4D1D-A1F0-C481C95D483C}">
    <filterColumn colId="6">
      <filters>
        <filter val="Open"/>
      </filters>
    </filterColumn>
  </autoFilter>
  <tableColumns count="7">
    <tableColumn id="1" xr3:uid="{E1A5005C-F778-4454-BFDE-8A37AD6F7F48}" uniqueName="1" name="Job Code" queryTableFieldId="1" dataDxfId="29"/>
    <tableColumn id="2" xr3:uid="{1550C4DF-EF92-4A0E-B8D1-09171ACFD654}" uniqueName="2" name="Job Specification" queryTableFieldId="2" dataDxfId="28"/>
    <tableColumn id="3" xr3:uid="{A0D02EE5-982E-4DF9-A93E-92BF15DFF1F0}" uniqueName="3" name="Type Of  Contract" queryTableFieldId="3" dataDxfId="27"/>
    <tableColumn id="4" xr3:uid="{7F07F165-76FC-41B1-B322-FF392EE118A9}" uniqueName="4" name="Mode of Work" queryTableFieldId="4" dataDxfId="26"/>
    <tableColumn id="5" xr3:uid="{90971321-5DA0-492E-A69E-4722D611396F}" uniqueName="5" name="Location" queryTableFieldId="5" dataDxfId="25"/>
    <tableColumn id="6" xr3:uid="{277DBDB8-158F-472E-A0F8-06E205EAFDAC}" uniqueName="6" name="Salary Range" queryTableFieldId="6" dataDxfId="24"/>
    <tableColumn id="7" xr3:uid="{D97946B8-48AE-4A16-8C2B-D3A64426A90F}" uniqueName="7" name="Status " queryTableFieldId="7" dataDxf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387F58-85B3-4D71-8AFF-C09827EDC944}" name="Table2" displayName="Table2" ref="A1:B11" totalsRowShown="0" dataDxfId="22">
  <autoFilter ref="A1:B11" xr:uid="{B2387F58-85B3-4D71-8AFF-C09827EDC944}"/>
  <tableColumns count="2">
    <tableColumn id="1" xr3:uid="{471917C9-F726-4D29-A750-55C6FCC5FE87}" name="Status" dataDxfId="21"/>
    <tableColumn id="2" xr3:uid="{409308D1-78D3-4144-B62A-C8B76D14A51A}" name="Description" dataDxfId="2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2DF93F-114A-46DA-8A64-E7EB9A5F11C6}" name="Table4" displayName="Table4" ref="A6:C13" totalsRowShown="0" headerRowDxfId="19" headerRowBorderDxfId="18">
  <tableColumns count="3">
    <tableColumn id="1" xr3:uid="{4F6D3615-8B09-4E1D-9322-ADEAD4D55FED}" name="DO ✔" dataDxfId="17"/>
    <tableColumn id="2" xr3:uid="{FD2845C9-937B-496C-B893-E68120925777}" name="DON'T ❌" dataDxfId="16"/>
    <tableColumn id="3" xr3:uid="{4FFB202A-F1DB-4C01-9F16-4A8B5CA7AB26}" name="COMMON ERRORS ⚠" dataDxfId="1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asandamdolo09@gmail.com" TargetMode="External"/><Relationship Id="rId21" Type="http://schemas.openxmlformats.org/officeDocument/2006/relationships/hyperlink" Target="mailto:valentino.nsukuzonke@gmail.com" TargetMode="External"/><Relationship Id="rId42" Type="http://schemas.openxmlformats.org/officeDocument/2006/relationships/hyperlink" Target="mailto:mochabo.mafolo@gmail.com" TargetMode="External"/><Relationship Id="rId63" Type="http://schemas.openxmlformats.org/officeDocument/2006/relationships/hyperlink" Target="mailto:tlmabeleng@gmail.com" TargetMode="External"/><Relationship Id="rId84" Type="http://schemas.openxmlformats.org/officeDocument/2006/relationships/hyperlink" Target="mailto:wright.elsabe@gmail.com" TargetMode="External"/><Relationship Id="rId138" Type="http://schemas.openxmlformats.org/officeDocument/2006/relationships/hyperlink" Target="mailto:sandeepkhande02@gmail.com" TargetMode="External"/><Relationship Id="rId159" Type="http://schemas.openxmlformats.org/officeDocument/2006/relationships/hyperlink" Target="mailto:Kevin.Harilal@gmail.com" TargetMode="External"/><Relationship Id="rId170" Type="http://schemas.openxmlformats.org/officeDocument/2006/relationships/hyperlink" Target="mailto:nk.mnisi@gmail.com" TargetMode="External"/><Relationship Id="rId191" Type="http://schemas.openxmlformats.org/officeDocument/2006/relationships/hyperlink" Target="mailto:mngunikhulekani@yahoo.com" TargetMode="External"/><Relationship Id="rId205" Type="http://schemas.openxmlformats.org/officeDocument/2006/relationships/hyperlink" Target="mailto:mafekabs@gmail.com" TargetMode="External"/><Relationship Id="rId107" Type="http://schemas.openxmlformats.org/officeDocument/2006/relationships/hyperlink" Target="mailto:Mulalojusticetshiambaro@gmail.com" TargetMode="External"/><Relationship Id="rId11" Type="http://schemas.openxmlformats.org/officeDocument/2006/relationships/hyperlink" Target="mailto:chwayita.dayile787@gmail.com" TargetMode="External"/><Relationship Id="rId32" Type="http://schemas.openxmlformats.org/officeDocument/2006/relationships/hyperlink" Target="mailto:gouwsf7@gmail.com" TargetMode="External"/><Relationship Id="rId53" Type="http://schemas.openxmlformats.org/officeDocument/2006/relationships/hyperlink" Target="mailto:thatoqhusheka@gmail.com" TargetMode="External"/><Relationship Id="rId74" Type="http://schemas.openxmlformats.org/officeDocument/2006/relationships/hyperlink" Target="mailto:matthewlowe1998@gmail.com" TargetMode="External"/><Relationship Id="rId128" Type="http://schemas.openxmlformats.org/officeDocument/2006/relationships/hyperlink" Target="mailto:mafekabs@gmail.com" TargetMode="External"/><Relationship Id="rId149" Type="http://schemas.openxmlformats.org/officeDocument/2006/relationships/hyperlink" Target="mailto:rori.madonko@gmail.com" TargetMode="External"/><Relationship Id="rId5" Type="http://schemas.openxmlformats.org/officeDocument/2006/relationships/hyperlink" Target="mailto:gnk.java@gmail.com" TargetMode="External"/><Relationship Id="rId95" Type="http://schemas.openxmlformats.org/officeDocument/2006/relationships/hyperlink" Target="mailto:renier@procureconnect.co.za" TargetMode="External"/><Relationship Id="rId160" Type="http://schemas.openxmlformats.org/officeDocument/2006/relationships/hyperlink" Target="mailto:JurieF04@gmail.com" TargetMode="External"/><Relationship Id="rId181" Type="http://schemas.openxmlformats.org/officeDocument/2006/relationships/hyperlink" Target="mailto:tashiel.haryparsat@gmail.com" TargetMode="External"/><Relationship Id="rId216" Type="http://schemas.openxmlformats.org/officeDocument/2006/relationships/hyperlink" Target="mailto:mosebum@yahoo.co.za" TargetMode="External"/><Relationship Id="rId22" Type="http://schemas.openxmlformats.org/officeDocument/2006/relationships/hyperlink" Target="mailto:player.ibrahim00@gmail.com" TargetMode="External"/><Relationship Id="rId43" Type="http://schemas.openxmlformats.org/officeDocument/2006/relationships/hyperlink" Target="mailto:thasomk@gmail.com" TargetMode="External"/><Relationship Id="rId64" Type="http://schemas.openxmlformats.org/officeDocument/2006/relationships/hyperlink" Target="mailto:khozaeddy@gmail.com" TargetMode="External"/><Relationship Id="rId118" Type="http://schemas.openxmlformats.org/officeDocument/2006/relationships/hyperlink" Target="mailto:h3khoza@gmail.com" TargetMode="External"/><Relationship Id="rId139" Type="http://schemas.openxmlformats.org/officeDocument/2006/relationships/hyperlink" Target="mailto:brianmathunyane@gmail.com" TargetMode="External"/><Relationship Id="rId85" Type="http://schemas.openxmlformats.org/officeDocument/2006/relationships/hyperlink" Target="mailto:kchikwas@gmail.com" TargetMode="External"/><Relationship Id="rId150" Type="http://schemas.openxmlformats.org/officeDocument/2006/relationships/hyperlink" Target="mailto:mayankrajput01@gmail.com" TargetMode="External"/><Relationship Id="rId171" Type="http://schemas.openxmlformats.org/officeDocument/2006/relationships/hyperlink" Target="mailto:zeenatmia1@hotmail.com" TargetMode="External"/><Relationship Id="rId192" Type="http://schemas.openxmlformats.org/officeDocument/2006/relationships/hyperlink" Target="mailto:psmalefo@gmail.com" TargetMode="External"/><Relationship Id="rId206" Type="http://schemas.openxmlformats.org/officeDocument/2006/relationships/hyperlink" Target="mailto:den.saka@gmail.com" TargetMode="External"/><Relationship Id="rId12" Type="http://schemas.openxmlformats.org/officeDocument/2006/relationships/hyperlink" Target="mailto:thabisoramolobeng@gmail.com" TargetMode="External"/><Relationship Id="rId33" Type="http://schemas.openxmlformats.org/officeDocument/2006/relationships/hyperlink" Target="mailto:akariyyahlevy@yahoo.co.za" TargetMode="External"/><Relationship Id="rId108" Type="http://schemas.openxmlformats.org/officeDocument/2006/relationships/hyperlink" Target="mailto:masilsj@outlook.com" TargetMode="External"/><Relationship Id="rId129" Type="http://schemas.openxmlformats.org/officeDocument/2006/relationships/hyperlink" Target="mailto:sidharthaphilander@live.com" TargetMode="External"/><Relationship Id="rId54" Type="http://schemas.openxmlformats.org/officeDocument/2006/relationships/hyperlink" Target="mailto:matsemelamoloi@gmail.com" TargetMode="External"/><Relationship Id="rId75" Type="http://schemas.openxmlformats.org/officeDocument/2006/relationships/hyperlink" Target="mailto:nitashab4@gmail.com" TargetMode="External"/><Relationship Id="rId96" Type="http://schemas.openxmlformats.org/officeDocument/2006/relationships/hyperlink" Target="mailto:hope.madywabe@gmail.com" TargetMode="External"/><Relationship Id="rId140" Type="http://schemas.openxmlformats.org/officeDocument/2006/relationships/hyperlink" Target="mailto:balukiyemm@gmail.com" TargetMode="External"/><Relationship Id="rId161" Type="http://schemas.openxmlformats.org/officeDocument/2006/relationships/hyperlink" Target="mailto:warricritchie@gmail.com" TargetMode="External"/><Relationship Id="rId182" Type="http://schemas.openxmlformats.org/officeDocument/2006/relationships/hyperlink" Target="mailto:Nicholas.Motlhoki@gmail.com" TargetMode="External"/><Relationship Id="rId217" Type="http://schemas.openxmlformats.org/officeDocument/2006/relationships/hyperlink" Target="mailto:Ramadwa88@gmail.com" TargetMode="External"/><Relationship Id="rId6" Type="http://schemas.openxmlformats.org/officeDocument/2006/relationships/hyperlink" Target="mailto:shaunreed116@outlook.com" TargetMode="External"/><Relationship Id="rId23" Type="http://schemas.openxmlformats.org/officeDocument/2006/relationships/hyperlink" Target="mailto:mathewstjale@gmail.com" TargetMode="External"/><Relationship Id="rId119" Type="http://schemas.openxmlformats.org/officeDocument/2006/relationships/hyperlink" Target="mailto:nicholassmithzar@gmail.com" TargetMode="External"/><Relationship Id="rId44" Type="http://schemas.openxmlformats.org/officeDocument/2006/relationships/hyperlink" Target="mailto:makhates@gmail.com" TargetMode="External"/><Relationship Id="rId65" Type="http://schemas.openxmlformats.org/officeDocument/2006/relationships/hyperlink" Target="mailto:tonderaimuchada@gmail.com" TargetMode="External"/><Relationship Id="rId86" Type="http://schemas.openxmlformats.org/officeDocument/2006/relationships/hyperlink" Target="mailto:sameerhawa786@gmail.com" TargetMode="External"/><Relationship Id="rId130" Type="http://schemas.openxmlformats.org/officeDocument/2006/relationships/hyperlink" Target="mailto:magezatandla@gmail.com" TargetMode="External"/><Relationship Id="rId151" Type="http://schemas.openxmlformats.org/officeDocument/2006/relationships/hyperlink" Target="mailto:mthokozie@gmail.com%20" TargetMode="External"/><Relationship Id="rId172" Type="http://schemas.openxmlformats.org/officeDocument/2006/relationships/hyperlink" Target="mailto:andrew.d.q.s@gmail.com" TargetMode="External"/><Relationship Id="rId193" Type="http://schemas.openxmlformats.org/officeDocument/2006/relationships/hyperlink" Target="mailto:rmzido@live.com" TargetMode="External"/><Relationship Id="rId207" Type="http://schemas.openxmlformats.org/officeDocument/2006/relationships/hyperlink" Target="mailto:chaukems@gmail.com" TargetMode="External"/><Relationship Id="rId13" Type="http://schemas.openxmlformats.org/officeDocument/2006/relationships/hyperlink" Target="mailto:dennisluke11@gmail.com" TargetMode="External"/><Relationship Id="rId109" Type="http://schemas.openxmlformats.org/officeDocument/2006/relationships/hyperlink" Target="mailto:khuthelemanakaza@gmail.com" TargetMode="External"/><Relationship Id="rId34" Type="http://schemas.openxmlformats.org/officeDocument/2006/relationships/hyperlink" Target="mailto:mtho.dlaminie@gmail.com%20" TargetMode="External"/><Relationship Id="rId55" Type="http://schemas.openxmlformats.org/officeDocument/2006/relationships/hyperlink" Target="mailto:thembelani045@gmail.com" TargetMode="External"/><Relationship Id="rId76" Type="http://schemas.openxmlformats.org/officeDocument/2006/relationships/hyperlink" Target="mailto:tatmiyen@gmail.com" TargetMode="External"/><Relationship Id="rId97" Type="http://schemas.openxmlformats.org/officeDocument/2006/relationships/hyperlink" Target="mailto:Ldondolo@gmail.com" TargetMode="External"/><Relationship Id="rId120" Type="http://schemas.openxmlformats.org/officeDocument/2006/relationships/hyperlink" Target="mailto:mthembup69@gmail.com" TargetMode="External"/><Relationship Id="rId141" Type="http://schemas.openxmlformats.org/officeDocument/2006/relationships/hyperlink" Target="mailto:nienaber79@gmail.com" TargetMode="External"/><Relationship Id="rId7" Type="http://schemas.openxmlformats.org/officeDocument/2006/relationships/hyperlink" Target="mailto:tfmzworld@gmail.com" TargetMode="External"/><Relationship Id="rId162" Type="http://schemas.openxmlformats.org/officeDocument/2006/relationships/hyperlink" Target="mailto:phatudiphago@gmail.com" TargetMode="External"/><Relationship Id="rId183" Type="http://schemas.openxmlformats.org/officeDocument/2006/relationships/hyperlink" Target="mailto:negondeni.sonia@gmail.com" TargetMode="External"/><Relationship Id="rId218" Type="http://schemas.openxmlformats.org/officeDocument/2006/relationships/hyperlink" Target="mailto:kumalosl@hotmail.com" TargetMode="External"/><Relationship Id="rId24" Type="http://schemas.openxmlformats.org/officeDocument/2006/relationships/hyperlink" Target="mailto:subroyenindran@gmail.com" TargetMode="External"/><Relationship Id="rId45" Type="http://schemas.openxmlformats.org/officeDocument/2006/relationships/hyperlink" Target="mailto:gregzwane@gmail.com" TargetMode="External"/><Relationship Id="rId66" Type="http://schemas.openxmlformats.org/officeDocument/2006/relationships/hyperlink" Target="mailto:rowenhama@gmail.com" TargetMode="External"/><Relationship Id="rId87" Type="http://schemas.openxmlformats.org/officeDocument/2006/relationships/hyperlink" Target="mailto:theshenreddy@gmail.com" TargetMode="External"/><Relationship Id="rId110" Type="http://schemas.openxmlformats.org/officeDocument/2006/relationships/hyperlink" Target="mailto:Thembagmabuza@gmail.com" TargetMode="External"/><Relationship Id="rId131" Type="http://schemas.openxmlformats.org/officeDocument/2006/relationships/hyperlink" Target="mailto:collenmash3@gmail.com" TargetMode="External"/><Relationship Id="rId152" Type="http://schemas.openxmlformats.org/officeDocument/2006/relationships/hyperlink" Target="mailto:beebs.spence@gmail.com" TargetMode="External"/><Relationship Id="rId173" Type="http://schemas.openxmlformats.org/officeDocument/2006/relationships/hyperlink" Target="mailto:makalelatm@gmail.com%20" TargetMode="External"/><Relationship Id="rId194" Type="http://schemas.openxmlformats.org/officeDocument/2006/relationships/hyperlink" Target="mailto:maggy.bouwer@gmail.com" TargetMode="External"/><Relationship Id="rId208" Type="http://schemas.openxmlformats.org/officeDocument/2006/relationships/hyperlink" Target="mailto:craig701028@gmail.com" TargetMode="External"/><Relationship Id="rId14" Type="http://schemas.openxmlformats.org/officeDocument/2006/relationships/hyperlink" Target="mailto:deklerkliezl@gmail.com" TargetMode="External"/><Relationship Id="rId35" Type="http://schemas.openxmlformats.org/officeDocument/2006/relationships/hyperlink" Target="mailto:khozaeddy@gmail.com%20" TargetMode="External"/><Relationship Id="rId56" Type="http://schemas.openxmlformats.org/officeDocument/2006/relationships/hyperlink" Target="mailto:Jerrykomane0@gmail.com" TargetMode="External"/><Relationship Id="rId77" Type="http://schemas.openxmlformats.org/officeDocument/2006/relationships/hyperlink" Target="mailto:gugumazibuko341@gmail.com" TargetMode="External"/><Relationship Id="rId100" Type="http://schemas.openxmlformats.org/officeDocument/2006/relationships/hyperlink" Target="mailto:sphumelelenomalady@gmail.com" TargetMode="External"/><Relationship Id="rId8" Type="http://schemas.openxmlformats.org/officeDocument/2006/relationships/hyperlink" Target="mailto:shettigar1989kavya@gmail.com" TargetMode="External"/><Relationship Id="rId98" Type="http://schemas.openxmlformats.org/officeDocument/2006/relationships/hyperlink" Target="mailto:francoisvdm100@gmail.com" TargetMode="External"/><Relationship Id="rId121" Type="http://schemas.openxmlformats.org/officeDocument/2006/relationships/hyperlink" Target="mailto:hopemosidi39@gmail.com" TargetMode="External"/><Relationship Id="rId142" Type="http://schemas.openxmlformats.org/officeDocument/2006/relationships/hyperlink" Target="mailto:VilankuluSimphiwe@gmail.com" TargetMode="External"/><Relationship Id="rId163" Type="http://schemas.openxmlformats.org/officeDocument/2006/relationships/hyperlink" Target="https://www.pnet.co.za/5/index.cfm?event=directsearchgen4:profile.view&amp;profileID=2511202&amp;positionOnResultlist=4&amp;pageSize=10&amp;tabName=profile" TargetMode="External"/><Relationship Id="rId184" Type="http://schemas.openxmlformats.org/officeDocument/2006/relationships/hyperlink" Target="mailto:vuthlari.baloyi1@gmail.com" TargetMode="External"/><Relationship Id="rId219" Type="http://schemas.openxmlformats.org/officeDocument/2006/relationships/hyperlink" Target="mailto:tebogomokgolela@gmail.com" TargetMode="External"/><Relationship Id="rId3" Type="http://schemas.openxmlformats.org/officeDocument/2006/relationships/hyperlink" Target="mailto:abdoulk@outlook.com" TargetMode="External"/><Relationship Id="rId214" Type="http://schemas.openxmlformats.org/officeDocument/2006/relationships/hyperlink" Target="mailto:manuelachadreque@gmail.com" TargetMode="External"/><Relationship Id="rId25" Type="http://schemas.openxmlformats.org/officeDocument/2006/relationships/hyperlink" Target="mailto:padamarajuashok@gmail.com" TargetMode="External"/><Relationship Id="rId46" Type="http://schemas.openxmlformats.org/officeDocument/2006/relationships/hyperlink" Target="mailto:shivakrishnabudda@gmail.com" TargetMode="External"/><Relationship Id="rId67" Type="http://schemas.openxmlformats.org/officeDocument/2006/relationships/hyperlink" Target="mailto:zainadineduarte@gmail.com" TargetMode="External"/><Relationship Id="rId116" Type="http://schemas.openxmlformats.org/officeDocument/2006/relationships/hyperlink" Target="mailto:maja.moraswi@gmail.com" TargetMode="External"/><Relationship Id="rId137" Type="http://schemas.openxmlformats.org/officeDocument/2006/relationships/hyperlink" Target="mailto:kamohelontuli@gmail.com" TargetMode="External"/><Relationship Id="rId158" Type="http://schemas.openxmlformats.org/officeDocument/2006/relationships/hyperlink" Target="mailto:mbihina@yahoo.fr" TargetMode="External"/><Relationship Id="rId20" Type="http://schemas.openxmlformats.org/officeDocument/2006/relationships/hyperlink" Target="mailto:msfurusa@gmail.com" TargetMode="External"/><Relationship Id="rId41" Type="http://schemas.openxmlformats.org/officeDocument/2006/relationships/hyperlink" Target="mailto:maheshkalluri.rsa@gmail.com" TargetMode="External"/><Relationship Id="rId62" Type="http://schemas.openxmlformats.org/officeDocument/2006/relationships/hyperlink" Target="mailto:hanekoms@gmail.com" TargetMode="External"/><Relationship Id="rId83" Type="http://schemas.openxmlformats.org/officeDocument/2006/relationships/hyperlink" Target="mailto:shikwambanabruce@gmail.com" TargetMode="External"/><Relationship Id="rId88" Type="http://schemas.openxmlformats.org/officeDocument/2006/relationships/hyperlink" Target="mailto:Vonnyndlovu2@gmail.com" TargetMode="External"/><Relationship Id="rId111" Type="http://schemas.openxmlformats.org/officeDocument/2006/relationships/hyperlink" Target="mailto:taib.metedad@gmail.com" TargetMode="External"/><Relationship Id="rId132" Type="http://schemas.openxmlformats.org/officeDocument/2006/relationships/hyperlink" Target="mailto:raym@rainbowbt.co.za" TargetMode="External"/><Relationship Id="rId153" Type="http://schemas.openxmlformats.org/officeDocument/2006/relationships/hyperlink" Target="mailto:Gaboronea@gmail.com" TargetMode="External"/><Relationship Id="rId174" Type="http://schemas.openxmlformats.org/officeDocument/2006/relationships/hyperlink" Target="mailto:mandlankosinkosi@gmail.com" TargetMode="External"/><Relationship Id="rId179" Type="http://schemas.openxmlformats.org/officeDocument/2006/relationships/hyperlink" Target="mailto:small.tshepo@gmail.com" TargetMode="External"/><Relationship Id="rId195" Type="http://schemas.openxmlformats.org/officeDocument/2006/relationships/hyperlink" Target="mailto:danellekok@gmail.com" TargetMode="External"/><Relationship Id="rId209" Type="http://schemas.openxmlformats.org/officeDocument/2006/relationships/hyperlink" Target="mailto:tshepoelifa238@gmail.com" TargetMode="External"/><Relationship Id="rId190" Type="http://schemas.openxmlformats.org/officeDocument/2006/relationships/hyperlink" Target="mailto:fikilemdiniso2@gmail.com" TargetMode="External"/><Relationship Id="rId204" Type="http://schemas.openxmlformats.org/officeDocument/2006/relationships/hyperlink" Target="mailto:tlmabeleng@gmail.com" TargetMode="External"/><Relationship Id="rId220" Type="http://schemas.openxmlformats.org/officeDocument/2006/relationships/hyperlink" Target="mailto:chitra.it@gmail.com" TargetMode="External"/><Relationship Id="rId225" Type="http://schemas.openxmlformats.org/officeDocument/2006/relationships/table" Target="../tables/table2.xml"/><Relationship Id="rId15" Type="http://schemas.openxmlformats.org/officeDocument/2006/relationships/hyperlink" Target="mailto:kranthiv340@gmail.com" TargetMode="External"/><Relationship Id="rId36" Type="http://schemas.openxmlformats.org/officeDocument/2006/relationships/hyperlink" Target="mailto:shaunreed116@outlook.com" TargetMode="External"/><Relationship Id="rId57" Type="http://schemas.openxmlformats.org/officeDocument/2006/relationships/hyperlink" Target="mailto:mahawaniosia@gmail.com" TargetMode="External"/><Relationship Id="rId106" Type="http://schemas.openxmlformats.org/officeDocument/2006/relationships/hyperlink" Target="mailto:christophermaluleka@gmail.com" TargetMode="External"/><Relationship Id="rId127" Type="http://schemas.openxmlformats.org/officeDocument/2006/relationships/hyperlink" Target="mailto:samudralas@gmail.com" TargetMode="External"/><Relationship Id="rId10" Type="http://schemas.openxmlformats.org/officeDocument/2006/relationships/hyperlink" Target="mailto:fhatuwanimasala@gmail.com" TargetMode="External"/><Relationship Id="rId31" Type="http://schemas.openxmlformats.org/officeDocument/2006/relationships/hyperlink" Target="mailto:tmmngoma@gmail.com" TargetMode="External"/><Relationship Id="rId52" Type="http://schemas.openxmlformats.org/officeDocument/2006/relationships/hyperlink" Target="mailto:aleng104@gmail.com" TargetMode="External"/><Relationship Id="rId73" Type="http://schemas.openxmlformats.org/officeDocument/2006/relationships/hyperlink" Target="mailto:saintpatrick692@gmail.com" TargetMode="External"/><Relationship Id="rId78" Type="http://schemas.openxmlformats.org/officeDocument/2006/relationships/hyperlink" Target="mailto:mi.netsianda@outlook.com" TargetMode="External"/><Relationship Id="rId94" Type="http://schemas.openxmlformats.org/officeDocument/2006/relationships/hyperlink" Target="mailto:gondaisiwela@gmail.com" TargetMode="External"/><Relationship Id="rId99" Type="http://schemas.openxmlformats.org/officeDocument/2006/relationships/hyperlink" Target="mailto:RoelofJacobus.Duplooy@oldmutual.com" TargetMode="External"/><Relationship Id="rId101" Type="http://schemas.openxmlformats.org/officeDocument/2006/relationships/hyperlink" Target="mailto:ausnoku@yahoo.co.uk" TargetMode="External"/><Relationship Id="rId122" Type="http://schemas.openxmlformats.org/officeDocument/2006/relationships/hyperlink" Target="mailto:gloria.fulele@gmail.com" TargetMode="External"/><Relationship Id="rId143" Type="http://schemas.openxmlformats.org/officeDocument/2006/relationships/hyperlink" Target="mailto:philventer15@gmail.com" TargetMode="External"/><Relationship Id="rId148" Type="http://schemas.openxmlformats.org/officeDocument/2006/relationships/hyperlink" Target="mailto:poojashree7770@gmail.com" TargetMode="External"/><Relationship Id="rId164" Type="http://schemas.openxmlformats.org/officeDocument/2006/relationships/hyperlink" Target="mailto:pontshomaheso@gmail.com" TargetMode="External"/><Relationship Id="rId169" Type="http://schemas.openxmlformats.org/officeDocument/2006/relationships/hyperlink" Target="mailto:maropengmabina24@gmail.com" TargetMode="External"/><Relationship Id="rId185" Type="http://schemas.openxmlformats.org/officeDocument/2006/relationships/hyperlink" Target="mailto:Langfordm3@gmail.com" TargetMode="External"/><Relationship Id="rId4" Type="http://schemas.openxmlformats.org/officeDocument/2006/relationships/hyperlink" Target="mailto:kimbirk26@gmail.com" TargetMode="External"/><Relationship Id="rId9" Type="http://schemas.openxmlformats.org/officeDocument/2006/relationships/hyperlink" Target="mailto:sphamn@gmail.com" TargetMode="External"/><Relationship Id="rId180" Type="http://schemas.openxmlformats.org/officeDocument/2006/relationships/hyperlink" Target="mailto:kevintaylor12121212@gmail.com" TargetMode="External"/><Relationship Id="rId210" Type="http://schemas.openxmlformats.org/officeDocument/2006/relationships/hyperlink" Target="mailto:sabelosimelane09@gmail.com" TargetMode="External"/><Relationship Id="rId215" Type="http://schemas.openxmlformats.org/officeDocument/2006/relationships/hyperlink" Target="mailto:mkhusu@gmail.com" TargetMode="External"/><Relationship Id="rId26" Type="http://schemas.openxmlformats.org/officeDocument/2006/relationships/hyperlink" Target="mailto:vramuada@gmail.com" TargetMode="External"/><Relationship Id="rId47" Type="http://schemas.openxmlformats.org/officeDocument/2006/relationships/hyperlink" Target="mailto:gillellaanil@gmail.com" TargetMode="External"/><Relationship Id="rId68" Type="http://schemas.openxmlformats.org/officeDocument/2006/relationships/hyperlink" Target="mailto:aubreyn64@gmail.com" TargetMode="External"/><Relationship Id="rId89" Type="http://schemas.openxmlformats.org/officeDocument/2006/relationships/hyperlink" Target="mailto:Eternitym722@gmail.com" TargetMode="External"/><Relationship Id="rId112" Type="http://schemas.openxmlformats.org/officeDocument/2006/relationships/hyperlink" Target="mailto:vlvsmalotana@gmail.com" TargetMode="External"/><Relationship Id="rId133" Type="http://schemas.openxmlformats.org/officeDocument/2006/relationships/hyperlink" Target="mailto:charmaynet@gmail.com" TargetMode="External"/><Relationship Id="rId154" Type="http://schemas.openxmlformats.org/officeDocument/2006/relationships/hyperlink" Target="mailto:qithizama@gmail.com" TargetMode="External"/><Relationship Id="rId175" Type="http://schemas.openxmlformats.org/officeDocument/2006/relationships/hyperlink" Target="mailto:otshepegilempa@gmail.com" TargetMode="External"/><Relationship Id="rId196" Type="http://schemas.openxmlformats.org/officeDocument/2006/relationships/hyperlink" Target="mailto:Jobezama@ymail.com" TargetMode="External"/><Relationship Id="rId200" Type="http://schemas.openxmlformats.org/officeDocument/2006/relationships/hyperlink" Target="mailto:navaneethb2803@gmail.com" TargetMode="External"/><Relationship Id="rId16" Type="http://schemas.openxmlformats.org/officeDocument/2006/relationships/hyperlink" Target="mailto:simonmathelela@gmail.com'" TargetMode="External"/><Relationship Id="rId221" Type="http://schemas.openxmlformats.org/officeDocument/2006/relationships/hyperlink" Target="mailto:Fortunemogoeng@gmail.com" TargetMode="External"/><Relationship Id="rId37" Type="http://schemas.openxmlformats.org/officeDocument/2006/relationships/hyperlink" Target="mailto:shettigar1989kavya@gmail.com%20" TargetMode="External"/><Relationship Id="rId58" Type="http://schemas.openxmlformats.org/officeDocument/2006/relationships/hyperlink" Target="mailto:mahlatsemoses@gmail.com" TargetMode="External"/><Relationship Id="rId79" Type="http://schemas.openxmlformats.org/officeDocument/2006/relationships/hyperlink" Target="mailto:Motsamayi@gmail.com" TargetMode="External"/><Relationship Id="rId102" Type="http://schemas.openxmlformats.org/officeDocument/2006/relationships/hyperlink" Target="mailto:jimmahlangu@yahoo.co.za" TargetMode="External"/><Relationship Id="rId123" Type="http://schemas.openxmlformats.org/officeDocument/2006/relationships/hyperlink" Target="mailto:parathnandh@gmail.com" TargetMode="External"/><Relationship Id="rId144" Type="http://schemas.openxmlformats.org/officeDocument/2006/relationships/hyperlink" Target="mailto:mbambosiyabonga@gmail.com" TargetMode="External"/><Relationship Id="rId90" Type="http://schemas.openxmlformats.org/officeDocument/2006/relationships/hyperlink" Target="mailto:tauraicm@yahoo.com" TargetMode="External"/><Relationship Id="rId165" Type="http://schemas.openxmlformats.org/officeDocument/2006/relationships/hyperlink" Target="mailto:joostecj7@gmail.com" TargetMode="External"/><Relationship Id="rId186" Type="http://schemas.openxmlformats.org/officeDocument/2006/relationships/hyperlink" Target="mailto:thapelom@mactechit.co.za" TargetMode="External"/><Relationship Id="rId211" Type="http://schemas.openxmlformats.org/officeDocument/2006/relationships/hyperlink" Target="mailto:thendomatshisevhe@gmail.com" TargetMode="External"/><Relationship Id="rId27" Type="http://schemas.openxmlformats.org/officeDocument/2006/relationships/hyperlink" Target="mailto:akhonanqiwa@gmail.com" TargetMode="External"/><Relationship Id="rId48" Type="http://schemas.openxmlformats.org/officeDocument/2006/relationships/hyperlink" Target="mailto:iamvinoth21@gmail.com" TargetMode="External"/><Relationship Id="rId69" Type="http://schemas.openxmlformats.org/officeDocument/2006/relationships/hyperlink" Target="mailto:attentionjuan@gmail.com" TargetMode="External"/><Relationship Id="rId113" Type="http://schemas.openxmlformats.org/officeDocument/2006/relationships/hyperlink" Target="mailto:Sean.botha722@gmail.com" TargetMode="External"/><Relationship Id="rId134" Type="http://schemas.openxmlformats.org/officeDocument/2006/relationships/hyperlink" Target="mailto:Mahlatsemc@gmail.com" TargetMode="External"/><Relationship Id="rId80" Type="http://schemas.openxmlformats.org/officeDocument/2006/relationships/hyperlink" Target="mailto:julianknight089@gmail.com" TargetMode="External"/><Relationship Id="rId155" Type="http://schemas.openxmlformats.org/officeDocument/2006/relationships/hyperlink" Target="mailto:sodawemfezeko@gmail.com" TargetMode="External"/><Relationship Id="rId176" Type="http://schemas.openxmlformats.org/officeDocument/2006/relationships/hyperlink" Target="mailto:aluwani.matshili@outlook.com" TargetMode="External"/><Relationship Id="rId197" Type="http://schemas.openxmlformats.org/officeDocument/2006/relationships/hyperlink" Target="mailto:shanemolale@gmail.com" TargetMode="External"/><Relationship Id="rId201" Type="http://schemas.openxmlformats.org/officeDocument/2006/relationships/hyperlink" Target="mailto:ram.t.babu@gmail.com" TargetMode="External"/><Relationship Id="rId222" Type="http://schemas.openxmlformats.org/officeDocument/2006/relationships/hyperlink" Target="mailto:daniel.phohu@gmail.com" TargetMode="External"/><Relationship Id="rId17" Type="http://schemas.openxmlformats.org/officeDocument/2006/relationships/hyperlink" Target="mailto:nakkinalokesh07@gmail.com" TargetMode="External"/><Relationship Id="rId38" Type="http://schemas.openxmlformats.org/officeDocument/2006/relationships/hyperlink" Target="mailto:mohammedtitus@gmail.com" TargetMode="External"/><Relationship Id="rId59" Type="http://schemas.openxmlformats.org/officeDocument/2006/relationships/hyperlink" Target="https://www.pnet.co.za/5/index.cfm?event=directsearchgen4:profile.view&amp;profileID=2431085&amp;positionOnResultlist=2&amp;pageSize=10&amp;tabName=profile" TargetMode="External"/><Relationship Id="rId103" Type="http://schemas.openxmlformats.org/officeDocument/2006/relationships/hyperlink" Target="mailto:kauneo04@gmail.com%20" TargetMode="External"/><Relationship Id="rId124" Type="http://schemas.openxmlformats.org/officeDocument/2006/relationships/hyperlink" Target="mailto:emmanuelmaneswa@gmail.com" TargetMode="External"/><Relationship Id="rId70" Type="http://schemas.openxmlformats.org/officeDocument/2006/relationships/hyperlink" Target="mailto:thapelo.agus@gmail.com" TargetMode="External"/><Relationship Id="rId91" Type="http://schemas.openxmlformats.org/officeDocument/2006/relationships/hyperlink" Target="mailto:stejesvini@gmail.com" TargetMode="External"/><Relationship Id="rId145" Type="http://schemas.openxmlformats.org/officeDocument/2006/relationships/hyperlink" Target="mailto:bongeka.khwalo@gmail.com" TargetMode="External"/><Relationship Id="rId166" Type="http://schemas.openxmlformats.org/officeDocument/2006/relationships/hyperlink" Target="mailto:niftycasper@gmail.com" TargetMode="External"/><Relationship Id="rId187" Type="http://schemas.openxmlformats.org/officeDocument/2006/relationships/hyperlink" Target="mailto:hamudave@gmail.com" TargetMode="External"/><Relationship Id="rId1" Type="http://schemas.openxmlformats.org/officeDocument/2006/relationships/hyperlink" Target="mailto:ram.t.babu@gmail.com" TargetMode="External"/><Relationship Id="rId212" Type="http://schemas.openxmlformats.org/officeDocument/2006/relationships/hyperlink" Target="mailto:mz.karreem@gmail.com" TargetMode="External"/><Relationship Id="rId28" Type="http://schemas.openxmlformats.org/officeDocument/2006/relationships/hyperlink" Target="mailto:homeranm@gmail.com" TargetMode="External"/><Relationship Id="rId49" Type="http://schemas.openxmlformats.org/officeDocument/2006/relationships/hyperlink" Target="mailto:azeezsalawu3@icloud.com" TargetMode="External"/><Relationship Id="rId114" Type="http://schemas.openxmlformats.org/officeDocument/2006/relationships/hyperlink" Target="mailto:anelezungu34@icloud.com" TargetMode="External"/><Relationship Id="rId60" Type="http://schemas.openxmlformats.org/officeDocument/2006/relationships/hyperlink" Target="https://www.pnet.co.za/5/index.cfm?event=directsearchgen4:profile.view&amp;profileID=11222589&amp;positionOnResultlist=3&amp;pageSize=10&amp;tabName=profile" TargetMode="External"/><Relationship Id="rId81" Type="http://schemas.openxmlformats.org/officeDocument/2006/relationships/hyperlink" Target="mailto:goolab.neelash@gmail.com" TargetMode="External"/><Relationship Id="rId135" Type="http://schemas.openxmlformats.org/officeDocument/2006/relationships/hyperlink" Target="mailto:g.d.basson@gmail.com" TargetMode="External"/><Relationship Id="rId156" Type="http://schemas.openxmlformats.org/officeDocument/2006/relationships/hyperlink" Target="mailto:Moses.matsina@gmail.com" TargetMode="External"/><Relationship Id="rId177" Type="http://schemas.openxmlformats.org/officeDocument/2006/relationships/hyperlink" Target="mailto:kommineni.saitej@gmail.com" TargetMode="External"/><Relationship Id="rId198" Type="http://schemas.openxmlformats.org/officeDocument/2006/relationships/hyperlink" Target="mailto:nqobilemoyo43@gmail.com" TargetMode="External"/><Relationship Id="rId202" Type="http://schemas.openxmlformats.org/officeDocument/2006/relationships/hyperlink" Target="mailto:dmatangany@gmail.com%20" TargetMode="External"/><Relationship Id="rId223" Type="http://schemas.openxmlformats.org/officeDocument/2006/relationships/hyperlink" Target="mailto:marilese.leriche@gmail.com" TargetMode="External"/><Relationship Id="rId18" Type="http://schemas.openxmlformats.org/officeDocument/2006/relationships/hyperlink" Target="mailto:proeshoko@gmail.com" TargetMode="External"/><Relationship Id="rId39" Type="http://schemas.openxmlformats.org/officeDocument/2006/relationships/hyperlink" Target="mailto:shanker8683@gmail.com" TargetMode="External"/><Relationship Id="rId50" Type="http://schemas.openxmlformats.org/officeDocument/2006/relationships/hyperlink" Target="mailto:abongile.maso@gmail.com" TargetMode="External"/><Relationship Id="rId104" Type="http://schemas.openxmlformats.org/officeDocument/2006/relationships/hyperlink" Target="mailto:smahlangu07@gmail.com" TargetMode="External"/><Relationship Id="rId125" Type="http://schemas.openxmlformats.org/officeDocument/2006/relationships/hyperlink" Target="mailto:kennedychengeta@gmail.com" TargetMode="External"/><Relationship Id="rId146" Type="http://schemas.openxmlformats.org/officeDocument/2006/relationships/hyperlink" Target="mailto:stephangunter.sfg@gmail.com" TargetMode="External"/><Relationship Id="rId167" Type="http://schemas.openxmlformats.org/officeDocument/2006/relationships/hyperlink" Target="mailto:tmatsie@gmail.com" TargetMode="External"/><Relationship Id="rId188" Type="http://schemas.openxmlformats.org/officeDocument/2006/relationships/hyperlink" Target="mailto:sam.onikosi@gmail.com" TargetMode="External"/><Relationship Id="rId71" Type="http://schemas.openxmlformats.org/officeDocument/2006/relationships/hyperlink" Target="mailto:ernest.mashele@gmail.com" TargetMode="External"/><Relationship Id="rId92" Type="http://schemas.openxmlformats.org/officeDocument/2006/relationships/hyperlink" Target="mailto:samutshaba@gmail.com" TargetMode="External"/><Relationship Id="rId213" Type="http://schemas.openxmlformats.org/officeDocument/2006/relationships/hyperlink" Target="mailto:ignatiahlatshwayo1@gmail.com" TargetMode="External"/><Relationship Id="rId2" Type="http://schemas.openxmlformats.org/officeDocument/2006/relationships/hyperlink" Target="mailto:manyethlogi@gmail.com" TargetMode="External"/><Relationship Id="rId29" Type="http://schemas.openxmlformats.org/officeDocument/2006/relationships/hyperlink" Target="mailto:swzondi22@gmail.com" TargetMode="External"/><Relationship Id="rId40" Type="http://schemas.openxmlformats.org/officeDocument/2006/relationships/hyperlink" Target="mailto:juniorskosana15@gmail.com" TargetMode="External"/><Relationship Id="rId115" Type="http://schemas.openxmlformats.org/officeDocument/2006/relationships/hyperlink" Target="mailto:panashemasocha@gmail.com" TargetMode="External"/><Relationship Id="rId136" Type="http://schemas.openxmlformats.org/officeDocument/2006/relationships/hyperlink" Target="mailto:brianmathunyane@gmail.com" TargetMode="External"/><Relationship Id="rId157" Type="http://schemas.openxmlformats.org/officeDocument/2006/relationships/hyperlink" Target="mailto:moshemaleka@yahoo.com" TargetMode="External"/><Relationship Id="rId178" Type="http://schemas.openxmlformats.org/officeDocument/2006/relationships/hyperlink" Target="mailto:logonnaidoo0@gmail.com" TargetMode="External"/><Relationship Id="rId61" Type="http://schemas.openxmlformats.org/officeDocument/2006/relationships/hyperlink" Target="mailto:gnk.java@gmail.com" TargetMode="External"/><Relationship Id="rId82" Type="http://schemas.openxmlformats.org/officeDocument/2006/relationships/hyperlink" Target="mailto:mishra.sujal06@gmail.com" TargetMode="External"/><Relationship Id="rId199" Type="http://schemas.openxmlformats.org/officeDocument/2006/relationships/hyperlink" Target="mailto:gouthamlinga90@gmail.com" TargetMode="External"/><Relationship Id="rId203" Type="http://schemas.openxmlformats.org/officeDocument/2006/relationships/hyperlink" Target="mailto:prathyushatalluri98@gmail.com" TargetMode="External"/><Relationship Id="rId19" Type="http://schemas.openxmlformats.org/officeDocument/2006/relationships/hyperlink" Target="mailto:tokocha81@gmail.com" TargetMode="External"/><Relationship Id="rId224" Type="http://schemas.openxmlformats.org/officeDocument/2006/relationships/printerSettings" Target="../printerSettings/printerSettings3.bin"/><Relationship Id="rId30" Type="http://schemas.openxmlformats.org/officeDocument/2006/relationships/hyperlink" Target="mailto:mokhuoane@gmail.com" TargetMode="External"/><Relationship Id="rId105" Type="http://schemas.openxmlformats.org/officeDocument/2006/relationships/hyperlink" Target="mailto:Ayanda.dladla@hotmail.com%20" TargetMode="External"/><Relationship Id="rId126" Type="http://schemas.openxmlformats.org/officeDocument/2006/relationships/hyperlink" Target="mailto:nduka.muotoh@gmail.com" TargetMode="External"/><Relationship Id="rId147" Type="http://schemas.openxmlformats.org/officeDocument/2006/relationships/hyperlink" Target="mailto:mpheroanesainty21@gmail.com" TargetMode="External"/><Relationship Id="rId168" Type="http://schemas.openxmlformats.org/officeDocument/2006/relationships/hyperlink" Target="mailto:timothyc.kruger@gmail.com" TargetMode="External"/><Relationship Id="rId51" Type="http://schemas.openxmlformats.org/officeDocument/2006/relationships/hyperlink" Target="mailto:hmapulane@gmail.com" TargetMode="External"/><Relationship Id="rId72" Type="http://schemas.openxmlformats.org/officeDocument/2006/relationships/hyperlink" Target="https://www.pnet.co.za/5/index.cfm?event=directsearchgen4:profile.view&amp;profileID=33980362&amp;positionOnResultlist=6&amp;pageSize=10&amp;tabName=profile" TargetMode="External"/><Relationship Id="rId93" Type="http://schemas.openxmlformats.org/officeDocument/2006/relationships/hyperlink" Target="mailto:busisiwe.makhura@gmail.com" TargetMode="External"/><Relationship Id="rId189" Type="http://schemas.openxmlformats.org/officeDocument/2006/relationships/hyperlink" Target="mailto:raylspada@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314D-66CD-45A9-BE8F-AD9D30AEBA45}">
  <sheetPr>
    <tabColor theme="4" tint="0.59999389629810485"/>
  </sheetPr>
  <dimension ref="A1:Q45"/>
  <sheetViews>
    <sheetView showGridLines="0" topLeftCell="A3" zoomScale="85" zoomScaleNormal="85" workbookViewId="0">
      <selection activeCell="B5" sqref="B5"/>
    </sheetView>
  </sheetViews>
  <sheetFormatPr defaultRowHeight="14.5" x14ac:dyDescent="0.35"/>
  <cols>
    <col min="1" max="1" width="28.54296875" bestFit="1" customWidth="1"/>
    <col min="2" max="2" width="7" customWidth="1"/>
    <col min="3" max="3" width="6" customWidth="1"/>
    <col min="4" max="4" width="15.54296875" bestFit="1" customWidth="1"/>
    <col min="5" max="5" width="8" customWidth="1"/>
    <col min="6" max="6" width="6" customWidth="1"/>
    <col min="7" max="7" width="25.54296875" bestFit="1" customWidth="1"/>
    <col min="8" max="8" width="7" customWidth="1"/>
    <col min="10" max="10" width="16.36328125" customWidth="1"/>
    <col min="11" max="11" width="7.08984375" customWidth="1"/>
    <col min="12" max="12" width="15.1796875" customWidth="1"/>
    <col min="15" max="15" width="8.7265625" customWidth="1"/>
    <col min="17" max="17" width="10.81640625" customWidth="1"/>
  </cols>
  <sheetData>
    <row r="1" spans="1:17" ht="16" x14ac:dyDescent="0.4">
      <c r="A1" s="40" t="s">
        <v>1332</v>
      </c>
      <c r="B1" s="41"/>
      <c r="C1" s="42"/>
      <c r="D1" s="41"/>
      <c r="E1" s="41"/>
      <c r="F1" s="41"/>
      <c r="G1" s="41"/>
      <c r="H1" s="41"/>
      <c r="I1" s="41"/>
      <c r="J1" s="41"/>
      <c r="K1" s="41"/>
      <c r="L1" s="41"/>
      <c r="M1" s="41"/>
      <c r="N1" s="41"/>
      <c r="O1" s="41"/>
      <c r="P1" s="41"/>
      <c r="Q1" s="41"/>
    </row>
    <row r="2" spans="1:17" x14ac:dyDescent="0.35">
      <c r="A2" s="35"/>
      <c r="B2" s="35"/>
      <c r="C2" s="35"/>
      <c r="D2" s="35"/>
      <c r="E2" s="35"/>
      <c r="F2" s="35"/>
      <c r="G2" s="35"/>
      <c r="H2" s="35"/>
      <c r="I2" s="35"/>
      <c r="J2" s="35"/>
      <c r="K2" s="35"/>
      <c r="L2" s="35"/>
      <c r="M2" s="35"/>
      <c r="N2" s="35"/>
      <c r="O2" s="35"/>
      <c r="P2" s="35"/>
      <c r="Q2" s="35"/>
    </row>
    <row r="3" spans="1:17" ht="19" thickBot="1" x14ac:dyDescent="0.4">
      <c r="A3" s="43" t="s">
        <v>1333</v>
      </c>
      <c r="B3" s="35"/>
      <c r="C3" s="35"/>
      <c r="D3" s="35"/>
      <c r="E3" s="35"/>
      <c r="F3" s="35"/>
      <c r="G3" s="35"/>
      <c r="H3" s="35"/>
      <c r="I3" s="35"/>
      <c r="J3" s="35"/>
      <c r="K3" s="35"/>
      <c r="L3" s="35"/>
      <c r="M3" s="35"/>
      <c r="N3" s="35"/>
      <c r="O3" s="35"/>
      <c r="P3" s="35"/>
      <c r="Q3" s="35"/>
    </row>
    <row r="4" spans="1:17" ht="15" thickBot="1" x14ac:dyDescent="0.4">
      <c r="A4" s="35"/>
      <c r="B4" s="35"/>
      <c r="C4" s="35"/>
      <c r="D4" s="35"/>
      <c r="E4" s="35"/>
      <c r="F4" s="35"/>
      <c r="G4" s="35"/>
      <c r="H4" s="35"/>
      <c r="I4" s="35"/>
      <c r="J4" s="35"/>
      <c r="K4" s="35"/>
      <c r="L4" s="35"/>
      <c r="M4" s="35"/>
      <c r="N4" s="35"/>
      <c r="O4" s="35"/>
      <c r="P4" s="35"/>
      <c r="Q4" s="35"/>
    </row>
    <row r="5" spans="1:17" ht="21.5" thickBot="1" x14ac:dyDescent="0.55000000000000004">
      <c r="A5" s="51" t="s">
        <v>1334</v>
      </c>
      <c r="B5" s="37">
        <f>IFERROR(GETPIVOTDATA("Name",'Dashboard Data'!$A$3),0)</f>
        <v>66</v>
      </c>
      <c r="C5" s="35"/>
      <c r="D5" s="52" t="s">
        <v>1335</v>
      </c>
      <c r="E5" s="16">
        <f>IFERROR(GETPIVOTDATA("Name",'Dashboard Data'!$A$3,"Status","00 - No Response")/B5,0%)</f>
        <v>0.74242424242424243</v>
      </c>
      <c r="F5" s="35"/>
      <c r="G5" s="53" t="s">
        <v>1336</v>
      </c>
      <c r="H5" s="16">
        <f>IFERROR(GETPIVOTDATA("Name",'Dashboard Data'!$A$3,"Status","04 - Submitted")/B5,0%)</f>
        <v>9.0909090909090912E-2</v>
      </c>
      <c r="I5" s="35"/>
      <c r="J5" s="44"/>
      <c r="K5" s="36"/>
      <c r="L5" s="35"/>
      <c r="M5" s="35"/>
      <c r="N5" s="35"/>
      <c r="O5" s="35"/>
      <c r="P5" s="35"/>
      <c r="Q5" s="35"/>
    </row>
    <row r="6" spans="1:17" ht="15" thickBot="1" x14ac:dyDescent="0.4">
      <c r="A6" s="35"/>
      <c r="B6" s="35"/>
      <c r="C6" s="35"/>
      <c r="D6" s="35"/>
      <c r="E6" s="35"/>
      <c r="F6" s="35"/>
      <c r="G6" s="35"/>
      <c r="H6" s="35"/>
      <c r="I6" s="35"/>
      <c r="J6" s="35"/>
      <c r="K6" s="35"/>
      <c r="L6" s="35"/>
      <c r="M6" s="35"/>
      <c r="N6" s="35"/>
      <c r="O6" s="35"/>
      <c r="P6" s="35"/>
      <c r="Q6" s="35"/>
    </row>
    <row r="7" spans="1:17" ht="16.5" thickBot="1" x14ac:dyDescent="0.45">
      <c r="A7" s="45" t="s">
        <v>1425</v>
      </c>
      <c r="B7" s="38">
        <f>IFERROR(GETPIVOTDATA("Name",'Backend Pivots'!$A$3,"DataBase or Not","New"),0)</f>
        <v>23</v>
      </c>
      <c r="C7" s="35"/>
      <c r="D7" s="35"/>
      <c r="E7" s="35"/>
      <c r="F7" s="35"/>
      <c r="G7" s="35"/>
      <c r="H7" s="35"/>
      <c r="I7" s="35"/>
      <c r="J7" s="35"/>
      <c r="K7" s="35"/>
      <c r="L7" s="35"/>
      <c r="M7" s="35"/>
      <c r="N7" s="35"/>
      <c r="O7" s="35"/>
      <c r="P7" s="35"/>
      <c r="Q7" s="35"/>
    </row>
    <row r="8" spans="1:17" ht="16.5" thickBot="1" x14ac:dyDescent="0.45">
      <c r="A8" s="46" t="s">
        <v>1426</v>
      </c>
      <c r="B8" s="39">
        <f>IFERROR(GETPIVOTDATA("Name",'Backend Pivots'!$A$3,"DataBase or Not","On DDB"),0)</f>
        <v>43</v>
      </c>
      <c r="C8" s="35"/>
      <c r="D8" s="35"/>
      <c r="E8" s="35"/>
      <c r="F8" s="35"/>
      <c r="G8" s="35"/>
      <c r="H8" s="35"/>
      <c r="I8" s="35"/>
      <c r="J8" s="35"/>
      <c r="K8" s="35"/>
      <c r="L8" s="35"/>
      <c r="M8" s="35"/>
      <c r="N8" s="35"/>
      <c r="O8" s="35"/>
      <c r="P8" s="35"/>
      <c r="Q8" s="35"/>
    </row>
    <row r="9" spans="1:17" x14ac:dyDescent="0.35">
      <c r="A9" s="35"/>
      <c r="B9" s="35"/>
      <c r="C9" s="35"/>
      <c r="D9" s="35"/>
      <c r="E9" s="35"/>
      <c r="F9" s="35"/>
      <c r="G9" s="35"/>
      <c r="H9" s="35"/>
      <c r="I9" s="35"/>
      <c r="J9" s="35"/>
      <c r="K9" s="35"/>
      <c r="L9" s="35"/>
      <c r="M9" s="35"/>
      <c r="N9" s="35"/>
      <c r="O9" s="35"/>
      <c r="P9" s="35"/>
      <c r="Q9" s="35"/>
    </row>
    <row r="10" spans="1:17" x14ac:dyDescent="0.35">
      <c r="A10" s="35"/>
      <c r="B10" s="35"/>
      <c r="C10" s="35"/>
      <c r="D10" s="35"/>
      <c r="E10" s="35"/>
      <c r="F10" s="35"/>
      <c r="G10" s="35"/>
      <c r="H10" s="35"/>
      <c r="I10" s="35"/>
      <c r="J10" s="35"/>
      <c r="K10" s="35"/>
      <c r="L10" s="35"/>
      <c r="M10" s="35"/>
      <c r="N10" s="35"/>
      <c r="O10" s="35"/>
      <c r="P10" s="35"/>
      <c r="Q10" s="35"/>
    </row>
    <row r="11" spans="1:17" x14ac:dyDescent="0.35">
      <c r="A11" s="35"/>
      <c r="B11" s="35"/>
      <c r="C11" s="35"/>
      <c r="D11" s="35"/>
      <c r="E11" s="35"/>
      <c r="F11" s="35"/>
      <c r="G11" s="35"/>
      <c r="H11" s="35"/>
      <c r="I11" s="35"/>
      <c r="J11" s="35"/>
      <c r="K11" s="35"/>
      <c r="L11" s="35"/>
      <c r="M11" s="35"/>
      <c r="N11" s="35"/>
      <c r="O11" s="35"/>
      <c r="P11" s="35"/>
      <c r="Q11" s="50"/>
    </row>
    <row r="12" spans="1:17" x14ac:dyDescent="0.35">
      <c r="A12" s="35"/>
      <c r="B12" s="35"/>
      <c r="C12" s="35"/>
      <c r="D12" s="35"/>
      <c r="E12" s="35"/>
      <c r="F12" s="35"/>
      <c r="G12" s="35"/>
      <c r="H12" s="35"/>
      <c r="I12" s="35"/>
      <c r="J12" s="35"/>
      <c r="K12" s="35"/>
      <c r="L12" s="35"/>
      <c r="M12" s="35"/>
      <c r="N12" s="35"/>
      <c r="O12" s="35"/>
      <c r="P12" s="35"/>
      <c r="Q12" s="35"/>
    </row>
    <row r="13" spans="1:17" x14ac:dyDescent="0.35">
      <c r="A13" s="35"/>
      <c r="B13" s="35"/>
      <c r="C13" s="35"/>
      <c r="D13" s="35"/>
      <c r="E13" s="35"/>
      <c r="F13" s="35"/>
      <c r="G13" s="35"/>
      <c r="H13" s="35"/>
      <c r="I13" s="35"/>
      <c r="J13" s="35"/>
      <c r="K13" s="35"/>
      <c r="L13" s="35"/>
      <c r="M13" s="35"/>
      <c r="N13" s="35"/>
      <c r="O13" s="35"/>
      <c r="P13" s="35"/>
      <c r="Q13" s="35"/>
    </row>
    <row r="14" spans="1:17" x14ac:dyDescent="0.35">
      <c r="A14" s="35"/>
      <c r="B14" s="35"/>
      <c r="C14" s="35"/>
      <c r="D14" s="35"/>
      <c r="E14" s="35"/>
      <c r="F14" s="35"/>
      <c r="G14" s="35"/>
      <c r="H14" s="35"/>
      <c r="I14" s="35"/>
      <c r="J14" s="35"/>
      <c r="K14" s="35"/>
      <c r="L14" s="35"/>
      <c r="M14" s="35"/>
      <c r="N14" s="35"/>
      <c r="O14" s="35"/>
      <c r="P14" s="35"/>
      <c r="Q14" s="35"/>
    </row>
    <row r="15" spans="1:17" x14ac:dyDescent="0.35">
      <c r="A15" s="35"/>
      <c r="B15" s="35"/>
      <c r="C15" s="35"/>
      <c r="D15" s="35"/>
      <c r="E15" s="35"/>
      <c r="F15" s="35"/>
      <c r="G15" s="35"/>
      <c r="H15" s="35"/>
      <c r="I15" s="35"/>
      <c r="J15" s="35"/>
      <c r="K15" s="35"/>
      <c r="L15" s="35"/>
      <c r="M15" s="35"/>
      <c r="N15" s="35"/>
      <c r="O15" s="35"/>
      <c r="P15" s="35"/>
      <c r="Q15" s="35"/>
    </row>
    <row r="16" spans="1:17" x14ac:dyDescent="0.35">
      <c r="A16" s="35"/>
      <c r="B16" s="35"/>
      <c r="C16" s="35"/>
      <c r="D16" s="35"/>
      <c r="E16" s="35"/>
      <c r="F16" s="35"/>
      <c r="G16" s="35"/>
      <c r="H16" s="35"/>
      <c r="I16" s="35"/>
      <c r="J16" s="35"/>
      <c r="K16" s="35"/>
      <c r="L16" s="35"/>
      <c r="M16" s="35"/>
      <c r="N16" s="35"/>
      <c r="O16" s="35"/>
      <c r="P16" s="35"/>
      <c r="Q16" s="35"/>
    </row>
    <row r="17" spans="1:17" x14ac:dyDescent="0.35">
      <c r="A17" s="35"/>
      <c r="B17" s="35"/>
      <c r="C17" s="35"/>
      <c r="D17" s="35"/>
      <c r="E17" s="35"/>
      <c r="F17" s="35"/>
      <c r="G17" s="35"/>
      <c r="H17" s="35"/>
      <c r="I17" s="35"/>
      <c r="J17" s="35"/>
      <c r="K17" s="35"/>
      <c r="L17" s="35"/>
      <c r="M17" s="35"/>
      <c r="N17" s="35"/>
      <c r="O17" s="35"/>
      <c r="P17" s="35"/>
      <c r="Q17" s="35"/>
    </row>
    <row r="18" spans="1:17" x14ac:dyDescent="0.35">
      <c r="A18" s="35"/>
      <c r="B18" s="35"/>
      <c r="C18" s="35"/>
      <c r="D18" s="35"/>
      <c r="E18" s="35"/>
      <c r="F18" s="35"/>
      <c r="G18" s="35"/>
      <c r="H18" s="35"/>
      <c r="I18" s="35"/>
      <c r="J18" s="35"/>
      <c r="K18" s="35"/>
      <c r="L18" s="35"/>
      <c r="M18" s="35"/>
      <c r="N18" s="35"/>
      <c r="O18" s="35"/>
      <c r="P18" s="35"/>
      <c r="Q18" s="35"/>
    </row>
    <row r="19" spans="1:17" x14ac:dyDescent="0.35">
      <c r="A19" s="35"/>
      <c r="B19" s="35"/>
      <c r="C19" s="35"/>
      <c r="D19" s="35"/>
      <c r="E19" s="35"/>
      <c r="F19" s="35"/>
      <c r="G19" s="35"/>
      <c r="H19" s="35"/>
      <c r="I19" s="35"/>
      <c r="J19" s="35"/>
      <c r="K19" s="35"/>
      <c r="L19" s="35"/>
      <c r="M19" s="35"/>
      <c r="N19" s="35"/>
      <c r="O19" s="35"/>
      <c r="P19" s="35"/>
      <c r="Q19" s="35"/>
    </row>
    <row r="20" spans="1:17" x14ac:dyDescent="0.35">
      <c r="A20" s="35"/>
      <c r="B20" s="35"/>
      <c r="C20" s="35"/>
      <c r="D20" s="35"/>
      <c r="E20" s="35"/>
      <c r="F20" s="35"/>
      <c r="G20" s="35"/>
      <c r="H20" s="35"/>
      <c r="I20" s="35"/>
      <c r="J20" s="35"/>
      <c r="K20" s="35"/>
      <c r="L20" s="35"/>
      <c r="M20" s="35"/>
      <c r="N20" s="35"/>
      <c r="O20" s="35"/>
      <c r="P20" s="35"/>
      <c r="Q20" s="35"/>
    </row>
    <row r="21" spans="1:17" x14ac:dyDescent="0.35">
      <c r="A21" s="35"/>
      <c r="B21" s="35"/>
      <c r="C21" s="35"/>
      <c r="D21" s="35"/>
      <c r="E21" s="35"/>
      <c r="F21" s="35"/>
      <c r="G21" s="35"/>
      <c r="H21" s="35"/>
      <c r="I21" s="35"/>
      <c r="J21" s="35"/>
      <c r="K21" s="35"/>
      <c r="L21" s="35"/>
      <c r="M21" s="35"/>
      <c r="N21" s="35"/>
      <c r="O21" s="35"/>
      <c r="P21" s="35"/>
      <c r="Q21" s="35"/>
    </row>
    <row r="22" spans="1:17" x14ac:dyDescent="0.35">
      <c r="A22" s="35"/>
      <c r="B22" s="35"/>
      <c r="C22" s="35"/>
      <c r="D22" s="35"/>
      <c r="E22" s="35"/>
      <c r="F22" s="35"/>
      <c r="G22" s="35"/>
      <c r="H22" s="35"/>
      <c r="I22" s="35"/>
      <c r="J22" s="35"/>
      <c r="K22" s="35"/>
      <c r="L22" s="35"/>
      <c r="M22" s="35"/>
      <c r="N22" s="35"/>
      <c r="O22" s="35"/>
      <c r="P22" s="35"/>
      <c r="Q22" s="35"/>
    </row>
    <row r="23" spans="1:17" x14ac:dyDescent="0.35">
      <c r="A23" s="35"/>
      <c r="B23" s="35"/>
      <c r="C23" s="35"/>
      <c r="D23" s="35"/>
      <c r="E23" s="35"/>
      <c r="F23" s="35"/>
      <c r="G23" s="35"/>
      <c r="H23" s="35"/>
      <c r="I23" s="35"/>
      <c r="J23" s="35"/>
      <c r="K23" s="35"/>
      <c r="L23" s="35"/>
      <c r="M23" s="35"/>
      <c r="N23" s="35"/>
      <c r="O23" s="35"/>
      <c r="P23" s="35"/>
      <c r="Q23" s="35"/>
    </row>
    <row r="24" spans="1:17" x14ac:dyDescent="0.35">
      <c r="A24" s="35"/>
      <c r="B24" s="35"/>
      <c r="C24" s="35"/>
      <c r="D24" s="35"/>
      <c r="E24" s="35"/>
      <c r="F24" s="35"/>
      <c r="G24" s="35"/>
      <c r="H24" s="35"/>
      <c r="I24" s="35"/>
      <c r="J24" s="35"/>
      <c r="K24" s="35"/>
      <c r="L24" s="35"/>
      <c r="M24" s="35"/>
      <c r="N24" s="35"/>
      <c r="O24" s="35"/>
      <c r="P24" s="35"/>
      <c r="Q24" s="35"/>
    </row>
    <row r="25" spans="1:17" x14ac:dyDescent="0.35">
      <c r="A25" s="35"/>
      <c r="B25" s="35"/>
      <c r="C25" s="35"/>
      <c r="D25" s="35"/>
      <c r="E25" s="35"/>
      <c r="F25" s="35"/>
      <c r="G25" s="35"/>
      <c r="H25" s="35"/>
      <c r="I25" s="35"/>
      <c r="J25" s="35"/>
      <c r="K25" s="35"/>
      <c r="L25" s="35"/>
      <c r="M25" s="35"/>
      <c r="N25" s="35"/>
      <c r="O25" s="35"/>
      <c r="P25" s="35"/>
      <c r="Q25" s="35"/>
    </row>
    <row r="26" spans="1:17" x14ac:dyDescent="0.35">
      <c r="A26" s="35"/>
      <c r="B26" s="35"/>
      <c r="C26" s="35"/>
      <c r="D26" s="35"/>
      <c r="E26" s="35"/>
      <c r="F26" s="35"/>
      <c r="G26" s="35"/>
      <c r="H26" s="35"/>
      <c r="I26" s="35"/>
      <c r="J26" s="35"/>
      <c r="K26" s="35"/>
      <c r="L26" s="35"/>
      <c r="M26" s="35"/>
      <c r="N26" s="35"/>
      <c r="O26" s="35"/>
      <c r="P26" s="35"/>
      <c r="Q26" s="35"/>
    </row>
    <row r="27" spans="1:17" x14ac:dyDescent="0.35">
      <c r="A27" s="35"/>
      <c r="B27" s="35"/>
      <c r="C27" s="35"/>
      <c r="D27" s="35"/>
      <c r="E27" s="35"/>
      <c r="F27" s="35"/>
      <c r="G27" s="35"/>
      <c r="H27" s="35"/>
      <c r="I27" s="35"/>
      <c r="J27" s="35"/>
      <c r="K27" s="35"/>
      <c r="L27" s="35"/>
      <c r="M27" s="35"/>
      <c r="N27" s="35"/>
      <c r="O27" s="35"/>
      <c r="P27" s="35"/>
      <c r="Q27" s="35"/>
    </row>
    <row r="28" spans="1:17" x14ac:dyDescent="0.35">
      <c r="A28" s="35"/>
      <c r="B28" s="35"/>
      <c r="C28" s="35"/>
      <c r="D28" s="35"/>
      <c r="E28" s="35"/>
      <c r="F28" s="35"/>
      <c r="G28" s="35"/>
      <c r="H28" s="35"/>
      <c r="I28" s="35"/>
      <c r="J28" s="35"/>
      <c r="K28" s="35"/>
      <c r="L28" s="35"/>
      <c r="M28" s="35"/>
      <c r="N28" s="35"/>
      <c r="O28" s="35"/>
      <c r="P28" s="35"/>
      <c r="Q28" s="35"/>
    </row>
    <row r="29" spans="1:17" x14ac:dyDescent="0.35">
      <c r="A29" s="35"/>
      <c r="B29" s="35"/>
      <c r="C29" s="35"/>
      <c r="D29" s="35"/>
      <c r="E29" s="35"/>
      <c r="F29" s="35"/>
      <c r="G29" s="35"/>
      <c r="H29" s="35"/>
      <c r="I29" s="35"/>
      <c r="J29" s="35"/>
      <c r="K29" s="35"/>
      <c r="L29" s="35"/>
      <c r="M29" s="35"/>
      <c r="N29" s="35"/>
      <c r="O29" s="35"/>
      <c r="P29" s="35"/>
      <c r="Q29" s="35"/>
    </row>
    <row r="30" spans="1:17" x14ac:dyDescent="0.35">
      <c r="A30" s="35"/>
      <c r="B30" s="35"/>
      <c r="C30" s="35"/>
      <c r="D30" s="35"/>
      <c r="E30" s="35"/>
      <c r="F30" s="35"/>
      <c r="G30" s="35"/>
      <c r="H30" s="35"/>
      <c r="I30" s="35"/>
      <c r="J30" s="35"/>
      <c r="K30" s="35"/>
      <c r="L30" s="35"/>
      <c r="M30" s="35"/>
      <c r="N30" s="35"/>
      <c r="O30" s="35"/>
      <c r="P30" s="35"/>
      <c r="Q30" s="35"/>
    </row>
    <row r="31" spans="1:17" x14ac:dyDescent="0.35">
      <c r="A31" s="35"/>
      <c r="B31" s="35"/>
      <c r="C31" s="35"/>
      <c r="D31" s="35"/>
      <c r="E31" s="35"/>
      <c r="F31" s="35"/>
      <c r="G31" s="35"/>
      <c r="H31" s="35"/>
      <c r="I31" s="35"/>
      <c r="J31" s="35"/>
      <c r="K31" s="35"/>
      <c r="L31" s="35"/>
      <c r="M31" s="35"/>
      <c r="N31" s="35"/>
      <c r="O31" s="35"/>
      <c r="P31" s="35"/>
      <c r="Q31" s="35"/>
    </row>
    <row r="32" spans="1:17" x14ac:dyDescent="0.35">
      <c r="A32" s="35"/>
      <c r="B32" s="35"/>
      <c r="C32" s="35"/>
      <c r="D32" s="35"/>
      <c r="E32" s="35"/>
      <c r="F32" s="35"/>
      <c r="G32" s="35"/>
      <c r="H32" s="35"/>
      <c r="I32" s="35"/>
      <c r="J32" s="35"/>
      <c r="K32" s="35"/>
      <c r="L32" s="35"/>
      <c r="M32" s="35"/>
      <c r="N32" s="35"/>
      <c r="O32" s="35"/>
      <c r="P32" s="35"/>
      <c r="Q32" s="35"/>
    </row>
    <row r="33" spans="1:17" x14ac:dyDescent="0.35">
      <c r="A33" s="35"/>
      <c r="B33" s="35"/>
      <c r="C33" s="35"/>
      <c r="D33" s="35"/>
      <c r="E33" s="35"/>
      <c r="F33" s="35"/>
      <c r="G33" s="35"/>
      <c r="H33" s="35"/>
      <c r="I33" s="35"/>
      <c r="J33" s="35"/>
      <c r="K33" s="35"/>
      <c r="L33" s="35"/>
      <c r="M33" s="35"/>
      <c r="N33" s="35"/>
      <c r="O33" s="35"/>
      <c r="P33" s="35"/>
      <c r="Q33" s="35"/>
    </row>
    <row r="34" spans="1:17" x14ac:dyDescent="0.35">
      <c r="A34" s="35"/>
      <c r="B34" s="35"/>
      <c r="C34" s="35"/>
      <c r="D34" s="35"/>
      <c r="E34" s="35"/>
      <c r="F34" s="35"/>
      <c r="G34" s="35"/>
      <c r="H34" s="35"/>
      <c r="I34" s="35"/>
      <c r="J34" s="35"/>
      <c r="K34" s="35"/>
      <c r="L34" s="35"/>
      <c r="M34" s="35"/>
      <c r="N34" s="35"/>
      <c r="O34" s="35"/>
      <c r="P34" s="35"/>
      <c r="Q34" s="35"/>
    </row>
    <row r="35" spans="1:17" x14ac:dyDescent="0.35">
      <c r="A35" s="35"/>
      <c r="B35" s="35"/>
      <c r="C35" s="35"/>
      <c r="D35" s="35"/>
      <c r="E35" s="35"/>
      <c r="F35" s="35"/>
      <c r="G35" s="35"/>
      <c r="H35" s="35"/>
      <c r="I35" s="35"/>
      <c r="J35" s="35"/>
      <c r="K35" s="35"/>
      <c r="L35" s="35"/>
      <c r="M35" s="35"/>
      <c r="N35" s="35"/>
      <c r="O35" s="35"/>
      <c r="P35" s="35"/>
      <c r="Q35" s="35"/>
    </row>
    <row r="36" spans="1:17" x14ac:dyDescent="0.35">
      <c r="A36" s="35"/>
      <c r="B36" s="35"/>
      <c r="C36" s="35"/>
      <c r="D36" s="35"/>
      <c r="E36" s="35"/>
      <c r="F36" s="35"/>
      <c r="G36" s="35"/>
      <c r="H36" s="35"/>
      <c r="I36" s="35"/>
      <c r="J36" s="35"/>
      <c r="K36" s="35"/>
      <c r="L36" s="35"/>
      <c r="M36" s="35"/>
      <c r="N36" s="35"/>
      <c r="O36" s="35"/>
      <c r="P36" s="35"/>
      <c r="Q36" s="35"/>
    </row>
    <row r="37" spans="1:17" x14ac:dyDescent="0.35">
      <c r="A37" s="35"/>
      <c r="B37" s="35"/>
      <c r="C37" s="35"/>
      <c r="D37" s="35"/>
      <c r="E37" s="35"/>
      <c r="F37" s="35"/>
      <c r="G37" s="35"/>
      <c r="H37" s="35"/>
      <c r="I37" s="35"/>
      <c r="J37" s="35"/>
      <c r="K37" s="35"/>
      <c r="L37" s="35"/>
      <c r="M37" s="35"/>
      <c r="N37" s="35"/>
      <c r="O37" s="35"/>
      <c r="P37" s="35"/>
      <c r="Q37" s="35"/>
    </row>
    <row r="38" spans="1:17" x14ac:dyDescent="0.35">
      <c r="A38" s="35"/>
      <c r="B38" s="35"/>
      <c r="C38" s="35"/>
      <c r="D38" s="35"/>
      <c r="E38" s="35"/>
      <c r="F38" s="35"/>
      <c r="G38" s="35"/>
      <c r="H38" s="35"/>
      <c r="I38" s="35"/>
      <c r="J38" s="35"/>
      <c r="K38" s="35"/>
      <c r="L38" s="35"/>
      <c r="M38" s="35"/>
      <c r="N38" s="35"/>
      <c r="O38" s="35"/>
      <c r="P38" s="35"/>
      <c r="Q38" s="35"/>
    </row>
    <row r="39" spans="1:17" x14ac:dyDescent="0.35">
      <c r="A39" s="35"/>
      <c r="B39" s="35"/>
      <c r="C39" s="35"/>
      <c r="D39" s="35"/>
      <c r="E39" s="35"/>
      <c r="F39" s="35"/>
      <c r="G39" s="35"/>
      <c r="H39" s="35"/>
      <c r="I39" s="35"/>
      <c r="J39" s="35"/>
      <c r="K39" s="35"/>
      <c r="L39" s="35"/>
      <c r="M39" s="35"/>
      <c r="N39" s="35"/>
      <c r="O39" s="35"/>
      <c r="P39" s="35"/>
      <c r="Q39" s="35"/>
    </row>
    <row r="40" spans="1:17" x14ac:dyDescent="0.35">
      <c r="A40" s="35"/>
      <c r="B40" s="35"/>
      <c r="C40" s="35"/>
      <c r="D40" s="35"/>
      <c r="E40" s="35"/>
      <c r="F40" s="35"/>
      <c r="G40" s="35"/>
      <c r="H40" s="35"/>
      <c r="I40" s="35"/>
      <c r="J40" s="35"/>
      <c r="K40" s="35"/>
      <c r="L40" s="35"/>
      <c r="M40" s="35"/>
      <c r="N40" s="35"/>
      <c r="O40" s="35"/>
      <c r="P40" s="35"/>
      <c r="Q40" s="35"/>
    </row>
    <row r="41" spans="1:17" x14ac:dyDescent="0.35">
      <c r="A41" s="35"/>
      <c r="B41" s="35"/>
      <c r="C41" s="35"/>
      <c r="D41" s="35"/>
      <c r="E41" s="35"/>
      <c r="F41" s="35"/>
      <c r="G41" s="35"/>
      <c r="H41" s="35"/>
      <c r="I41" s="35"/>
      <c r="J41" s="35"/>
      <c r="K41" s="35"/>
      <c r="L41" s="35"/>
      <c r="M41" s="35"/>
      <c r="N41" s="35"/>
      <c r="O41" s="35"/>
      <c r="P41" s="35"/>
      <c r="Q41" s="35"/>
    </row>
    <row r="42" spans="1:17" x14ac:dyDescent="0.35">
      <c r="A42" s="35"/>
      <c r="B42" s="35"/>
      <c r="C42" s="35"/>
      <c r="D42" s="35"/>
      <c r="E42" s="35"/>
      <c r="F42" s="35"/>
      <c r="G42" s="35"/>
      <c r="H42" s="35"/>
      <c r="I42" s="35"/>
      <c r="J42" s="35"/>
      <c r="K42" s="35"/>
      <c r="L42" s="35"/>
      <c r="M42" s="35"/>
      <c r="N42" s="35"/>
      <c r="O42" s="35"/>
      <c r="P42" s="35"/>
      <c r="Q42" s="35"/>
    </row>
    <row r="43" spans="1:17" x14ac:dyDescent="0.35">
      <c r="A43" s="35"/>
      <c r="B43" s="35"/>
      <c r="C43" s="35"/>
      <c r="D43" s="35"/>
      <c r="E43" s="35"/>
      <c r="F43" s="35"/>
      <c r="G43" s="35"/>
      <c r="H43" s="35"/>
      <c r="I43" s="35"/>
      <c r="J43" s="35"/>
      <c r="K43" s="35"/>
      <c r="L43" s="35"/>
      <c r="M43" s="35"/>
      <c r="N43" s="35"/>
      <c r="O43" s="35"/>
      <c r="P43" s="35"/>
      <c r="Q43" s="35"/>
    </row>
    <row r="44" spans="1:17" x14ac:dyDescent="0.35">
      <c r="A44" s="35"/>
      <c r="B44" s="35"/>
      <c r="C44" s="35"/>
      <c r="D44" s="35"/>
      <c r="E44" s="35"/>
      <c r="F44" s="35"/>
      <c r="G44" s="35"/>
      <c r="H44" s="35"/>
      <c r="I44" s="35"/>
      <c r="J44" s="35"/>
      <c r="K44" s="35"/>
      <c r="L44" s="35"/>
      <c r="M44" s="35"/>
      <c r="N44" s="35"/>
      <c r="O44" s="35"/>
      <c r="P44" s="35"/>
      <c r="Q44" s="35"/>
    </row>
    <row r="45" spans="1:17" x14ac:dyDescent="0.35">
      <c r="A45" s="35"/>
      <c r="B45" s="35"/>
      <c r="C45" s="35"/>
      <c r="D45" s="35"/>
      <c r="E45" s="35"/>
      <c r="F45" s="35"/>
      <c r="G45" s="35"/>
      <c r="H45" s="35"/>
      <c r="I45" s="35"/>
      <c r="J45" s="35"/>
      <c r="K45" s="35"/>
      <c r="L45" s="35"/>
      <c r="M45" s="35"/>
      <c r="N45" s="35"/>
      <c r="O45" s="35"/>
      <c r="P45" s="35"/>
      <c r="Q45" s="35"/>
    </row>
  </sheetData>
  <sheetProtection algorithmName="SHA-512" hashValue="65ijY76n/PIM5nU07mp8N30AJAHYpmUB9UdDT6E55y9oNC0+kLirOTmOwsRo9fiKwcBhlyiIoZ5uatz59A5dYw==" saltValue="DJ+VCG3m57QhHuyLKtuS6w==" spinCount="100000" sheet="1" objects="1" scenarios="1"/>
  <conditionalFormatting sqref="D5:E5">
    <cfRule type="expression" dxfId="14" priority="5">
      <formula>AND($E$5&gt;25%,$E$5&lt;50%)</formula>
    </cfRule>
    <cfRule type="expression" dxfId="13" priority="6">
      <formula>$E$5&lt;=25%</formula>
    </cfRule>
    <cfRule type="expression" dxfId="12" priority="7">
      <formula>$E$5&gt;=50%</formula>
    </cfRule>
  </conditionalFormatting>
  <conditionalFormatting sqref="G5:H5">
    <cfRule type="expression" dxfId="11" priority="2">
      <formula>$H$5&lt;=10%</formula>
    </cfRule>
    <cfRule type="expression" dxfId="10" priority="3">
      <formula>$H$5&gt;=15%</formula>
    </cfRule>
    <cfRule type="expression" dxfId="9" priority="4">
      <formula>AND($H$5&gt;10%,$H$5&lt;15%)</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1" id="{88B646E6-F8E8-4569-95AD-A0023BED7BA9}">
            <x14:iconSet iconSet="3Arrows" custom="1">
              <x14:cfvo type="percent">
                <xm:f>0</xm:f>
              </x14:cfvo>
              <x14:cfvo type="num" gte="0">
                <xm:f>$B$8</xm:f>
              </x14:cfvo>
              <x14:cfvo type="num" gte="0">
                <xm:f>$B$8</xm:f>
              </x14:cfvo>
              <x14:cfIcon iconSet="3Arrows" iconId="0"/>
              <x14:cfIcon iconSet="NoIcons" iconId="0"/>
              <x14:cfIcon iconSet="3Arrows" iconId="2"/>
            </x14:iconSet>
          </x14:cfRule>
          <xm:sqref>B7</xm:sqref>
        </x14:conditionalFormatting>
        <x14:conditionalFormatting xmlns:xm="http://schemas.microsoft.com/office/excel/2006/main">
          <x14:cfRule type="iconSet" priority="10" id="{99A3073A-3F63-417D-B140-35B447AA6B6E}">
            <x14:iconSet iconSet="3Arrows" custom="1">
              <x14:cfvo type="percent">
                <xm:f>0</xm:f>
              </x14:cfvo>
              <x14:cfvo type="num">
                <xm:f>$B$7</xm:f>
              </x14:cfvo>
              <x14:cfvo type="num" gte="0">
                <xm:f>$B$7</xm:f>
              </x14:cfvo>
              <x14:cfIcon iconSet="3Arrows" iconId="0"/>
              <x14:cfIcon iconSet="NoIcons" iconId="0"/>
              <x14:cfIcon iconSet="3Arrows" iconId="2"/>
            </x14:iconSet>
          </x14:cfRule>
          <xm:sqref>B8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3641D-E3CC-4298-9685-81FCF5522273}">
  <sheetPr>
    <tabColor rgb="FFC00000"/>
  </sheetPr>
  <dimension ref="A1:N21"/>
  <sheetViews>
    <sheetView showGridLines="0" zoomScale="70" zoomScaleNormal="70" workbookViewId="0">
      <selection activeCell="M9" sqref="M9"/>
    </sheetView>
  </sheetViews>
  <sheetFormatPr defaultRowHeight="14.5" x14ac:dyDescent="0.35"/>
  <cols>
    <col min="1" max="1" width="17.81640625" bestFit="1" customWidth="1"/>
    <col min="2" max="2" width="16.453125" bestFit="1" customWidth="1"/>
    <col min="3" max="3" width="7.26953125" bestFit="1" customWidth="1"/>
    <col min="4" max="5" width="10.36328125" bestFit="1" customWidth="1"/>
    <col min="6" max="6" width="23.08984375" bestFit="1" customWidth="1"/>
    <col min="7" max="7" width="13.36328125" bestFit="1" customWidth="1"/>
    <col min="8" max="8" width="14.81640625" bestFit="1" customWidth="1"/>
    <col min="9" max="9" width="7.1796875" bestFit="1" customWidth="1"/>
    <col min="10" max="10" width="15.81640625" bestFit="1" customWidth="1"/>
    <col min="11" max="11" width="13.36328125" bestFit="1" customWidth="1"/>
    <col min="13" max="13" width="12.7265625" bestFit="1" customWidth="1"/>
    <col min="14" max="14" width="12.453125" bestFit="1" customWidth="1"/>
    <col min="26" max="26" width="22.36328125" bestFit="1" customWidth="1"/>
    <col min="27" max="27" width="13.36328125" bestFit="1" customWidth="1"/>
  </cols>
  <sheetData>
    <row r="1" spans="1:14" x14ac:dyDescent="0.35">
      <c r="A1" s="5" t="s">
        <v>43</v>
      </c>
      <c r="B1" t="s">
        <v>2025</v>
      </c>
      <c r="J1" s="5" t="s">
        <v>45</v>
      </c>
      <c r="K1" t="s">
        <v>2025</v>
      </c>
    </row>
    <row r="3" spans="1:14" x14ac:dyDescent="0.35">
      <c r="A3" s="5" t="s">
        <v>1330</v>
      </c>
      <c r="B3" s="5" t="s">
        <v>1427</v>
      </c>
      <c r="F3" s="5" t="s">
        <v>1346</v>
      </c>
      <c r="G3" t="s">
        <v>1345</v>
      </c>
      <c r="J3" s="5" t="s">
        <v>1346</v>
      </c>
      <c r="K3" t="s">
        <v>1345</v>
      </c>
      <c r="M3" s="48" t="s">
        <v>2027</v>
      </c>
      <c r="N3" s="48" t="s">
        <v>2028</v>
      </c>
    </row>
    <row r="4" spans="1:14" x14ac:dyDescent="0.35">
      <c r="A4" s="5" t="s">
        <v>44</v>
      </c>
      <c r="B4" t="s">
        <v>6</v>
      </c>
      <c r="C4" t="s">
        <v>12</v>
      </c>
      <c r="D4" t="s">
        <v>79</v>
      </c>
      <c r="F4" s="6" t="s">
        <v>1341</v>
      </c>
      <c r="G4">
        <v>15</v>
      </c>
      <c r="J4" s="6" t="s">
        <v>47</v>
      </c>
      <c r="M4" s="49" t="s">
        <v>2029</v>
      </c>
      <c r="N4">
        <f>IFERROR(GETPIVOTDATA("Name",$J$3),0)</f>
        <v>66</v>
      </c>
    </row>
    <row r="5" spans="1:14" x14ac:dyDescent="0.35">
      <c r="A5" s="6" t="s">
        <v>54</v>
      </c>
      <c r="B5">
        <v>20</v>
      </c>
      <c r="C5">
        <v>29</v>
      </c>
      <c r="D5">
        <v>49</v>
      </c>
      <c r="F5" s="6" t="s">
        <v>1342</v>
      </c>
      <c r="G5">
        <v>56</v>
      </c>
      <c r="J5" s="6" t="s">
        <v>54</v>
      </c>
      <c r="K5">
        <v>49</v>
      </c>
      <c r="M5" s="49" t="s">
        <v>2030</v>
      </c>
      <c r="N5">
        <f>IFERROR(SUM(K5:K14)-GETPIVOTDATA("Name",$J$3,"Status","00 - Headhunted"),0)</f>
        <v>66</v>
      </c>
    </row>
    <row r="6" spans="1:14" x14ac:dyDescent="0.35">
      <c r="A6" s="10" t="s">
        <v>821</v>
      </c>
      <c r="C6">
        <v>1</v>
      </c>
      <c r="D6">
        <v>1</v>
      </c>
      <c r="F6" s="6" t="s">
        <v>1343</v>
      </c>
      <c r="G6">
        <v>97</v>
      </c>
      <c r="J6" s="6" t="s">
        <v>48</v>
      </c>
      <c r="K6">
        <v>8</v>
      </c>
      <c r="M6" s="49" t="s">
        <v>2031</v>
      </c>
      <c r="N6">
        <f>IFERROR(GETPIVOTDATA("Name",$J$3,"Status","02 - Interested")+GETPIVOTDATA("Name",$J$3,"Status","04 - Submitted"),0)</f>
        <v>6</v>
      </c>
    </row>
    <row r="7" spans="1:14" x14ac:dyDescent="0.35">
      <c r="A7" s="10" t="s">
        <v>1054</v>
      </c>
      <c r="C7">
        <v>1</v>
      </c>
      <c r="D7">
        <v>1</v>
      </c>
      <c r="F7" s="6" t="s">
        <v>1344</v>
      </c>
      <c r="G7">
        <v>93</v>
      </c>
      <c r="J7" s="6" t="s">
        <v>49</v>
      </c>
      <c r="M7" s="49" t="s">
        <v>2032</v>
      </c>
      <c r="N7" s="47">
        <f>IFERROR(GETPIVOTDATA("Name",$J$3,"Status","04 - Submitted"),0)</f>
        <v>6</v>
      </c>
    </row>
    <row r="8" spans="1:14" x14ac:dyDescent="0.35">
      <c r="A8" s="10" t="s">
        <v>1211</v>
      </c>
      <c r="B8">
        <v>6</v>
      </c>
      <c r="C8">
        <v>6</v>
      </c>
      <c r="D8">
        <v>12</v>
      </c>
      <c r="F8" s="6" t="s">
        <v>1340</v>
      </c>
      <c r="G8">
        <v>57</v>
      </c>
      <c r="J8" s="6" t="s">
        <v>80</v>
      </c>
      <c r="M8" s="49" t="s">
        <v>2034</v>
      </c>
      <c r="N8">
        <f>IFERROR(GETPIVOTDATA("Name",$J$3,"Status","05 - Interviews"),0)</f>
        <v>0</v>
      </c>
    </row>
    <row r="9" spans="1:14" x14ac:dyDescent="0.35">
      <c r="A9" s="10" t="s">
        <v>1222</v>
      </c>
      <c r="B9">
        <v>2</v>
      </c>
      <c r="C9">
        <v>11</v>
      </c>
      <c r="D9">
        <v>13</v>
      </c>
      <c r="F9" s="6" t="s">
        <v>1331</v>
      </c>
      <c r="G9">
        <v>69</v>
      </c>
      <c r="J9" s="6" t="s">
        <v>326</v>
      </c>
      <c r="K9">
        <v>3</v>
      </c>
      <c r="M9" s="49" t="s">
        <v>2033</v>
      </c>
      <c r="N9">
        <f>IFERROR(GETPIVOTDATA("Name",$J$3,"Status","06 - Placement"),0)</f>
        <v>0</v>
      </c>
    </row>
    <row r="10" spans="1:14" x14ac:dyDescent="0.35">
      <c r="A10" s="10" t="s">
        <v>1223</v>
      </c>
      <c r="B10">
        <v>6</v>
      </c>
      <c r="C10">
        <v>4</v>
      </c>
      <c r="D10">
        <v>10</v>
      </c>
      <c r="F10" s="6" t="s">
        <v>1339</v>
      </c>
      <c r="G10">
        <v>119</v>
      </c>
      <c r="J10" s="6" t="s">
        <v>2026</v>
      </c>
    </row>
    <row r="11" spans="1:14" x14ac:dyDescent="0.35">
      <c r="A11" s="10" t="s">
        <v>1289</v>
      </c>
      <c r="B11">
        <v>6</v>
      </c>
      <c r="C11">
        <v>6</v>
      </c>
      <c r="D11">
        <v>12</v>
      </c>
      <c r="F11" s="6" t="s">
        <v>1337</v>
      </c>
      <c r="G11">
        <v>102</v>
      </c>
      <c r="J11" s="6" t="s">
        <v>52</v>
      </c>
    </row>
    <row r="12" spans="1:14" x14ac:dyDescent="0.35">
      <c r="A12" s="6" t="s">
        <v>53</v>
      </c>
      <c r="B12">
        <v>1</v>
      </c>
      <c r="C12">
        <v>5</v>
      </c>
      <c r="D12">
        <v>6</v>
      </c>
      <c r="F12" s="6" t="s">
        <v>1338</v>
      </c>
      <c r="G12">
        <v>66</v>
      </c>
      <c r="J12" s="6" t="s">
        <v>53</v>
      </c>
      <c r="K12">
        <v>6</v>
      </c>
    </row>
    <row r="13" spans="1:14" x14ac:dyDescent="0.35">
      <c r="A13" s="10" t="s">
        <v>1222</v>
      </c>
      <c r="C13">
        <v>1</v>
      </c>
      <c r="D13">
        <v>1</v>
      </c>
      <c r="F13" s="6" t="s">
        <v>79</v>
      </c>
      <c r="G13">
        <v>674</v>
      </c>
      <c r="J13" s="6" t="s">
        <v>2015</v>
      </c>
    </row>
    <row r="14" spans="1:14" x14ac:dyDescent="0.35">
      <c r="A14" s="10" t="s">
        <v>1289</v>
      </c>
      <c r="B14">
        <v>1</v>
      </c>
      <c r="D14">
        <v>1</v>
      </c>
      <c r="J14" s="6" t="s">
        <v>2016</v>
      </c>
    </row>
    <row r="15" spans="1:14" x14ac:dyDescent="0.35">
      <c r="A15" s="10" t="s">
        <v>1312</v>
      </c>
      <c r="C15">
        <v>4</v>
      </c>
      <c r="D15">
        <v>4</v>
      </c>
      <c r="J15" s="6" t="s">
        <v>79</v>
      </c>
      <c r="K15">
        <v>66</v>
      </c>
    </row>
    <row r="16" spans="1:14" x14ac:dyDescent="0.35">
      <c r="A16" s="6" t="s">
        <v>48</v>
      </c>
      <c r="C16">
        <v>8</v>
      </c>
      <c r="D16">
        <v>8</v>
      </c>
    </row>
    <row r="17" spans="1:4" x14ac:dyDescent="0.35">
      <c r="A17" s="10" t="s">
        <v>821</v>
      </c>
      <c r="C17">
        <v>1</v>
      </c>
      <c r="D17">
        <v>1</v>
      </c>
    </row>
    <row r="18" spans="1:4" x14ac:dyDescent="0.35">
      <c r="A18" s="10" t="s">
        <v>1312</v>
      </c>
      <c r="C18">
        <v>7</v>
      </c>
      <c r="D18">
        <v>7</v>
      </c>
    </row>
    <row r="19" spans="1:4" x14ac:dyDescent="0.35">
      <c r="A19" s="6" t="s">
        <v>326</v>
      </c>
      <c r="B19">
        <v>2</v>
      </c>
      <c r="C19">
        <v>1</v>
      </c>
      <c r="D19">
        <v>3</v>
      </c>
    </row>
    <row r="20" spans="1:4" x14ac:dyDescent="0.35">
      <c r="A20" s="10" t="s">
        <v>1289</v>
      </c>
      <c r="B20">
        <v>2</v>
      </c>
      <c r="C20">
        <v>1</v>
      </c>
      <c r="D20">
        <v>3</v>
      </c>
    </row>
    <row r="21" spans="1:4" x14ac:dyDescent="0.35">
      <c r="A21" s="6" t="s">
        <v>79</v>
      </c>
      <c r="B21">
        <v>23</v>
      </c>
      <c r="C21">
        <v>43</v>
      </c>
      <c r="D21">
        <v>66</v>
      </c>
    </row>
  </sheetData>
  <sheetProtection selectLockedCells="1" selectUnlockedCells="1"/>
  <pageMargins left="0.7" right="0.7" top="0.75" bottom="0.75" header="0.3" footer="0.3"/>
  <pageSetup paperSize="9" orientation="portrait"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7489D-E39D-4368-BB0D-9482AE01C5E5}">
  <sheetPr codeName="Sheet1"/>
  <dimension ref="A1:K8"/>
  <sheetViews>
    <sheetView showGridLines="0" zoomScale="85" zoomScaleNormal="85" workbookViewId="0">
      <selection activeCell="B5" sqref="B5"/>
    </sheetView>
  </sheetViews>
  <sheetFormatPr defaultRowHeight="14.5" x14ac:dyDescent="0.35"/>
  <cols>
    <col min="1" max="1" width="18.08984375" bestFit="1" customWidth="1"/>
    <col min="2" max="2" width="15.1796875" bestFit="1" customWidth="1"/>
    <col min="3" max="3" width="7.453125" customWidth="1"/>
    <col min="4" max="4" width="10.453125" customWidth="1"/>
    <col min="5" max="5" width="10.36328125" bestFit="1" customWidth="1"/>
    <col min="6" max="6" width="7.1796875" bestFit="1" customWidth="1"/>
    <col min="7" max="7" width="20.6328125" bestFit="1" customWidth="1"/>
    <col min="8" max="8" width="14.81640625" bestFit="1" customWidth="1"/>
    <col min="9" max="9" width="7.1796875" bestFit="1" customWidth="1"/>
    <col min="10" max="10" width="17.6328125" bestFit="1" customWidth="1"/>
    <col min="11" max="11" width="10.36328125" bestFit="1" customWidth="1"/>
    <col min="26" max="26" width="22.36328125" bestFit="1" customWidth="1"/>
    <col min="27" max="27" width="13.36328125" bestFit="1" customWidth="1"/>
  </cols>
  <sheetData>
    <row r="1" spans="1:11" x14ac:dyDescent="0.35">
      <c r="A1" s="5" t="s">
        <v>43</v>
      </c>
      <c r="B1" t="s">
        <v>2025</v>
      </c>
    </row>
    <row r="3" spans="1:11" x14ac:dyDescent="0.35">
      <c r="A3" s="5" t="s">
        <v>44</v>
      </c>
      <c r="B3" t="s">
        <v>1330</v>
      </c>
    </row>
    <row r="4" spans="1:11" x14ac:dyDescent="0.35">
      <c r="A4" s="6" t="s">
        <v>54</v>
      </c>
      <c r="B4">
        <v>49</v>
      </c>
    </row>
    <row r="5" spans="1:11" x14ac:dyDescent="0.35">
      <c r="A5" s="6" t="s">
        <v>53</v>
      </c>
      <c r="B5">
        <v>6</v>
      </c>
    </row>
    <row r="6" spans="1:11" x14ac:dyDescent="0.35">
      <c r="A6" s="6" t="s">
        <v>48</v>
      </c>
      <c r="B6">
        <v>8</v>
      </c>
      <c r="K6" s="9"/>
    </row>
    <row r="7" spans="1:11" x14ac:dyDescent="0.35">
      <c r="A7" s="6" t="s">
        <v>326</v>
      </c>
      <c r="B7">
        <v>3</v>
      </c>
    </row>
    <row r="8" spans="1:11" x14ac:dyDescent="0.35">
      <c r="A8" s="6" t="s">
        <v>79</v>
      </c>
      <c r="B8">
        <v>66</v>
      </c>
    </row>
  </sheetData>
  <sheetProtection selectLockedCells="1" selectUnlockedCells="1"/>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1F4D9-1FCA-43DE-A12F-A513CB72A6D3}">
  <sheetPr codeName="Sheet2">
    <pageSetUpPr fitToPage="1"/>
  </sheetPr>
  <dimension ref="A1:H677"/>
  <sheetViews>
    <sheetView tabSelected="1" topLeftCell="A658" zoomScale="85" zoomScaleNormal="85" workbookViewId="0">
      <selection activeCell="D677" sqref="D677"/>
    </sheetView>
  </sheetViews>
  <sheetFormatPr defaultRowHeight="14.5" x14ac:dyDescent="0.35"/>
  <cols>
    <col min="1" max="1" width="10.453125" customWidth="1"/>
    <col min="2" max="2" width="19" style="1" bestFit="1" customWidth="1"/>
    <col min="3" max="3" width="27.81640625" bestFit="1" customWidth="1"/>
    <col min="4" max="4" width="36" bestFit="1" customWidth="1"/>
    <col min="5" max="5" width="25.90625" style="4" customWidth="1"/>
    <col min="6" max="6" width="16.36328125" bestFit="1" customWidth="1"/>
    <col min="7" max="7" width="45.81640625" bestFit="1" customWidth="1"/>
    <col min="8" max="8" width="47.36328125" bestFit="1" customWidth="1"/>
  </cols>
  <sheetData>
    <row r="1" spans="1:8" x14ac:dyDescent="0.35">
      <c r="A1" s="7" t="s">
        <v>0</v>
      </c>
      <c r="B1" s="8" t="s">
        <v>1</v>
      </c>
      <c r="C1" s="7" t="s">
        <v>2</v>
      </c>
      <c r="D1" s="7" t="s">
        <v>7</v>
      </c>
      <c r="E1" s="4" t="s">
        <v>43</v>
      </c>
      <c r="F1" s="7" t="s">
        <v>3</v>
      </c>
      <c r="G1" s="7" t="s">
        <v>44</v>
      </c>
      <c r="H1" s="7" t="s">
        <v>45</v>
      </c>
    </row>
    <row r="2" spans="1:8" ht="14.5" customHeight="1" x14ac:dyDescent="0.35">
      <c r="A2" s="11" t="s">
        <v>4</v>
      </c>
      <c r="B2" s="12">
        <v>5064</v>
      </c>
      <c r="C2" s="11" t="s">
        <v>5</v>
      </c>
      <c r="D2" s="13" t="s">
        <v>8</v>
      </c>
      <c r="E2" s="14">
        <v>46084</v>
      </c>
      <c r="F2" s="15" t="s">
        <v>6</v>
      </c>
      <c r="G2" s="15" t="s">
        <v>53</v>
      </c>
      <c r="H2" s="11"/>
    </row>
    <row r="3" spans="1:8" ht="14.5" customHeight="1" x14ac:dyDescent="0.35">
      <c r="A3" s="11" t="s">
        <v>4</v>
      </c>
      <c r="B3" s="12">
        <v>5065</v>
      </c>
      <c r="C3" s="11" t="s">
        <v>9</v>
      </c>
      <c r="D3" s="13" t="s">
        <v>10</v>
      </c>
      <c r="E3" s="14">
        <v>46084</v>
      </c>
      <c r="F3" s="15" t="s">
        <v>6</v>
      </c>
      <c r="G3" s="15" t="s">
        <v>53</v>
      </c>
      <c r="H3" s="11"/>
    </row>
    <row r="4" spans="1:8" ht="14.5" customHeight="1" x14ac:dyDescent="0.35">
      <c r="A4" s="11" t="s">
        <v>4</v>
      </c>
      <c r="B4" s="12">
        <v>1740</v>
      </c>
      <c r="C4" s="11" t="s">
        <v>11</v>
      </c>
      <c r="D4" s="13" t="s">
        <v>38</v>
      </c>
      <c r="E4" s="14">
        <v>46084</v>
      </c>
      <c r="F4" s="15" t="s">
        <v>12</v>
      </c>
      <c r="G4" s="15" t="s">
        <v>53</v>
      </c>
      <c r="H4" s="11"/>
    </row>
    <row r="5" spans="1:8" ht="14.5" customHeight="1" x14ac:dyDescent="0.35">
      <c r="A5" s="11" t="s">
        <v>4</v>
      </c>
      <c r="B5" s="12">
        <v>3361</v>
      </c>
      <c r="C5" s="11" t="s">
        <v>13</v>
      </c>
      <c r="D5" s="13" t="s">
        <v>14</v>
      </c>
      <c r="E5" s="14">
        <v>46084</v>
      </c>
      <c r="F5" s="15" t="s">
        <v>12</v>
      </c>
      <c r="G5" s="15" t="s">
        <v>48</v>
      </c>
      <c r="H5" s="11"/>
    </row>
    <row r="6" spans="1:8" ht="14.5" customHeight="1" x14ac:dyDescent="0.35">
      <c r="A6" s="11" t="s">
        <v>4</v>
      </c>
      <c r="B6" s="12">
        <v>5066</v>
      </c>
      <c r="C6" s="11" t="s">
        <v>16</v>
      </c>
      <c r="D6" s="13" t="s">
        <v>15</v>
      </c>
      <c r="E6" s="14">
        <v>46084</v>
      </c>
      <c r="F6" s="15" t="s">
        <v>6</v>
      </c>
      <c r="G6" s="15" t="s">
        <v>326</v>
      </c>
      <c r="H6" s="11" t="s">
        <v>81</v>
      </c>
    </row>
    <row r="7" spans="1:8" ht="14.5" customHeight="1" x14ac:dyDescent="0.35">
      <c r="A7" s="11" t="s">
        <v>4</v>
      </c>
      <c r="B7" s="12">
        <v>3673</v>
      </c>
      <c r="C7" s="11" t="s">
        <v>18</v>
      </c>
      <c r="D7" s="13" t="s">
        <v>17</v>
      </c>
      <c r="E7" s="14">
        <v>46084</v>
      </c>
      <c r="F7" s="15" t="s">
        <v>12</v>
      </c>
      <c r="G7" s="15" t="s">
        <v>48</v>
      </c>
      <c r="H7" s="11"/>
    </row>
    <row r="8" spans="1:8" ht="14.5" customHeight="1" x14ac:dyDescent="0.35">
      <c r="A8" s="11" t="s">
        <v>4</v>
      </c>
      <c r="B8" s="12">
        <v>3359</v>
      </c>
      <c r="C8" s="11" t="s">
        <v>19</v>
      </c>
      <c r="D8" s="13" t="s">
        <v>20</v>
      </c>
      <c r="E8" s="14">
        <v>46084</v>
      </c>
      <c r="F8" s="15" t="s">
        <v>12</v>
      </c>
      <c r="G8" s="15" t="s">
        <v>48</v>
      </c>
      <c r="H8" s="11"/>
    </row>
    <row r="9" spans="1:8" ht="14.5" customHeight="1" x14ac:dyDescent="0.35">
      <c r="A9" s="11" t="s">
        <v>4</v>
      </c>
      <c r="B9" s="12">
        <v>3198</v>
      </c>
      <c r="C9" s="11" t="s">
        <v>21</v>
      </c>
      <c r="D9" s="13" t="s">
        <v>22</v>
      </c>
      <c r="E9" s="14">
        <v>46084</v>
      </c>
      <c r="F9" s="15" t="s">
        <v>12</v>
      </c>
      <c r="G9" s="15" t="s">
        <v>48</v>
      </c>
      <c r="H9" s="11"/>
    </row>
    <row r="10" spans="1:8" ht="14.5" customHeight="1" x14ac:dyDescent="0.35">
      <c r="A10" s="11" t="s">
        <v>4</v>
      </c>
      <c r="B10" s="12">
        <v>904</v>
      </c>
      <c r="C10" s="11" t="s">
        <v>23</v>
      </c>
      <c r="D10" s="13" t="s">
        <v>24</v>
      </c>
      <c r="E10" s="14">
        <v>46084</v>
      </c>
      <c r="F10" s="15" t="s">
        <v>12</v>
      </c>
      <c r="G10" s="15" t="s">
        <v>48</v>
      </c>
      <c r="H10" s="11"/>
    </row>
    <row r="11" spans="1:8" ht="14.5" customHeight="1" x14ac:dyDescent="0.35">
      <c r="A11" s="11" t="s">
        <v>26</v>
      </c>
      <c r="B11" s="12">
        <v>2962</v>
      </c>
      <c r="C11" s="11" t="s">
        <v>25</v>
      </c>
      <c r="D11" s="13" t="s">
        <v>27</v>
      </c>
      <c r="E11" s="14">
        <v>46084</v>
      </c>
      <c r="F11" s="15" t="s">
        <v>12</v>
      </c>
      <c r="G11" s="15" t="s">
        <v>326</v>
      </c>
      <c r="H11" s="11" t="s">
        <v>37</v>
      </c>
    </row>
    <row r="12" spans="1:8" ht="14.5" customHeight="1" x14ac:dyDescent="0.35">
      <c r="A12" s="11" t="s">
        <v>26</v>
      </c>
      <c r="B12" s="12">
        <v>5068</v>
      </c>
      <c r="C12" s="11" t="s">
        <v>29</v>
      </c>
      <c r="D12" s="13" t="s">
        <v>28</v>
      </c>
      <c r="E12" s="14">
        <v>46084</v>
      </c>
      <c r="F12" s="15" t="s">
        <v>6</v>
      </c>
      <c r="G12" s="15" t="s">
        <v>326</v>
      </c>
      <c r="H12" s="11" t="s">
        <v>40</v>
      </c>
    </row>
    <row r="13" spans="1:8" ht="14.5" customHeight="1" x14ac:dyDescent="0.35">
      <c r="A13" s="11" t="s">
        <v>26</v>
      </c>
      <c r="B13" s="12">
        <v>3249</v>
      </c>
      <c r="C13" s="11" t="s">
        <v>30</v>
      </c>
      <c r="D13" s="13" t="s">
        <v>31</v>
      </c>
      <c r="E13" s="14">
        <v>46084</v>
      </c>
      <c r="F13" s="15" t="s">
        <v>12</v>
      </c>
      <c r="G13" s="15" t="s">
        <v>53</v>
      </c>
      <c r="H13" s="11"/>
    </row>
    <row r="14" spans="1:8" ht="14.5" customHeight="1" x14ac:dyDescent="0.35">
      <c r="A14" s="11" t="s">
        <v>26</v>
      </c>
      <c r="B14" s="12">
        <v>5069</v>
      </c>
      <c r="C14" s="11" t="s">
        <v>33</v>
      </c>
      <c r="D14" s="13" t="s">
        <v>32</v>
      </c>
      <c r="E14" s="14">
        <v>46084</v>
      </c>
      <c r="F14" s="15" t="s">
        <v>6</v>
      </c>
      <c r="G14" s="15" t="s">
        <v>326</v>
      </c>
      <c r="H14" s="11" t="s">
        <v>36</v>
      </c>
    </row>
    <row r="15" spans="1:8" ht="14.5" customHeight="1" x14ac:dyDescent="0.35">
      <c r="A15" s="11" t="s">
        <v>26</v>
      </c>
      <c r="B15" s="12">
        <v>2727</v>
      </c>
      <c r="C15" s="11" t="s">
        <v>34</v>
      </c>
      <c r="D15" s="13" t="s">
        <v>35</v>
      </c>
      <c r="E15" s="14">
        <v>46084</v>
      </c>
      <c r="F15" s="15" t="s">
        <v>12</v>
      </c>
      <c r="G15" s="15" t="s">
        <v>54</v>
      </c>
      <c r="H15" s="11" t="s">
        <v>39</v>
      </c>
    </row>
    <row r="16" spans="1:8" ht="14.5" customHeight="1" x14ac:dyDescent="0.35">
      <c r="A16" s="11" t="s">
        <v>26</v>
      </c>
      <c r="B16" s="12">
        <v>4136</v>
      </c>
      <c r="C16" s="11" t="s">
        <v>41</v>
      </c>
      <c r="D16" s="13" t="s">
        <v>42</v>
      </c>
      <c r="E16" s="14">
        <v>46084</v>
      </c>
      <c r="F16" s="15" t="s">
        <v>12</v>
      </c>
      <c r="G16" s="15" t="s">
        <v>53</v>
      </c>
      <c r="H16" s="11"/>
    </row>
    <row r="17" spans="1:8" ht="14.4" x14ac:dyDescent="0.35">
      <c r="A17" s="11" t="s">
        <v>82</v>
      </c>
      <c r="B17" s="12">
        <v>5085</v>
      </c>
      <c r="C17" s="11" t="s">
        <v>83</v>
      </c>
      <c r="D17" s="13" t="s">
        <v>84</v>
      </c>
      <c r="E17" s="14">
        <v>46090</v>
      </c>
      <c r="F17" s="15" t="s">
        <v>6</v>
      </c>
      <c r="G17" s="15" t="s">
        <v>48</v>
      </c>
      <c r="H17" s="11"/>
    </row>
    <row r="18" spans="1:8" ht="14.4" x14ac:dyDescent="0.35">
      <c r="A18" s="11" t="s">
        <v>82</v>
      </c>
      <c r="B18" s="12">
        <v>5086</v>
      </c>
      <c r="C18" s="11" t="s">
        <v>86</v>
      </c>
      <c r="D18" s="13" t="s">
        <v>85</v>
      </c>
      <c r="E18" s="14">
        <v>46090</v>
      </c>
      <c r="F18" s="15" t="s">
        <v>6</v>
      </c>
      <c r="G18" s="15" t="s">
        <v>48</v>
      </c>
      <c r="H18" s="11"/>
    </row>
    <row r="19" spans="1:8" ht="14.4" x14ac:dyDescent="0.35">
      <c r="A19" s="11" t="s">
        <v>82</v>
      </c>
      <c r="B19" s="12">
        <v>5087</v>
      </c>
      <c r="C19" s="11" t="s">
        <v>88</v>
      </c>
      <c r="D19" s="13" t="s">
        <v>87</v>
      </c>
      <c r="E19" s="14">
        <v>46090</v>
      </c>
      <c r="F19" s="15" t="s">
        <v>6</v>
      </c>
      <c r="G19" s="15" t="s">
        <v>48</v>
      </c>
      <c r="H19" s="11"/>
    </row>
    <row r="20" spans="1:8" ht="14.4" x14ac:dyDescent="0.35">
      <c r="A20" s="11" t="s">
        <v>82</v>
      </c>
      <c r="B20" s="12">
        <v>5088</v>
      </c>
      <c r="C20" s="11" t="s">
        <v>94</v>
      </c>
      <c r="D20" s="13" t="s">
        <v>89</v>
      </c>
      <c r="E20" s="14">
        <v>46090</v>
      </c>
      <c r="F20" s="15" t="s">
        <v>6</v>
      </c>
      <c r="G20" s="15" t="s">
        <v>48</v>
      </c>
      <c r="H20" s="11"/>
    </row>
    <row r="21" spans="1:8" ht="14.4" x14ac:dyDescent="0.35">
      <c r="A21" s="11" t="s">
        <v>82</v>
      </c>
      <c r="B21" s="12">
        <v>5089</v>
      </c>
      <c r="C21" s="11" t="s">
        <v>91</v>
      </c>
      <c r="D21" s="13" t="s">
        <v>90</v>
      </c>
      <c r="E21" s="14">
        <v>46090</v>
      </c>
      <c r="F21" s="15" t="s">
        <v>6</v>
      </c>
      <c r="G21" s="15" t="s">
        <v>48</v>
      </c>
      <c r="H21" s="11"/>
    </row>
    <row r="22" spans="1:8" ht="14.4" x14ac:dyDescent="0.35">
      <c r="A22" s="11" t="s">
        <v>82</v>
      </c>
      <c r="B22" s="12">
        <v>5090</v>
      </c>
      <c r="C22" s="11" t="s">
        <v>92</v>
      </c>
      <c r="D22" s="13" t="s">
        <v>100</v>
      </c>
      <c r="E22" s="14">
        <v>46090</v>
      </c>
      <c r="F22" s="15" t="s">
        <v>6</v>
      </c>
      <c r="G22" s="15" t="s">
        <v>48</v>
      </c>
      <c r="H22" s="11"/>
    </row>
    <row r="23" spans="1:8" ht="14.4" x14ac:dyDescent="0.35">
      <c r="A23" s="11" t="s">
        <v>82</v>
      </c>
      <c r="B23" s="12">
        <v>5091</v>
      </c>
      <c r="C23" s="11" t="s">
        <v>93</v>
      </c>
      <c r="D23" s="13" t="s">
        <v>99</v>
      </c>
      <c r="E23" s="14">
        <v>46090</v>
      </c>
      <c r="F23" s="15" t="s">
        <v>6</v>
      </c>
      <c r="G23" s="15" t="s">
        <v>48</v>
      </c>
      <c r="H23" s="11"/>
    </row>
    <row r="24" spans="1:8" ht="14.4" x14ac:dyDescent="0.35">
      <c r="A24" s="11" t="s">
        <v>82</v>
      </c>
      <c r="B24" s="12">
        <v>5092</v>
      </c>
      <c r="C24" s="11" t="s">
        <v>95</v>
      </c>
      <c r="D24" s="13" t="s">
        <v>98</v>
      </c>
      <c r="E24" s="14">
        <v>46090</v>
      </c>
      <c r="F24" s="15" t="s">
        <v>6</v>
      </c>
      <c r="G24" s="15" t="s">
        <v>48</v>
      </c>
      <c r="H24" s="11"/>
    </row>
    <row r="25" spans="1:8" x14ac:dyDescent="0.35">
      <c r="A25" s="11" t="s">
        <v>82</v>
      </c>
      <c r="B25" s="12">
        <v>5093</v>
      </c>
      <c r="C25" s="11" t="s">
        <v>96</v>
      </c>
      <c r="D25" s="13" t="s">
        <v>97</v>
      </c>
      <c r="E25" s="14">
        <v>46090</v>
      </c>
      <c r="F25" s="15" t="s">
        <v>6</v>
      </c>
      <c r="G25" s="15" t="s">
        <v>48</v>
      </c>
      <c r="H25" s="11"/>
    </row>
    <row r="26" spans="1:8" x14ac:dyDescent="0.35">
      <c r="A26" s="11" t="s">
        <v>82</v>
      </c>
      <c r="B26" s="12">
        <v>5094</v>
      </c>
      <c r="C26" s="11" t="s">
        <v>125</v>
      </c>
      <c r="D26" s="13" t="s">
        <v>110</v>
      </c>
      <c r="E26" s="14">
        <v>46090</v>
      </c>
      <c r="F26" s="15" t="s">
        <v>6</v>
      </c>
      <c r="G26" s="15" t="s">
        <v>326</v>
      </c>
      <c r="H26" s="11"/>
    </row>
    <row r="27" spans="1:8" x14ac:dyDescent="0.35">
      <c r="A27" s="11" t="s">
        <v>82</v>
      </c>
      <c r="B27" s="12">
        <v>5095</v>
      </c>
      <c r="C27" s="11" t="s">
        <v>126</v>
      </c>
      <c r="D27" s="13" t="s">
        <v>111</v>
      </c>
      <c r="E27" s="14">
        <v>46090</v>
      </c>
      <c r="F27" s="15" t="s">
        <v>6</v>
      </c>
      <c r="G27" s="15" t="s">
        <v>326</v>
      </c>
      <c r="H27" s="11"/>
    </row>
    <row r="28" spans="1:8" x14ac:dyDescent="0.35">
      <c r="A28" s="11" t="s">
        <v>82</v>
      </c>
      <c r="B28" s="12">
        <v>5096</v>
      </c>
      <c r="C28" s="11" t="s">
        <v>127</v>
      </c>
      <c r="D28" s="13" t="s">
        <v>112</v>
      </c>
      <c r="E28" s="14">
        <v>46090</v>
      </c>
      <c r="F28" s="15" t="s">
        <v>6</v>
      </c>
      <c r="G28" s="15" t="s">
        <v>52</v>
      </c>
      <c r="H28" s="11"/>
    </row>
    <row r="29" spans="1:8" x14ac:dyDescent="0.35">
      <c r="A29" s="11" t="s">
        <v>74</v>
      </c>
      <c r="B29" s="12">
        <v>5097</v>
      </c>
      <c r="C29" s="11" t="s">
        <v>128</v>
      </c>
      <c r="D29" s="13" t="s">
        <v>113</v>
      </c>
      <c r="E29" s="14">
        <v>46090</v>
      </c>
      <c r="F29" s="15" t="s">
        <v>6</v>
      </c>
      <c r="G29" s="15" t="s">
        <v>52</v>
      </c>
      <c r="H29" s="11"/>
    </row>
    <row r="30" spans="1:8" x14ac:dyDescent="0.35">
      <c r="A30" s="11" t="s">
        <v>56</v>
      </c>
      <c r="B30" s="12">
        <v>5098</v>
      </c>
      <c r="C30" s="11" t="s">
        <v>129</v>
      </c>
      <c r="D30" s="13" t="s">
        <v>114</v>
      </c>
      <c r="E30" s="14">
        <v>46090</v>
      </c>
      <c r="F30" s="15" t="s">
        <v>6</v>
      </c>
      <c r="G30" s="15" t="s">
        <v>48</v>
      </c>
      <c r="H30" s="11"/>
    </row>
    <row r="31" spans="1:8" x14ac:dyDescent="0.35">
      <c r="A31" s="11" t="s">
        <v>56</v>
      </c>
      <c r="B31" s="12">
        <v>5100</v>
      </c>
      <c r="C31" s="11" t="s">
        <v>130</v>
      </c>
      <c r="D31" s="13" t="s">
        <v>115</v>
      </c>
      <c r="E31" s="14">
        <v>46090</v>
      </c>
      <c r="F31" s="15" t="s">
        <v>6</v>
      </c>
      <c r="G31" s="15" t="s">
        <v>52</v>
      </c>
      <c r="H31" s="11"/>
    </row>
    <row r="32" spans="1:8" x14ac:dyDescent="0.35">
      <c r="A32" s="11" t="s">
        <v>56</v>
      </c>
      <c r="B32" s="12">
        <v>3049</v>
      </c>
      <c r="C32" s="11" t="s">
        <v>131</v>
      </c>
      <c r="D32" s="13" t="s">
        <v>116</v>
      </c>
      <c r="E32" s="14">
        <v>46090</v>
      </c>
      <c r="F32" s="15" t="s">
        <v>12</v>
      </c>
      <c r="G32" s="15" t="s">
        <v>48</v>
      </c>
      <c r="H32" s="11"/>
    </row>
    <row r="33" spans="1:8" x14ac:dyDescent="0.35">
      <c r="A33" s="11" t="s">
        <v>56</v>
      </c>
      <c r="B33" s="12" t="s">
        <v>118</v>
      </c>
      <c r="C33" s="11"/>
      <c r="D33" s="13" t="s">
        <v>117</v>
      </c>
      <c r="E33" s="14">
        <v>46090</v>
      </c>
      <c r="F33" s="15" t="s">
        <v>6</v>
      </c>
      <c r="G33" s="15" t="s">
        <v>48</v>
      </c>
      <c r="H33" s="11"/>
    </row>
    <row r="34" spans="1:8" x14ac:dyDescent="0.35">
      <c r="A34" s="11" t="s">
        <v>56</v>
      </c>
      <c r="B34" s="12">
        <v>5101</v>
      </c>
      <c r="C34" s="11" t="s">
        <v>132</v>
      </c>
      <c r="D34" s="13" t="s">
        <v>119</v>
      </c>
      <c r="E34" s="14">
        <v>46090</v>
      </c>
      <c r="F34" s="15" t="s">
        <v>6</v>
      </c>
      <c r="G34" s="15" t="s">
        <v>48</v>
      </c>
      <c r="H34" s="11"/>
    </row>
    <row r="35" spans="1:8" x14ac:dyDescent="0.35">
      <c r="A35" s="11" t="s">
        <v>101</v>
      </c>
      <c r="B35" s="12">
        <v>4251</v>
      </c>
      <c r="C35" s="11" t="s">
        <v>102</v>
      </c>
      <c r="D35" s="13" t="s">
        <v>106</v>
      </c>
      <c r="E35" s="14">
        <v>46091</v>
      </c>
      <c r="F35" s="15" t="s">
        <v>12</v>
      </c>
      <c r="G35" s="15" t="s">
        <v>48</v>
      </c>
      <c r="H35" s="11"/>
    </row>
    <row r="36" spans="1:8" x14ac:dyDescent="0.35">
      <c r="A36" s="11" t="s">
        <v>101</v>
      </c>
      <c r="B36" s="12">
        <v>5110</v>
      </c>
      <c r="C36" s="11" t="s">
        <v>103</v>
      </c>
      <c r="D36" s="13" t="s">
        <v>107</v>
      </c>
      <c r="E36" s="14">
        <v>46091</v>
      </c>
      <c r="F36" s="15" t="s">
        <v>6</v>
      </c>
      <c r="G36" s="15" t="s">
        <v>48</v>
      </c>
      <c r="H36" s="11"/>
    </row>
    <row r="37" spans="1:8" x14ac:dyDescent="0.35">
      <c r="A37" s="11" t="s">
        <v>101</v>
      </c>
      <c r="B37" s="12">
        <v>5111</v>
      </c>
      <c r="C37" s="11" t="s">
        <v>104</v>
      </c>
      <c r="D37" s="13" t="s">
        <v>108</v>
      </c>
      <c r="E37" s="14">
        <v>46091</v>
      </c>
      <c r="F37" s="15" t="s">
        <v>6</v>
      </c>
      <c r="G37" s="15" t="s">
        <v>326</v>
      </c>
      <c r="H37" s="11" t="s">
        <v>152</v>
      </c>
    </row>
    <row r="38" spans="1:8" x14ac:dyDescent="0.35">
      <c r="A38" s="11" t="s">
        <v>101</v>
      </c>
      <c r="B38" s="12">
        <v>3404</v>
      </c>
      <c r="C38" s="11" t="s">
        <v>105</v>
      </c>
      <c r="D38" s="13" t="s">
        <v>109</v>
      </c>
      <c r="E38" s="14">
        <v>46091</v>
      </c>
      <c r="F38" s="15" t="s">
        <v>12</v>
      </c>
      <c r="G38" s="15" t="s">
        <v>48</v>
      </c>
      <c r="H38" s="11"/>
    </row>
    <row r="39" spans="1:8" x14ac:dyDescent="0.35">
      <c r="A39" s="11" t="s">
        <v>60</v>
      </c>
      <c r="B39" s="12">
        <v>5105</v>
      </c>
      <c r="C39" s="11" t="s">
        <v>133</v>
      </c>
      <c r="D39" s="13" t="s">
        <v>120</v>
      </c>
      <c r="E39" s="14">
        <v>46091</v>
      </c>
      <c r="F39" s="15" t="s">
        <v>6</v>
      </c>
      <c r="G39" s="15" t="s">
        <v>52</v>
      </c>
      <c r="H39" s="11"/>
    </row>
    <row r="40" spans="1:8" x14ac:dyDescent="0.35">
      <c r="A40" s="11" t="s">
        <v>56</v>
      </c>
      <c r="B40" s="12">
        <v>5105</v>
      </c>
      <c r="C40" s="11" t="s">
        <v>133</v>
      </c>
      <c r="D40" s="13" t="s">
        <v>120</v>
      </c>
      <c r="E40" s="14">
        <v>46091</v>
      </c>
      <c r="F40" s="15" t="s">
        <v>6</v>
      </c>
      <c r="G40" s="15" t="s">
        <v>52</v>
      </c>
      <c r="H40" s="11"/>
    </row>
    <row r="41" spans="1:8" x14ac:dyDescent="0.35">
      <c r="A41" s="11" t="s">
        <v>60</v>
      </c>
      <c r="B41" s="12">
        <v>5106</v>
      </c>
      <c r="C41" s="11" t="s">
        <v>134</v>
      </c>
      <c r="D41" s="13" t="s">
        <v>121</v>
      </c>
      <c r="E41" s="14">
        <v>46091</v>
      </c>
      <c r="F41" s="15" t="s">
        <v>6</v>
      </c>
      <c r="G41" s="15" t="s">
        <v>326</v>
      </c>
      <c r="H41" s="11"/>
    </row>
    <row r="42" spans="1:8" x14ac:dyDescent="0.35">
      <c r="A42" s="11" t="s">
        <v>60</v>
      </c>
      <c r="B42" s="12">
        <v>5107</v>
      </c>
      <c r="C42" s="11" t="s">
        <v>135</v>
      </c>
      <c r="D42" s="13" t="s">
        <v>122</v>
      </c>
      <c r="E42" s="14">
        <v>46091</v>
      </c>
      <c r="F42" s="15" t="s">
        <v>6</v>
      </c>
      <c r="G42" s="15" t="s">
        <v>326</v>
      </c>
      <c r="H42" s="11"/>
    </row>
    <row r="43" spans="1:8" x14ac:dyDescent="0.35">
      <c r="A43" s="11" t="s">
        <v>60</v>
      </c>
      <c r="B43" s="12">
        <v>5108</v>
      </c>
      <c r="C43" s="11" t="s">
        <v>136</v>
      </c>
      <c r="D43" s="13" t="s">
        <v>123</v>
      </c>
      <c r="E43" s="14">
        <v>46091</v>
      </c>
      <c r="F43" s="15" t="s">
        <v>6</v>
      </c>
      <c r="G43" s="15" t="s">
        <v>48</v>
      </c>
      <c r="H43" s="11"/>
    </row>
    <row r="44" spans="1:8" x14ac:dyDescent="0.35">
      <c r="A44" s="11" t="s">
        <v>63</v>
      </c>
      <c r="B44" s="12">
        <v>5109</v>
      </c>
      <c r="C44" s="11" t="s">
        <v>137</v>
      </c>
      <c r="D44" s="13" t="s">
        <v>124</v>
      </c>
      <c r="E44" s="14">
        <v>46091</v>
      </c>
      <c r="F44" s="15" t="s">
        <v>6</v>
      </c>
      <c r="G44" s="15" t="s">
        <v>54</v>
      </c>
      <c r="H44" s="11"/>
    </row>
    <row r="45" spans="1:8" x14ac:dyDescent="0.35">
      <c r="A45" s="11" t="s">
        <v>56</v>
      </c>
      <c r="B45" s="12">
        <v>5109</v>
      </c>
      <c r="C45" s="11" t="s">
        <v>137</v>
      </c>
      <c r="D45" s="13" t="s">
        <v>124</v>
      </c>
      <c r="E45" s="14">
        <v>46091</v>
      </c>
      <c r="F45" s="15" t="s">
        <v>6</v>
      </c>
      <c r="G45" s="15" t="s">
        <v>54</v>
      </c>
      <c r="H45" s="11"/>
    </row>
    <row r="46" spans="1:8" x14ac:dyDescent="0.35">
      <c r="A46" s="11" t="s">
        <v>101</v>
      </c>
      <c r="B46" s="12">
        <v>3621</v>
      </c>
      <c r="C46" s="11" t="s">
        <v>138</v>
      </c>
      <c r="D46" s="13" t="s">
        <v>145</v>
      </c>
      <c r="E46" s="14">
        <v>46091</v>
      </c>
      <c r="F46" s="15" t="s">
        <v>12</v>
      </c>
      <c r="G46" s="15" t="s">
        <v>48</v>
      </c>
      <c r="H46" s="11"/>
    </row>
    <row r="47" spans="1:8" x14ac:dyDescent="0.35">
      <c r="A47" s="11" t="s">
        <v>101</v>
      </c>
      <c r="B47" s="12">
        <v>5112</v>
      </c>
      <c r="C47" s="11" t="s">
        <v>139</v>
      </c>
      <c r="D47" s="13" t="s">
        <v>144</v>
      </c>
      <c r="E47" s="14">
        <v>46091</v>
      </c>
      <c r="F47" s="15" t="s">
        <v>6</v>
      </c>
      <c r="G47" s="15" t="s">
        <v>48</v>
      </c>
      <c r="H47" s="11"/>
    </row>
    <row r="48" spans="1:8" x14ac:dyDescent="0.35">
      <c r="A48" s="11" t="s">
        <v>101</v>
      </c>
      <c r="B48" s="12">
        <v>5113</v>
      </c>
      <c r="C48" s="11" t="s">
        <v>140</v>
      </c>
      <c r="D48" s="13" t="s">
        <v>143</v>
      </c>
      <c r="E48" s="14">
        <v>46091</v>
      </c>
      <c r="F48" s="15" t="s">
        <v>6</v>
      </c>
      <c r="G48" s="15" t="s">
        <v>48</v>
      </c>
      <c r="H48" s="11"/>
    </row>
    <row r="49" spans="1:8" x14ac:dyDescent="0.35">
      <c r="A49" s="11" t="s">
        <v>101</v>
      </c>
      <c r="B49" s="12">
        <v>5114</v>
      </c>
      <c r="C49" s="11" t="s">
        <v>141</v>
      </c>
      <c r="D49" s="13" t="s">
        <v>142</v>
      </c>
      <c r="E49" s="14">
        <v>46091</v>
      </c>
      <c r="F49" s="15" t="s">
        <v>6</v>
      </c>
      <c r="G49" s="15" t="s">
        <v>326</v>
      </c>
      <c r="H49" s="11"/>
    </row>
    <row r="50" spans="1:8" x14ac:dyDescent="0.35">
      <c r="A50" s="11" t="s">
        <v>56</v>
      </c>
      <c r="B50" s="12">
        <v>5115</v>
      </c>
      <c r="C50" s="11" t="s">
        <v>147</v>
      </c>
      <c r="D50" s="13" t="s">
        <v>146</v>
      </c>
      <c r="E50" s="14">
        <v>46092</v>
      </c>
      <c r="F50" s="15" t="s">
        <v>6</v>
      </c>
      <c r="G50" s="15" t="s">
        <v>49</v>
      </c>
      <c r="H50" s="11"/>
    </row>
    <row r="51" spans="1:8" x14ac:dyDescent="0.35">
      <c r="A51" s="11" t="s">
        <v>56</v>
      </c>
      <c r="B51" s="12">
        <v>4175</v>
      </c>
      <c r="C51" s="11" t="s">
        <v>149</v>
      </c>
      <c r="D51" s="13" t="s">
        <v>148</v>
      </c>
      <c r="E51" s="14">
        <v>46092</v>
      </c>
      <c r="F51" s="15" t="s">
        <v>12</v>
      </c>
      <c r="G51" s="15" t="s">
        <v>326</v>
      </c>
      <c r="H51" s="11"/>
    </row>
    <row r="52" spans="1:8" x14ac:dyDescent="0.35">
      <c r="A52" s="11" t="s">
        <v>56</v>
      </c>
      <c r="B52" s="12">
        <v>5116</v>
      </c>
      <c r="C52" s="11" t="s">
        <v>151</v>
      </c>
      <c r="D52" s="13" t="s">
        <v>150</v>
      </c>
      <c r="E52" s="14">
        <v>46092</v>
      </c>
      <c r="F52" s="15" t="s">
        <v>6</v>
      </c>
      <c r="G52" s="15" t="s">
        <v>48</v>
      </c>
      <c r="H52" s="11"/>
    </row>
    <row r="53" spans="1:8" x14ac:dyDescent="0.35">
      <c r="A53" s="11" t="s">
        <v>26</v>
      </c>
      <c r="B53" s="12">
        <v>5120</v>
      </c>
      <c r="C53" s="11" t="s">
        <v>153</v>
      </c>
      <c r="D53" s="13" t="s">
        <v>153</v>
      </c>
      <c r="E53" s="14">
        <v>46092</v>
      </c>
      <c r="F53" s="15" t="s">
        <v>6</v>
      </c>
      <c r="G53" s="15" t="s">
        <v>48</v>
      </c>
      <c r="H53" s="11"/>
    </row>
    <row r="54" spans="1:8" x14ac:dyDescent="0.35">
      <c r="A54" s="11" t="s">
        <v>4</v>
      </c>
      <c r="B54" s="12">
        <v>3838</v>
      </c>
      <c r="C54" s="11" t="s">
        <v>154</v>
      </c>
      <c r="D54" s="13" t="s">
        <v>163</v>
      </c>
      <c r="E54" s="14">
        <v>46092</v>
      </c>
      <c r="F54" s="15" t="s">
        <v>12</v>
      </c>
      <c r="G54" s="15" t="s">
        <v>48</v>
      </c>
      <c r="H54" s="11"/>
    </row>
    <row r="55" spans="1:8" x14ac:dyDescent="0.35">
      <c r="A55" s="11" t="s">
        <v>4</v>
      </c>
      <c r="B55" s="12">
        <v>4191</v>
      </c>
      <c r="C55" s="11" t="s">
        <v>155</v>
      </c>
      <c r="D55" s="13" t="s">
        <v>162</v>
      </c>
      <c r="E55" s="14">
        <v>46092</v>
      </c>
      <c r="F55" s="15" t="s">
        <v>12</v>
      </c>
      <c r="G55" s="15" t="s">
        <v>48</v>
      </c>
      <c r="H55" s="11"/>
    </row>
    <row r="56" spans="1:8" x14ac:dyDescent="0.35">
      <c r="A56" s="11" t="s">
        <v>4</v>
      </c>
      <c r="B56" s="12">
        <v>3600</v>
      </c>
      <c r="C56" s="11" t="s">
        <v>156</v>
      </c>
      <c r="D56" s="13" t="s">
        <v>161</v>
      </c>
      <c r="E56" s="14">
        <v>46092</v>
      </c>
      <c r="F56" s="15" t="s">
        <v>12</v>
      </c>
      <c r="G56" s="15" t="s">
        <v>48</v>
      </c>
      <c r="H56" s="11"/>
    </row>
    <row r="57" spans="1:8" x14ac:dyDescent="0.35">
      <c r="A57" s="11" t="s">
        <v>4</v>
      </c>
      <c r="B57" s="12">
        <v>5122</v>
      </c>
      <c r="C57" s="11" t="s">
        <v>157</v>
      </c>
      <c r="D57" s="13" t="s">
        <v>160</v>
      </c>
      <c r="E57" s="14">
        <v>46092</v>
      </c>
      <c r="F57" s="15" t="s">
        <v>6</v>
      </c>
      <c r="G57" s="15" t="s">
        <v>48</v>
      </c>
      <c r="H57" s="11"/>
    </row>
    <row r="58" spans="1:8" x14ac:dyDescent="0.35">
      <c r="A58" s="11" t="s">
        <v>4</v>
      </c>
      <c r="B58" s="12">
        <v>5121</v>
      </c>
      <c r="C58" s="11" t="s">
        <v>158</v>
      </c>
      <c r="D58" s="13" t="s">
        <v>159</v>
      </c>
      <c r="E58" s="14">
        <v>46092</v>
      </c>
      <c r="F58" s="15" t="s">
        <v>6</v>
      </c>
      <c r="G58" s="15" t="s">
        <v>48</v>
      </c>
      <c r="H58" s="11"/>
    </row>
    <row r="59" spans="1:8" x14ac:dyDescent="0.35">
      <c r="A59" s="11" t="s">
        <v>56</v>
      </c>
      <c r="B59" s="12">
        <v>4175</v>
      </c>
      <c r="C59" s="11" t="s">
        <v>149</v>
      </c>
      <c r="D59" s="13" t="s">
        <v>148</v>
      </c>
      <c r="E59" s="14">
        <v>46092</v>
      </c>
      <c r="F59" s="15" t="s">
        <v>12</v>
      </c>
      <c r="G59" s="15" t="s">
        <v>48</v>
      </c>
      <c r="H59" s="11"/>
    </row>
    <row r="60" spans="1:8" x14ac:dyDescent="0.35">
      <c r="A60" s="11" t="s">
        <v>4</v>
      </c>
      <c r="B60" s="12">
        <v>718</v>
      </c>
      <c r="C60" s="11" t="s">
        <v>164</v>
      </c>
      <c r="D60" s="13" t="s">
        <v>165</v>
      </c>
      <c r="E60" s="14">
        <v>46093</v>
      </c>
      <c r="F60" s="15" t="s">
        <v>12</v>
      </c>
      <c r="G60" s="15" t="s">
        <v>48</v>
      </c>
      <c r="H60" s="11"/>
    </row>
    <row r="61" spans="1:8" x14ac:dyDescent="0.35">
      <c r="A61" s="11" t="s">
        <v>82</v>
      </c>
      <c r="B61" s="12">
        <v>5123</v>
      </c>
      <c r="C61" s="11" t="s">
        <v>125</v>
      </c>
      <c r="D61" s="13" t="s">
        <v>110</v>
      </c>
      <c r="E61" s="14">
        <v>46093</v>
      </c>
      <c r="F61" s="15" t="s">
        <v>6</v>
      </c>
      <c r="G61" s="15" t="s">
        <v>47</v>
      </c>
      <c r="H61" s="11"/>
    </row>
    <row r="62" spans="1:8" x14ac:dyDescent="0.35">
      <c r="A62" s="11" t="s">
        <v>82</v>
      </c>
      <c r="B62" s="12">
        <v>5124</v>
      </c>
      <c r="C62" s="11" t="s">
        <v>166</v>
      </c>
      <c r="D62" s="13" t="s">
        <v>169</v>
      </c>
      <c r="E62" s="14">
        <v>46093</v>
      </c>
      <c r="F62" s="15" t="s">
        <v>6</v>
      </c>
      <c r="G62" s="15" t="s">
        <v>47</v>
      </c>
      <c r="H62" s="11"/>
    </row>
    <row r="63" spans="1:8" x14ac:dyDescent="0.35">
      <c r="A63" s="11" t="s">
        <v>82</v>
      </c>
      <c r="B63" s="12">
        <v>5095</v>
      </c>
      <c r="C63" s="11" t="s">
        <v>167</v>
      </c>
      <c r="D63" s="13" t="s">
        <v>111</v>
      </c>
      <c r="E63" s="14">
        <v>46093</v>
      </c>
      <c r="F63" s="15" t="s">
        <v>12</v>
      </c>
      <c r="G63" s="15" t="s">
        <v>47</v>
      </c>
      <c r="H63" s="11"/>
    </row>
    <row r="64" spans="1:8" x14ac:dyDescent="0.35">
      <c r="A64" s="11" t="s">
        <v>82</v>
      </c>
      <c r="B64" s="12">
        <v>5125</v>
      </c>
      <c r="C64" s="11" t="s">
        <v>168</v>
      </c>
      <c r="D64" s="13" t="s">
        <v>170</v>
      </c>
      <c r="E64" s="14">
        <v>46093</v>
      </c>
      <c r="F64" s="15" t="s">
        <v>6</v>
      </c>
      <c r="G64" s="15" t="s">
        <v>47</v>
      </c>
      <c r="H64" s="11"/>
    </row>
    <row r="65" spans="1:8" x14ac:dyDescent="0.35">
      <c r="A65" s="11" t="s">
        <v>82</v>
      </c>
      <c r="B65" s="12">
        <v>5126</v>
      </c>
      <c r="C65" s="11" t="s">
        <v>172</v>
      </c>
      <c r="D65" s="13" t="s">
        <v>176</v>
      </c>
      <c r="E65" s="14">
        <v>46093</v>
      </c>
      <c r="F65" s="15" t="s">
        <v>6</v>
      </c>
      <c r="G65" s="15" t="s">
        <v>47</v>
      </c>
      <c r="H65" s="11"/>
    </row>
    <row r="66" spans="1:8" x14ac:dyDescent="0.35">
      <c r="A66" s="11" t="s">
        <v>82</v>
      </c>
      <c r="B66" s="12">
        <v>2782</v>
      </c>
      <c r="C66" s="11" t="s">
        <v>171</v>
      </c>
      <c r="D66" s="13" t="s">
        <v>175</v>
      </c>
      <c r="E66" s="14">
        <v>46093</v>
      </c>
      <c r="F66" s="15" t="s">
        <v>12</v>
      </c>
      <c r="G66" s="15" t="s">
        <v>47</v>
      </c>
      <c r="H66" s="11"/>
    </row>
    <row r="67" spans="1:8" x14ac:dyDescent="0.35">
      <c r="A67" s="11" t="s">
        <v>82</v>
      </c>
      <c r="B67" s="12">
        <v>5127</v>
      </c>
      <c r="C67" s="11" t="s">
        <v>173</v>
      </c>
      <c r="D67" s="13" t="s">
        <v>174</v>
      </c>
      <c r="E67" s="14">
        <v>46093</v>
      </c>
      <c r="F67" s="15" t="s">
        <v>6</v>
      </c>
      <c r="G67" s="15" t="s">
        <v>47</v>
      </c>
      <c r="H67" s="11"/>
    </row>
    <row r="68" spans="1:8" x14ac:dyDescent="0.35">
      <c r="A68" s="11" t="s">
        <v>4</v>
      </c>
      <c r="B68" s="12">
        <v>2747</v>
      </c>
      <c r="C68" s="11" t="s">
        <v>177</v>
      </c>
      <c r="D68" s="13" t="s">
        <v>178</v>
      </c>
      <c r="E68" s="14">
        <v>46093</v>
      </c>
      <c r="F68" s="15" t="s">
        <v>12</v>
      </c>
      <c r="G68" s="15" t="s">
        <v>48</v>
      </c>
      <c r="H68" s="11"/>
    </row>
    <row r="69" spans="1:8" x14ac:dyDescent="0.35">
      <c r="A69" s="11" t="s">
        <v>101</v>
      </c>
      <c r="B69" s="12">
        <v>1978</v>
      </c>
      <c r="C69" s="11" t="s">
        <v>179</v>
      </c>
      <c r="D69" s="13" t="s">
        <v>180</v>
      </c>
      <c r="E69" s="14">
        <v>46093</v>
      </c>
      <c r="F69" s="15" t="s">
        <v>12</v>
      </c>
      <c r="G69" s="15" t="s">
        <v>326</v>
      </c>
      <c r="H69" s="11"/>
    </row>
    <row r="70" spans="1:8" x14ac:dyDescent="0.35">
      <c r="A70" s="11" t="s">
        <v>182</v>
      </c>
      <c r="B70" s="12">
        <v>5128</v>
      </c>
      <c r="C70" s="11" t="s">
        <v>181</v>
      </c>
      <c r="D70" s="13" t="s">
        <v>183</v>
      </c>
      <c r="E70" s="14">
        <v>46094</v>
      </c>
      <c r="F70" s="15" t="s">
        <v>6</v>
      </c>
      <c r="G70" s="15" t="s">
        <v>48</v>
      </c>
      <c r="H70" s="11"/>
    </row>
    <row r="71" spans="1:8" x14ac:dyDescent="0.35">
      <c r="A71" s="11" t="s">
        <v>26</v>
      </c>
      <c r="B71" s="12">
        <v>5130</v>
      </c>
      <c r="C71" s="11" t="s">
        <v>185</v>
      </c>
      <c r="D71" s="13" t="s">
        <v>184</v>
      </c>
      <c r="E71" s="14">
        <v>46094</v>
      </c>
      <c r="F71" s="15" t="s">
        <v>6</v>
      </c>
      <c r="G71" s="15" t="s">
        <v>48</v>
      </c>
      <c r="H71" s="11"/>
    </row>
    <row r="72" spans="1:8" x14ac:dyDescent="0.35">
      <c r="A72" s="11" t="s">
        <v>26</v>
      </c>
      <c r="B72" s="12">
        <v>379</v>
      </c>
      <c r="C72" s="11" t="s">
        <v>187</v>
      </c>
      <c r="D72" s="13" t="s">
        <v>186</v>
      </c>
      <c r="E72" s="14">
        <v>46094</v>
      </c>
      <c r="F72" s="15" t="s">
        <v>12</v>
      </c>
      <c r="G72" s="15" t="s">
        <v>48</v>
      </c>
      <c r="H72" s="11"/>
    </row>
    <row r="73" spans="1:8" x14ac:dyDescent="0.35">
      <c r="A73" s="11" t="s">
        <v>26</v>
      </c>
      <c r="B73" s="12">
        <v>2962</v>
      </c>
      <c r="C73" s="11" t="s">
        <v>25</v>
      </c>
      <c r="D73" s="13" t="s">
        <v>27</v>
      </c>
      <c r="E73" s="14">
        <v>46094</v>
      </c>
      <c r="F73" s="15" t="s">
        <v>12</v>
      </c>
      <c r="G73" s="15" t="s">
        <v>53</v>
      </c>
      <c r="H73" s="11"/>
    </row>
    <row r="74" spans="1:8" x14ac:dyDescent="0.35">
      <c r="A74" s="11" t="s">
        <v>188</v>
      </c>
      <c r="B74" s="12">
        <v>5131</v>
      </c>
      <c r="C74" s="11" t="s">
        <v>189</v>
      </c>
      <c r="D74" s="13" t="s">
        <v>190</v>
      </c>
      <c r="E74" s="14">
        <v>46097</v>
      </c>
      <c r="F74" s="15" t="s">
        <v>6</v>
      </c>
      <c r="G74" s="15" t="s">
        <v>48</v>
      </c>
      <c r="H74" s="11"/>
    </row>
    <row r="75" spans="1:8" x14ac:dyDescent="0.35">
      <c r="A75" s="11" t="s">
        <v>188</v>
      </c>
      <c r="B75" s="12">
        <v>5132</v>
      </c>
      <c r="C75" s="11" t="s">
        <v>191</v>
      </c>
      <c r="D75" s="13" t="s">
        <v>192</v>
      </c>
      <c r="E75" s="14">
        <v>46097</v>
      </c>
      <c r="F75" s="15" t="s">
        <v>6</v>
      </c>
      <c r="G75" s="15" t="s">
        <v>48</v>
      </c>
      <c r="H75" s="11"/>
    </row>
    <row r="76" spans="1:8" x14ac:dyDescent="0.35">
      <c r="A76" s="11" t="s">
        <v>188</v>
      </c>
      <c r="B76" s="12">
        <v>5133</v>
      </c>
      <c r="C76" s="11" t="s">
        <v>193</v>
      </c>
      <c r="D76" s="13" t="s">
        <v>194</v>
      </c>
      <c r="E76" s="14">
        <v>46097</v>
      </c>
      <c r="F76" s="15" t="s">
        <v>6</v>
      </c>
      <c r="G76" s="15" t="s">
        <v>48</v>
      </c>
      <c r="H76" s="11"/>
    </row>
    <row r="77" spans="1:8" x14ac:dyDescent="0.35">
      <c r="A77" s="11" t="s">
        <v>188</v>
      </c>
      <c r="B77" s="12">
        <v>5134</v>
      </c>
      <c r="C77" s="11" t="s">
        <v>195</v>
      </c>
      <c r="D77" s="13" t="s">
        <v>196</v>
      </c>
      <c r="E77" s="14">
        <v>46097</v>
      </c>
      <c r="F77" s="15" t="s">
        <v>6</v>
      </c>
      <c r="G77" s="15" t="s">
        <v>48</v>
      </c>
      <c r="H77" s="11"/>
    </row>
    <row r="78" spans="1:8" x14ac:dyDescent="0.35">
      <c r="A78" s="11" t="s">
        <v>188</v>
      </c>
      <c r="B78" s="12">
        <v>5135</v>
      </c>
      <c r="C78" s="11" t="s">
        <v>197</v>
      </c>
      <c r="D78" s="13" t="s">
        <v>198</v>
      </c>
      <c r="E78" s="14">
        <v>46097</v>
      </c>
      <c r="F78" s="15" t="s">
        <v>6</v>
      </c>
      <c r="G78" s="15" t="s">
        <v>48</v>
      </c>
      <c r="H78" s="11"/>
    </row>
    <row r="79" spans="1:8" x14ac:dyDescent="0.35">
      <c r="A79" s="11" t="s">
        <v>188</v>
      </c>
      <c r="B79" s="12">
        <v>5136</v>
      </c>
      <c r="C79" s="11" t="s">
        <v>199</v>
      </c>
      <c r="D79" s="13" t="s">
        <v>200</v>
      </c>
      <c r="E79" s="14">
        <v>46097</v>
      </c>
      <c r="F79" s="15" t="s">
        <v>6</v>
      </c>
      <c r="G79" s="15" t="s">
        <v>48</v>
      </c>
      <c r="H79" s="11"/>
    </row>
    <row r="80" spans="1:8" x14ac:dyDescent="0.35">
      <c r="A80" s="11" t="s">
        <v>188</v>
      </c>
      <c r="B80" s="12">
        <v>5137</v>
      </c>
      <c r="C80" s="11" t="s">
        <v>201</v>
      </c>
      <c r="D80" s="13" t="s">
        <v>202</v>
      </c>
      <c r="E80" s="14">
        <v>46097</v>
      </c>
      <c r="F80" s="15" t="s">
        <v>6</v>
      </c>
      <c r="G80" s="15" t="s">
        <v>53</v>
      </c>
      <c r="H80" s="11"/>
    </row>
    <row r="81" spans="1:8" x14ac:dyDescent="0.35">
      <c r="A81" s="11" t="s">
        <v>188</v>
      </c>
      <c r="B81" s="12">
        <v>3733</v>
      </c>
      <c r="C81" s="11" t="s">
        <v>203</v>
      </c>
      <c r="D81" s="13" t="s">
        <v>204</v>
      </c>
      <c r="E81" s="14">
        <v>46097</v>
      </c>
      <c r="F81" s="15" t="s">
        <v>12</v>
      </c>
      <c r="G81" s="15" t="s">
        <v>48</v>
      </c>
      <c r="H81" s="11"/>
    </row>
    <row r="82" spans="1:8" x14ac:dyDescent="0.35">
      <c r="A82" s="11" t="s">
        <v>188</v>
      </c>
      <c r="B82" s="12">
        <v>5138</v>
      </c>
      <c r="C82" s="11" t="s">
        <v>205</v>
      </c>
      <c r="D82" s="13" t="s">
        <v>206</v>
      </c>
      <c r="E82" s="14">
        <v>46097</v>
      </c>
      <c r="F82" s="15" t="s">
        <v>6</v>
      </c>
      <c r="G82" s="15" t="s">
        <v>48</v>
      </c>
      <c r="H82" s="11"/>
    </row>
    <row r="83" spans="1:8" x14ac:dyDescent="0.35">
      <c r="A83" s="11" t="s">
        <v>188</v>
      </c>
      <c r="B83" s="12">
        <v>2160</v>
      </c>
      <c r="C83" s="11" t="s">
        <v>207</v>
      </c>
      <c r="D83" s="13" t="s">
        <v>208</v>
      </c>
      <c r="E83" s="14">
        <v>46097</v>
      </c>
      <c r="F83" s="15" t="s">
        <v>12</v>
      </c>
      <c r="G83" s="15" t="s">
        <v>48</v>
      </c>
      <c r="H83" s="11"/>
    </row>
    <row r="84" spans="1:8" x14ac:dyDescent="0.35">
      <c r="A84" s="11" t="s">
        <v>188</v>
      </c>
      <c r="B84" s="12">
        <v>5139</v>
      </c>
      <c r="C84" s="11" t="s">
        <v>209</v>
      </c>
      <c r="D84" s="13" t="s">
        <v>210</v>
      </c>
      <c r="E84" s="14">
        <v>46097</v>
      </c>
      <c r="F84" s="15" t="s">
        <v>6</v>
      </c>
      <c r="G84" s="15" t="s">
        <v>48</v>
      </c>
      <c r="H84" s="11"/>
    </row>
    <row r="85" spans="1:8" x14ac:dyDescent="0.35">
      <c r="A85" s="11" t="s">
        <v>182</v>
      </c>
      <c r="B85" s="12">
        <v>5140</v>
      </c>
      <c r="C85" s="11" t="s">
        <v>255</v>
      </c>
      <c r="D85" s="13" t="s">
        <v>237</v>
      </c>
      <c r="E85" s="14">
        <v>46097</v>
      </c>
      <c r="F85" s="15" t="s">
        <v>6</v>
      </c>
      <c r="G85" s="15" t="s">
        <v>52</v>
      </c>
      <c r="H85" s="11"/>
    </row>
    <row r="86" spans="1:8" x14ac:dyDescent="0.35">
      <c r="A86" s="11" t="s">
        <v>182</v>
      </c>
      <c r="B86" s="12">
        <v>5141</v>
      </c>
      <c r="C86" s="11" t="s">
        <v>256</v>
      </c>
      <c r="D86" s="13" t="s">
        <v>238</v>
      </c>
      <c r="E86" s="14">
        <v>46097</v>
      </c>
      <c r="F86" s="15" t="s">
        <v>6</v>
      </c>
      <c r="G86" s="15" t="s">
        <v>48</v>
      </c>
      <c r="H86" s="11"/>
    </row>
    <row r="87" spans="1:8" x14ac:dyDescent="0.35">
      <c r="A87" s="11" t="s">
        <v>182</v>
      </c>
      <c r="B87" s="12">
        <v>5142</v>
      </c>
      <c r="C87" s="11" t="s">
        <v>257</v>
      </c>
      <c r="D87" s="13" t="s">
        <v>239</v>
      </c>
      <c r="E87" s="14">
        <v>46097</v>
      </c>
      <c r="F87" s="15" t="s">
        <v>6</v>
      </c>
      <c r="G87" s="15" t="s">
        <v>48</v>
      </c>
      <c r="H87" s="11"/>
    </row>
    <row r="88" spans="1:8" x14ac:dyDescent="0.35">
      <c r="A88" s="11" t="s">
        <v>182</v>
      </c>
      <c r="B88" s="12">
        <v>5143</v>
      </c>
      <c r="C88" s="11" t="s">
        <v>258</v>
      </c>
      <c r="D88" s="13" t="s">
        <v>240</v>
      </c>
      <c r="E88" s="14">
        <v>46097</v>
      </c>
      <c r="F88" s="15" t="s">
        <v>6</v>
      </c>
      <c r="G88" s="15" t="s">
        <v>48</v>
      </c>
      <c r="H88" s="11"/>
    </row>
    <row r="89" spans="1:8" x14ac:dyDescent="0.35">
      <c r="A89" s="11" t="s">
        <v>241</v>
      </c>
      <c r="B89" s="12">
        <v>5144</v>
      </c>
      <c r="C89" s="11" t="s">
        <v>259</v>
      </c>
      <c r="D89" s="13" t="s">
        <v>242</v>
      </c>
      <c r="E89" s="14">
        <v>46097</v>
      </c>
      <c r="F89" s="15" t="s">
        <v>6</v>
      </c>
      <c r="G89" s="15" t="s">
        <v>48</v>
      </c>
      <c r="H89" s="11"/>
    </row>
    <row r="90" spans="1:8" x14ac:dyDescent="0.35">
      <c r="A90" s="11" t="s">
        <v>241</v>
      </c>
      <c r="B90" s="12">
        <v>5145</v>
      </c>
      <c r="C90" s="11" t="s">
        <v>260</v>
      </c>
      <c r="D90" s="13" t="s">
        <v>243</v>
      </c>
      <c r="E90" s="14">
        <v>46097</v>
      </c>
      <c r="F90" s="15" t="s">
        <v>6</v>
      </c>
      <c r="G90" s="15" t="s">
        <v>48</v>
      </c>
      <c r="H90" s="11"/>
    </row>
    <row r="91" spans="1:8" x14ac:dyDescent="0.35">
      <c r="A91" s="11" t="s">
        <v>188</v>
      </c>
      <c r="B91" s="12">
        <v>5146</v>
      </c>
      <c r="C91" s="11" t="s">
        <v>230</v>
      </c>
      <c r="D91" s="13" t="s">
        <v>218</v>
      </c>
      <c r="E91" s="14">
        <v>46097</v>
      </c>
      <c r="F91" s="15" t="s">
        <v>6</v>
      </c>
      <c r="G91" s="15" t="s">
        <v>48</v>
      </c>
      <c r="H91" s="11"/>
    </row>
    <row r="92" spans="1:8" x14ac:dyDescent="0.35">
      <c r="A92" s="11" t="s">
        <v>188</v>
      </c>
      <c r="B92" s="12">
        <v>5148</v>
      </c>
      <c r="C92" s="11" t="s">
        <v>261</v>
      </c>
      <c r="D92" s="13" t="s">
        <v>244</v>
      </c>
      <c r="E92" s="14">
        <v>46097</v>
      </c>
      <c r="F92" s="15" t="s">
        <v>6</v>
      </c>
      <c r="G92" s="15" t="s">
        <v>48</v>
      </c>
      <c r="H92" s="11"/>
    </row>
    <row r="93" spans="1:8" x14ac:dyDescent="0.35">
      <c r="A93" s="11" t="s">
        <v>188</v>
      </c>
      <c r="B93" s="12">
        <v>5149</v>
      </c>
      <c r="C93" s="11" t="s">
        <v>262</v>
      </c>
      <c r="D93" s="13" t="s">
        <v>245</v>
      </c>
      <c r="E93" s="14">
        <v>46097</v>
      </c>
      <c r="F93" s="15" t="s">
        <v>6</v>
      </c>
      <c r="G93" s="15" t="s">
        <v>48</v>
      </c>
      <c r="H93" s="11"/>
    </row>
    <row r="94" spans="1:8" x14ac:dyDescent="0.35">
      <c r="A94" s="11" t="s">
        <v>188</v>
      </c>
      <c r="B94" s="12">
        <v>5149</v>
      </c>
      <c r="C94" s="11" t="s">
        <v>223</v>
      </c>
      <c r="D94" s="13" t="s">
        <v>211</v>
      </c>
      <c r="E94" s="14">
        <v>46098</v>
      </c>
      <c r="F94" s="15" t="s">
        <v>6</v>
      </c>
      <c r="G94" s="15" t="s">
        <v>48</v>
      </c>
      <c r="H94" s="11"/>
    </row>
    <row r="95" spans="1:8" x14ac:dyDescent="0.35">
      <c r="A95" s="11" t="s">
        <v>188</v>
      </c>
      <c r="B95" s="12">
        <v>5151</v>
      </c>
      <c r="C95" s="11" t="s">
        <v>224</v>
      </c>
      <c r="D95" s="13" t="s">
        <v>212</v>
      </c>
      <c r="E95" s="14">
        <v>46098</v>
      </c>
      <c r="F95" s="15" t="s">
        <v>6</v>
      </c>
      <c r="G95" s="15" t="s">
        <v>48</v>
      </c>
      <c r="H95" s="11"/>
    </row>
    <row r="96" spans="1:8" x14ac:dyDescent="0.35">
      <c r="A96" s="11" t="s">
        <v>188</v>
      </c>
      <c r="B96" s="12">
        <v>660</v>
      </c>
      <c r="C96" s="11" t="s">
        <v>225</v>
      </c>
      <c r="D96" s="13" t="s">
        <v>213</v>
      </c>
      <c r="E96" s="14">
        <v>46098</v>
      </c>
      <c r="F96" s="15" t="s">
        <v>12</v>
      </c>
      <c r="G96" s="15" t="s">
        <v>48</v>
      </c>
      <c r="H96" s="11"/>
    </row>
    <row r="97" spans="1:8" x14ac:dyDescent="0.35">
      <c r="A97" s="11" t="s">
        <v>188</v>
      </c>
      <c r="B97" s="12">
        <v>5152</v>
      </c>
      <c r="C97" s="11" t="s">
        <v>226</v>
      </c>
      <c r="D97" s="13" t="s">
        <v>214</v>
      </c>
      <c r="E97" s="14">
        <v>46098</v>
      </c>
      <c r="F97" s="15" t="s">
        <v>6</v>
      </c>
      <c r="G97" s="15" t="s">
        <v>48</v>
      </c>
      <c r="H97" s="11"/>
    </row>
    <row r="98" spans="1:8" x14ac:dyDescent="0.35">
      <c r="A98" s="11" t="s">
        <v>188</v>
      </c>
      <c r="B98" s="12">
        <v>5154</v>
      </c>
      <c r="C98" s="11" t="s">
        <v>227</v>
      </c>
      <c r="D98" s="13" t="s">
        <v>215</v>
      </c>
      <c r="E98" s="14">
        <v>46098</v>
      </c>
      <c r="F98" s="15" t="s">
        <v>6</v>
      </c>
      <c r="G98" s="15" t="s">
        <v>48</v>
      </c>
      <c r="H98" s="11"/>
    </row>
    <row r="99" spans="1:8" x14ac:dyDescent="0.35">
      <c r="A99" s="11" t="s">
        <v>188</v>
      </c>
      <c r="B99" s="12">
        <v>5155</v>
      </c>
      <c r="C99" s="11" t="s">
        <v>228</v>
      </c>
      <c r="D99" s="13" t="s">
        <v>216</v>
      </c>
      <c r="E99" s="14">
        <v>46098</v>
      </c>
      <c r="F99" s="15" t="s">
        <v>6</v>
      </c>
      <c r="G99" s="15" t="s">
        <v>53</v>
      </c>
      <c r="H99" s="11"/>
    </row>
    <row r="100" spans="1:8" x14ac:dyDescent="0.35">
      <c r="A100" s="11" t="s">
        <v>188</v>
      </c>
      <c r="B100" s="12">
        <v>3567</v>
      </c>
      <c r="C100" s="11" t="s">
        <v>229</v>
      </c>
      <c r="D100" s="13" t="s">
        <v>217</v>
      </c>
      <c r="E100" s="14">
        <v>46098</v>
      </c>
      <c r="F100" s="15" t="s">
        <v>12</v>
      </c>
      <c r="G100" s="15" t="s">
        <v>48</v>
      </c>
      <c r="H100" s="11"/>
    </row>
    <row r="101" spans="1:8" x14ac:dyDescent="0.35">
      <c r="A101" s="11" t="s">
        <v>188</v>
      </c>
      <c r="B101" s="12">
        <v>5146</v>
      </c>
      <c r="C101" s="11" t="s">
        <v>230</v>
      </c>
      <c r="D101" s="13" t="s">
        <v>218</v>
      </c>
      <c r="E101" s="14">
        <v>46098</v>
      </c>
      <c r="F101" s="15" t="s">
        <v>6</v>
      </c>
      <c r="G101" s="15" t="s">
        <v>48</v>
      </c>
      <c r="H101" s="11"/>
    </row>
    <row r="102" spans="1:8" x14ac:dyDescent="0.35">
      <c r="A102" s="11" t="s">
        <v>188</v>
      </c>
      <c r="B102" s="12">
        <v>5158</v>
      </c>
      <c r="C102" s="11" t="s">
        <v>231</v>
      </c>
      <c r="D102" s="13" t="s">
        <v>219</v>
      </c>
      <c r="E102" s="14">
        <v>46098</v>
      </c>
      <c r="F102" s="15" t="s">
        <v>6</v>
      </c>
      <c r="G102" s="15" t="s">
        <v>48</v>
      </c>
      <c r="H102" s="11"/>
    </row>
    <row r="103" spans="1:8" x14ac:dyDescent="0.35">
      <c r="A103" s="11" t="s">
        <v>188</v>
      </c>
      <c r="B103" s="12">
        <v>5159</v>
      </c>
      <c r="C103" s="11" t="s">
        <v>232</v>
      </c>
      <c r="D103" s="13" t="s">
        <v>220</v>
      </c>
      <c r="E103" s="14">
        <v>46098</v>
      </c>
      <c r="F103" s="15" t="s">
        <v>6</v>
      </c>
      <c r="G103" s="15" t="s">
        <v>48</v>
      </c>
      <c r="H103" s="11"/>
    </row>
    <row r="104" spans="1:8" x14ac:dyDescent="0.35">
      <c r="A104" s="11" t="s">
        <v>188</v>
      </c>
      <c r="B104" s="12">
        <v>5031</v>
      </c>
      <c r="C104" s="11" t="s">
        <v>233</v>
      </c>
      <c r="D104" s="13" t="s">
        <v>221</v>
      </c>
      <c r="E104" s="14">
        <v>46098</v>
      </c>
      <c r="F104" s="15" t="s">
        <v>12</v>
      </c>
      <c r="G104" s="15" t="s">
        <v>48</v>
      </c>
      <c r="H104" s="11"/>
    </row>
    <row r="105" spans="1:8" x14ac:dyDescent="0.35">
      <c r="A105" s="11" t="s">
        <v>188</v>
      </c>
      <c r="B105" s="12">
        <v>2422</v>
      </c>
      <c r="C105" s="11" t="s">
        <v>234</v>
      </c>
      <c r="D105" s="13" t="s">
        <v>222</v>
      </c>
      <c r="E105" s="14">
        <v>46098</v>
      </c>
      <c r="F105" s="15" t="s">
        <v>12</v>
      </c>
      <c r="G105" s="15" t="s">
        <v>326</v>
      </c>
      <c r="H105" s="11" t="s">
        <v>270</v>
      </c>
    </row>
    <row r="106" spans="1:8" x14ac:dyDescent="0.35">
      <c r="A106" s="11" t="s">
        <v>26</v>
      </c>
      <c r="B106" s="12">
        <v>3465</v>
      </c>
      <c r="C106" s="11" t="s">
        <v>235</v>
      </c>
      <c r="D106" s="13" t="s">
        <v>236</v>
      </c>
      <c r="E106" s="14">
        <v>46098</v>
      </c>
      <c r="F106" s="15" t="s">
        <v>12</v>
      </c>
      <c r="G106" s="15" t="s">
        <v>326</v>
      </c>
      <c r="H106" s="11" t="s">
        <v>290</v>
      </c>
    </row>
    <row r="107" spans="1:8" x14ac:dyDescent="0.35">
      <c r="A107" s="11" t="s">
        <v>60</v>
      </c>
      <c r="B107" s="12">
        <v>3095</v>
      </c>
      <c r="C107" s="11" t="s">
        <v>269</v>
      </c>
      <c r="D107" s="13" t="s">
        <v>246</v>
      </c>
      <c r="E107" s="14">
        <v>46098</v>
      </c>
      <c r="F107" s="15" t="s">
        <v>12</v>
      </c>
      <c r="G107" s="15" t="s">
        <v>54</v>
      </c>
      <c r="H107" s="11"/>
    </row>
    <row r="108" spans="1:8" x14ac:dyDescent="0.35">
      <c r="A108" s="11" t="s">
        <v>188</v>
      </c>
      <c r="B108" s="12">
        <v>5151</v>
      </c>
      <c r="C108" s="11" t="s">
        <v>224</v>
      </c>
      <c r="D108" s="13" t="s">
        <v>247</v>
      </c>
      <c r="E108" s="14">
        <v>46098</v>
      </c>
      <c r="F108" s="15" t="s">
        <v>6</v>
      </c>
      <c r="G108" s="15" t="s">
        <v>48</v>
      </c>
      <c r="H108" s="11"/>
    </row>
    <row r="109" spans="1:8" x14ac:dyDescent="0.35">
      <c r="A109" s="11" t="s">
        <v>188</v>
      </c>
      <c r="B109" s="12">
        <v>5153</v>
      </c>
      <c r="C109" s="11" t="s">
        <v>263</v>
      </c>
      <c r="D109" s="13" t="s">
        <v>248</v>
      </c>
      <c r="E109" s="14">
        <v>46098</v>
      </c>
      <c r="F109" s="15" t="s">
        <v>6</v>
      </c>
      <c r="G109" s="15" t="s">
        <v>48</v>
      </c>
      <c r="H109" s="11"/>
    </row>
    <row r="110" spans="1:8" x14ac:dyDescent="0.35">
      <c r="A110" s="11" t="s">
        <v>188</v>
      </c>
      <c r="B110" s="12">
        <v>5156</v>
      </c>
      <c r="C110" s="11" t="s">
        <v>264</v>
      </c>
      <c r="D110" s="13" t="s">
        <v>249</v>
      </c>
      <c r="E110" s="14">
        <v>46098</v>
      </c>
      <c r="F110" s="15" t="s">
        <v>6</v>
      </c>
      <c r="G110" s="15" t="s">
        <v>326</v>
      </c>
      <c r="H110" s="11"/>
    </row>
    <row r="111" spans="1:8" x14ac:dyDescent="0.35">
      <c r="A111" s="11" t="s">
        <v>188</v>
      </c>
      <c r="B111" s="12">
        <v>5157</v>
      </c>
      <c r="C111" s="11" t="s">
        <v>265</v>
      </c>
      <c r="D111" s="13" t="s">
        <v>250</v>
      </c>
      <c r="E111" s="14">
        <v>46098</v>
      </c>
      <c r="F111" s="15" t="s">
        <v>6</v>
      </c>
      <c r="G111" s="15" t="s">
        <v>52</v>
      </c>
      <c r="H111" s="11"/>
    </row>
    <row r="112" spans="1:8" x14ac:dyDescent="0.35">
      <c r="A112" s="11" t="s">
        <v>251</v>
      </c>
      <c r="B112" s="12">
        <v>5160</v>
      </c>
      <c r="C112" s="11" t="s">
        <v>266</v>
      </c>
      <c r="D112" s="13" t="s">
        <v>252</v>
      </c>
      <c r="E112" s="14">
        <v>46098</v>
      </c>
      <c r="F112" s="15" t="s">
        <v>6</v>
      </c>
      <c r="G112" s="15" t="s">
        <v>52</v>
      </c>
      <c r="H112" s="11"/>
    </row>
    <row r="113" spans="1:8" x14ac:dyDescent="0.35">
      <c r="A113" s="11" t="s">
        <v>188</v>
      </c>
      <c r="B113" s="12">
        <v>5161</v>
      </c>
      <c r="C113" s="11" t="s">
        <v>267</v>
      </c>
      <c r="D113" s="13" t="s">
        <v>253</v>
      </c>
      <c r="E113" s="14">
        <v>46098</v>
      </c>
      <c r="F113" s="15" t="s">
        <v>6</v>
      </c>
      <c r="G113" s="15" t="s">
        <v>48</v>
      </c>
      <c r="H113" s="11"/>
    </row>
    <row r="114" spans="1:8" x14ac:dyDescent="0.35">
      <c r="A114" s="11" t="s">
        <v>188</v>
      </c>
      <c r="B114" s="12">
        <v>5162</v>
      </c>
      <c r="C114" s="11" t="s">
        <v>268</v>
      </c>
      <c r="D114" s="13" t="s">
        <v>254</v>
      </c>
      <c r="E114" s="14">
        <v>46098</v>
      </c>
      <c r="F114" s="15" t="s">
        <v>6</v>
      </c>
      <c r="G114" s="15" t="s">
        <v>48</v>
      </c>
      <c r="H114" s="11"/>
    </row>
    <row r="115" spans="1:8" x14ac:dyDescent="0.35">
      <c r="A115" s="11" t="s">
        <v>63</v>
      </c>
      <c r="B115" s="12">
        <v>3095</v>
      </c>
      <c r="C115" s="11" t="s">
        <v>269</v>
      </c>
      <c r="D115" s="13" t="s">
        <v>246</v>
      </c>
      <c r="E115" s="14">
        <v>46098</v>
      </c>
      <c r="F115" s="15" t="s">
        <v>12</v>
      </c>
      <c r="G115" s="15" t="s">
        <v>48</v>
      </c>
      <c r="H115" s="11"/>
    </row>
    <row r="116" spans="1:8" x14ac:dyDescent="0.35">
      <c r="A116" s="11" t="s">
        <v>65</v>
      </c>
      <c r="B116" s="12">
        <v>1270</v>
      </c>
      <c r="C116" s="11" t="s">
        <v>355</v>
      </c>
      <c r="D116" s="13" t="s">
        <v>350</v>
      </c>
      <c r="E116" s="14">
        <v>46098</v>
      </c>
      <c r="F116" s="15" t="s">
        <v>12</v>
      </c>
      <c r="G116" s="15" t="s">
        <v>48</v>
      </c>
      <c r="H116" s="11"/>
    </row>
    <row r="117" spans="1:8" x14ac:dyDescent="0.35">
      <c r="A117" s="11" t="s">
        <v>65</v>
      </c>
      <c r="B117" s="12">
        <v>1679</v>
      </c>
      <c r="C117" s="11" t="s">
        <v>356</v>
      </c>
      <c r="D117" s="13" t="s">
        <v>351</v>
      </c>
      <c r="E117" s="14">
        <v>46098</v>
      </c>
      <c r="F117" s="15" t="s">
        <v>12</v>
      </c>
      <c r="G117" s="15" t="s">
        <v>49</v>
      </c>
      <c r="H117" s="11" t="s">
        <v>678</v>
      </c>
    </row>
    <row r="118" spans="1:8" x14ac:dyDescent="0.35">
      <c r="A118" s="11" t="s">
        <v>65</v>
      </c>
      <c r="B118" s="12">
        <v>2160</v>
      </c>
      <c r="C118" s="11" t="s">
        <v>207</v>
      </c>
      <c r="D118" s="13" t="s">
        <v>352</v>
      </c>
      <c r="E118" s="14">
        <v>46098</v>
      </c>
      <c r="F118" s="15" t="s">
        <v>12</v>
      </c>
      <c r="G118" s="15" t="s">
        <v>48</v>
      </c>
      <c r="H118" s="11" t="s">
        <v>678</v>
      </c>
    </row>
    <row r="119" spans="1:8" x14ac:dyDescent="0.35">
      <c r="A119" s="11" t="s">
        <v>56</v>
      </c>
      <c r="B119" s="12">
        <v>4175</v>
      </c>
      <c r="C119" s="11" t="s">
        <v>149</v>
      </c>
      <c r="D119" s="13" t="s">
        <v>353</v>
      </c>
      <c r="E119" s="14">
        <v>46098</v>
      </c>
      <c r="F119" s="15" t="s">
        <v>12</v>
      </c>
      <c r="G119" s="15" t="s">
        <v>48</v>
      </c>
      <c r="H119" s="11"/>
    </row>
    <row r="120" spans="1:8" x14ac:dyDescent="0.35">
      <c r="A120" s="11" t="s">
        <v>56</v>
      </c>
      <c r="B120" s="12">
        <v>1606</v>
      </c>
      <c r="C120" s="11" t="s">
        <v>357</v>
      </c>
      <c r="D120" s="13" t="s">
        <v>354</v>
      </c>
      <c r="E120" s="14">
        <v>46098</v>
      </c>
      <c r="F120" s="15" t="s">
        <v>12</v>
      </c>
      <c r="G120" s="15" t="s">
        <v>49</v>
      </c>
      <c r="H120" s="11"/>
    </row>
    <row r="121" spans="1:8" x14ac:dyDescent="0.35">
      <c r="A121" s="11" t="s">
        <v>26</v>
      </c>
      <c r="B121" s="12">
        <v>2747</v>
      </c>
      <c r="C121" s="11" t="s">
        <v>177</v>
      </c>
      <c r="D121" s="13" t="s">
        <v>178</v>
      </c>
      <c r="E121" s="14">
        <v>46099</v>
      </c>
      <c r="F121" s="15" t="s">
        <v>12</v>
      </c>
      <c r="G121" s="15" t="s">
        <v>80</v>
      </c>
      <c r="H121" s="11"/>
    </row>
    <row r="122" spans="1:8" x14ac:dyDescent="0.35">
      <c r="A122" s="11" t="s">
        <v>26</v>
      </c>
      <c r="B122" s="12">
        <v>1418</v>
      </c>
      <c r="C122" s="11" t="s">
        <v>271</v>
      </c>
      <c r="D122" s="13" t="s">
        <v>272</v>
      </c>
      <c r="E122" s="14">
        <v>46099</v>
      </c>
      <c r="F122" s="15" t="s">
        <v>12</v>
      </c>
      <c r="G122" s="15" t="s">
        <v>48</v>
      </c>
      <c r="H122" s="11"/>
    </row>
    <row r="123" spans="1:8" x14ac:dyDescent="0.35">
      <c r="A123" s="11" t="s">
        <v>251</v>
      </c>
      <c r="B123" s="12">
        <v>5163</v>
      </c>
      <c r="C123" s="11" t="s">
        <v>291</v>
      </c>
      <c r="D123" s="13" t="s">
        <v>292</v>
      </c>
      <c r="E123" s="14">
        <v>46099</v>
      </c>
      <c r="F123" s="15" t="s">
        <v>6</v>
      </c>
      <c r="G123" s="15" t="s">
        <v>48</v>
      </c>
      <c r="H123" s="11"/>
    </row>
    <row r="124" spans="1:8" x14ac:dyDescent="0.35">
      <c r="A124" s="11" t="s">
        <v>251</v>
      </c>
      <c r="B124" s="12">
        <v>5180</v>
      </c>
      <c r="C124" s="11" t="s">
        <v>312</v>
      </c>
      <c r="D124" s="13" t="s">
        <v>313</v>
      </c>
      <c r="E124" s="14">
        <v>46099</v>
      </c>
      <c r="F124" s="15" t="s">
        <v>6</v>
      </c>
      <c r="G124" s="15" t="s">
        <v>47</v>
      </c>
      <c r="H124" s="11"/>
    </row>
    <row r="125" spans="1:8" x14ac:dyDescent="0.35">
      <c r="A125" s="11" t="s">
        <v>61</v>
      </c>
      <c r="B125" s="12">
        <v>5179</v>
      </c>
      <c r="C125" s="11" t="s">
        <v>310</v>
      </c>
      <c r="D125" s="13" t="s">
        <v>311</v>
      </c>
      <c r="E125" s="14">
        <v>46099</v>
      </c>
      <c r="F125" s="15" t="s">
        <v>6</v>
      </c>
      <c r="G125" s="15" t="s">
        <v>47</v>
      </c>
      <c r="H125" s="11"/>
    </row>
    <row r="126" spans="1:8" x14ac:dyDescent="0.35">
      <c r="A126" s="11" t="s">
        <v>251</v>
      </c>
      <c r="B126" s="12">
        <v>5178</v>
      </c>
      <c r="C126" s="11" t="s">
        <v>308</v>
      </c>
      <c r="D126" s="13" t="s">
        <v>309</v>
      </c>
      <c r="E126" s="14">
        <v>46099</v>
      </c>
      <c r="F126" s="15" t="s">
        <v>6</v>
      </c>
      <c r="G126" s="15" t="s">
        <v>47</v>
      </c>
      <c r="H126" s="11"/>
    </row>
    <row r="127" spans="1:8" x14ac:dyDescent="0.35">
      <c r="A127" s="11" t="s">
        <v>61</v>
      </c>
      <c r="B127" s="12">
        <v>5177</v>
      </c>
      <c r="C127" s="11" t="s">
        <v>305</v>
      </c>
      <c r="D127" s="13" t="s">
        <v>314</v>
      </c>
      <c r="E127" s="14">
        <v>46099</v>
      </c>
      <c r="F127" s="15" t="s">
        <v>6</v>
      </c>
      <c r="G127" s="15" t="s">
        <v>47</v>
      </c>
      <c r="H127" s="11"/>
    </row>
    <row r="128" spans="1:8" x14ac:dyDescent="0.35">
      <c r="A128" s="11" t="s">
        <v>251</v>
      </c>
      <c r="B128" s="12">
        <v>5177</v>
      </c>
      <c r="C128" s="11" t="s">
        <v>305</v>
      </c>
      <c r="D128" s="13" t="s">
        <v>314</v>
      </c>
      <c r="E128" s="14">
        <v>46099</v>
      </c>
      <c r="F128" s="15" t="s">
        <v>6</v>
      </c>
      <c r="G128" s="15" t="s">
        <v>47</v>
      </c>
      <c r="H128" s="11"/>
    </row>
    <row r="129" spans="1:8" x14ac:dyDescent="0.35">
      <c r="A129" s="11" t="s">
        <v>251</v>
      </c>
      <c r="B129" s="12">
        <v>3797</v>
      </c>
      <c r="C129" s="11" t="s">
        <v>303</v>
      </c>
      <c r="D129" s="13" t="s">
        <v>304</v>
      </c>
      <c r="E129" s="14">
        <v>46099</v>
      </c>
      <c r="F129" s="15" t="s">
        <v>6</v>
      </c>
      <c r="G129" s="15" t="s">
        <v>47</v>
      </c>
      <c r="H129" s="11"/>
    </row>
    <row r="130" spans="1:8" x14ac:dyDescent="0.35">
      <c r="A130" s="11" t="s">
        <v>251</v>
      </c>
      <c r="B130" s="12">
        <v>5176</v>
      </c>
      <c r="C130" s="11" t="s">
        <v>301</v>
      </c>
      <c r="D130" s="13" t="s">
        <v>302</v>
      </c>
      <c r="E130" s="14">
        <v>46099</v>
      </c>
      <c r="F130" s="15" t="s">
        <v>6</v>
      </c>
      <c r="G130" s="15" t="s">
        <v>47</v>
      </c>
      <c r="H130" s="11"/>
    </row>
    <row r="131" spans="1:8" x14ac:dyDescent="0.35">
      <c r="A131" s="11" t="s">
        <v>61</v>
      </c>
      <c r="B131" s="12">
        <v>5175</v>
      </c>
      <c r="C131" s="11" t="s">
        <v>299</v>
      </c>
      <c r="D131" s="13" t="s">
        <v>315</v>
      </c>
      <c r="E131" s="14">
        <v>46099</v>
      </c>
      <c r="F131" s="15" t="s">
        <v>6</v>
      </c>
      <c r="G131" s="15" t="s">
        <v>47</v>
      </c>
      <c r="H131" s="11"/>
    </row>
    <row r="132" spans="1:8" x14ac:dyDescent="0.35">
      <c r="A132" s="11" t="s">
        <v>251</v>
      </c>
      <c r="B132" s="12">
        <v>5175</v>
      </c>
      <c r="C132" s="11" t="s">
        <v>299</v>
      </c>
      <c r="D132" s="13" t="s">
        <v>315</v>
      </c>
      <c r="E132" s="14">
        <v>46099</v>
      </c>
      <c r="F132" s="15" t="s">
        <v>6</v>
      </c>
      <c r="G132" s="15" t="s">
        <v>47</v>
      </c>
      <c r="H132" s="11"/>
    </row>
    <row r="133" spans="1:8" x14ac:dyDescent="0.35">
      <c r="A133" s="11" t="s">
        <v>61</v>
      </c>
      <c r="B133" s="12">
        <v>2099</v>
      </c>
      <c r="C133" s="11" t="s">
        <v>324</v>
      </c>
      <c r="D133" s="13" t="s">
        <v>316</v>
      </c>
      <c r="E133" s="14">
        <v>46099</v>
      </c>
      <c r="F133" s="15" t="s">
        <v>12</v>
      </c>
      <c r="G133" s="15" t="s">
        <v>47</v>
      </c>
      <c r="H133" s="11"/>
    </row>
    <row r="134" spans="1:8" x14ac:dyDescent="0.35">
      <c r="A134" s="11" t="s">
        <v>251</v>
      </c>
      <c r="B134" s="12">
        <v>2099</v>
      </c>
      <c r="C134" s="11" t="s">
        <v>324</v>
      </c>
      <c r="D134" s="13" t="s">
        <v>316</v>
      </c>
      <c r="E134" s="14">
        <v>46099</v>
      </c>
      <c r="F134" s="15" t="s">
        <v>12</v>
      </c>
      <c r="G134" s="15" t="s">
        <v>47</v>
      </c>
      <c r="H134" s="11"/>
    </row>
    <row r="135" spans="1:8" x14ac:dyDescent="0.35">
      <c r="A135" s="11" t="s">
        <v>61</v>
      </c>
      <c r="B135" s="12">
        <v>5186</v>
      </c>
      <c r="C135" s="11" t="s">
        <v>325</v>
      </c>
      <c r="D135" s="13" t="s">
        <v>317</v>
      </c>
      <c r="E135" s="14">
        <v>46099</v>
      </c>
      <c r="F135" s="15" t="s">
        <v>6</v>
      </c>
      <c r="G135" s="15" t="s">
        <v>47</v>
      </c>
      <c r="H135" s="11"/>
    </row>
    <row r="136" spans="1:8" x14ac:dyDescent="0.35">
      <c r="A136" s="11" t="s">
        <v>273</v>
      </c>
      <c r="B136" s="12">
        <v>5164</v>
      </c>
      <c r="C136" s="11" t="s">
        <v>274</v>
      </c>
      <c r="D136" s="13" t="s">
        <v>275</v>
      </c>
      <c r="E136" s="14">
        <v>46100</v>
      </c>
      <c r="F136" s="15" t="s">
        <v>6</v>
      </c>
      <c r="G136" s="15" t="s">
        <v>48</v>
      </c>
      <c r="H136" s="11"/>
    </row>
    <row r="137" spans="1:8" x14ac:dyDescent="0.35">
      <c r="A137" s="11" t="s">
        <v>273</v>
      </c>
      <c r="B137" s="12">
        <v>1229</v>
      </c>
      <c r="C137" s="11" t="s">
        <v>276</v>
      </c>
      <c r="D137" s="13" t="s">
        <v>277</v>
      </c>
      <c r="E137" s="14">
        <v>46100</v>
      </c>
      <c r="F137" s="15" t="s">
        <v>12</v>
      </c>
      <c r="G137" s="15" t="s">
        <v>48</v>
      </c>
      <c r="H137" s="11"/>
    </row>
    <row r="138" spans="1:8" x14ac:dyDescent="0.35">
      <c r="A138" s="11" t="s">
        <v>273</v>
      </c>
      <c r="B138" s="12">
        <v>5165</v>
      </c>
      <c r="C138" s="11" t="s">
        <v>278</v>
      </c>
      <c r="D138" s="13" t="s">
        <v>279</v>
      </c>
      <c r="E138" s="14">
        <v>46100</v>
      </c>
      <c r="F138" s="15" t="s">
        <v>6</v>
      </c>
      <c r="G138" s="15" t="s">
        <v>48</v>
      </c>
      <c r="H138" s="11"/>
    </row>
    <row r="139" spans="1:8" x14ac:dyDescent="0.35">
      <c r="A139" s="11" t="s">
        <v>273</v>
      </c>
      <c r="B139" s="12">
        <v>3678</v>
      </c>
      <c r="C139" s="11" t="s">
        <v>280</v>
      </c>
      <c r="D139" s="13" t="s">
        <v>281</v>
      </c>
      <c r="E139" s="14">
        <v>46100</v>
      </c>
      <c r="F139" s="15" t="s">
        <v>12</v>
      </c>
      <c r="G139" s="15" t="s">
        <v>48</v>
      </c>
      <c r="H139" s="11"/>
    </row>
    <row r="140" spans="1:8" x14ac:dyDescent="0.35">
      <c r="A140" s="11" t="s">
        <v>273</v>
      </c>
      <c r="B140" s="12">
        <v>1614</v>
      </c>
      <c r="C140" s="11" t="s">
        <v>282</v>
      </c>
      <c r="D140" s="13" t="s">
        <v>283</v>
      </c>
      <c r="E140" s="14">
        <v>46100</v>
      </c>
      <c r="F140" s="15" t="s">
        <v>12</v>
      </c>
      <c r="G140" s="15" t="s">
        <v>48</v>
      </c>
      <c r="H140" s="11"/>
    </row>
    <row r="141" spans="1:8" x14ac:dyDescent="0.35">
      <c r="A141" s="11" t="s">
        <v>273</v>
      </c>
      <c r="B141" s="12">
        <v>5166</v>
      </c>
      <c r="C141" s="11" t="s">
        <v>284</v>
      </c>
      <c r="D141" s="13" t="s">
        <v>285</v>
      </c>
      <c r="E141" s="14">
        <v>46100</v>
      </c>
      <c r="F141" s="15" t="s">
        <v>6</v>
      </c>
      <c r="G141" s="15" t="s">
        <v>48</v>
      </c>
      <c r="H141" s="11"/>
    </row>
    <row r="142" spans="1:8" x14ac:dyDescent="0.35">
      <c r="A142" s="11" t="s">
        <v>273</v>
      </c>
      <c r="B142" s="12">
        <v>1336</v>
      </c>
      <c r="C142" s="11" t="s">
        <v>286</v>
      </c>
      <c r="D142" s="13" t="s">
        <v>287</v>
      </c>
      <c r="E142" s="14">
        <v>46100</v>
      </c>
      <c r="F142" s="15" t="s">
        <v>12</v>
      </c>
      <c r="G142" s="15" t="s">
        <v>48</v>
      </c>
      <c r="H142" s="11"/>
    </row>
    <row r="143" spans="1:8" x14ac:dyDescent="0.35">
      <c r="A143" s="11" t="s">
        <v>273</v>
      </c>
      <c r="B143" s="12">
        <v>5167</v>
      </c>
      <c r="C143" s="11" t="s">
        <v>288</v>
      </c>
      <c r="D143" s="13" t="s">
        <v>289</v>
      </c>
      <c r="E143" s="14">
        <v>46100</v>
      </c>
      <c r="F143" s="15" t="s">
        <v>6</v>
      </c>
      <c r="G143" s="15" t="s">
        <v>48</v>
      </c>
      <c r="H143" s="11"/>
    </row>
    <row r="144" spans="1:8" x14ac:dyDescent="0.35">
      <c r="A144" s="11" t="s">
        <v>273</v>
      </c>
      <c r="B144" s="12">
        <v>5168</v>
      </c>
      <c r="C144" s="11" t="s">
        <v>293</v>
      </c>
      <c r="D144" s="13" t="s">
        <v>294</v>
      </c>
      <c r="E144" s="14">
        <v>46100</v>
      </c>
      <c r="F144" s="15" t="s">
        <v>6</v>
      </c>
      <c r="G144" s="15" t="s">
        <v>326</v>
      </c>
      <c r="H144" s="11" t="s">
        <v>295</v>
      </c>
    </row>
    <row r="145" spans="1:8" x14ac:dyDescent="0.35">
      <c r="A145" s="11" t="s">
        <v>26</v>
      </c>
      <c r="B145" s="12">
        <v>5172</v>
      </c>
      <c r="C145" s="11" t="s">
        <v>296</v>
      </c>
      <c r="D145" s="13" t="s">
        <v>298</v>
      </c>
      <c r="E145" s="14">
        <v>46100</v>
      </c>
      <c r="F145" s="15" t="s">
        <v>6</v>
      </c>
      <c r="G145" s="15" t="s">
        <v>326</v>
      </c>
      <c r="H145" s="11" t="s">
        <v>297</v>
      </c>
    </row>
    <row r="146" spans="1:8" x14ac:dyDescent="0.35">
      <c r="A146" s="11" t="s">
        <v>251</v>
      </c>
      <c r="B146" s="12">
        <v>5175</v>
      </c>
      <c r="C146" s="11" t="s">
        <v>299</v>
      </c>
      <c r="D146" s="13" t="s">
        <v>300</v>
      </c>
      <c r="E146" s="14">
        <v>46100</v>
      </c>
      <c r="F146" s="15" t="s">
        <v>6</v>
      </c>
      <c r="G146" s="15" t="s">
        <v>48</v>
      </c>
      <c r="H146" s="11"/>
    </row>
    <row r="147" spans="1:8" x14ac:dyDescent="0.35">
      <c r="A147" s="11" t="s">
        <v>251</v>
      </c>
      <c r="B147" s="12">
        <v>5176</v>
      </c>
      <c r="C147" s="11" t="s">
        <v>301</v>
      </c>
      <c r="D147" s="13" t="s">
        <v>302</v>
      </c>
      <c r="E147" s="14">
        <v>46100</v>
      </c>
      <c r="F147" s="15" t="s">
        <v>6</v>
      </c>
      <c r="G147" s="15" t="s">
        <v>48</v>
      </c>
      <c r="H147" s="11"/>
    </row>
    <row r="148" spans="1:8" x14ac:dyDescent="0.35">
      <c r="A148" s="11" t="s">
        <v>251</v>
      </c>
      <c r="B148" s="12">
        <v>3797</v>
      </c>
      <c r="C148" s="11" t="s">
        <v>303</v>
      </c>
      <c r="D148" s="13" t="s">
        <v>304</v>
      </c>
      <c r="E148" s="14">
        <v>46100</v>
      </c>
      <c r="F148" s="15" t="s">
        <v>12</v>
      </c>
      <c r="G148" s="15" t="s">
        <v>48</v>
      </c>
      <c r="H148" s="11"/>
    </row>
    <row r="149" spans="1:8" x14ac:dyDescent="0.35">
      <c r="A149" s="11" t="s">
        <v>188</v>
      </c>
      <c r="B149" s="12">
        <v>5177</v>
      </c>
      <c r="C149" s="11" t="s">
        <v>305</v>
      </c>
      <c r="D149" s="13" t="s">
        <v>306</v>
      </c>
      <c r="E149" s="14">
        <v>46100</v>
      </c>
      <c r="F149" s="15" t="s">
        <v>6</v>
      </c>
      <c r="G149" s="15" t="s">
        <v>326</v>
      </c>
      <c r="H149" s="11" t="s">
        <v>307</v>
      </c>
    </row>
    <row r="150" spans="1:8" x14ac:dyDescent="0.35">
      <c r="A150" s="11" t="s">
        <v>188</v>
      </c>
      <c r="B150" s="12">
        <v>5178</v>
      </c>
      <c r="C150" s="11" t="s">
        <v>308</v>
      </c>
      <c r="D150" s="13" t="s">
        <v>309</v>
      </c>
      <c r="E150" s="14">
        <v>46100</v>
      </c>
      <c r="F150" s="15" t="s">
        <v>6</v>
      </c>
      <c r="G150" s="15" t="s">
        <v>48</v>
      </c>
      <c r="H150" s="11"/>
    </row>
    <row r="151" spans="1:8" x14ac:dyDescent="0.35">
      <c r="A151" s="11" t="s">
        <v>61</v>
      </c>
      <c r="B151" s="12">
        <v>5179</v>
      </c>
      <c r="C151" s="11" t="s">
        <v>310</v>
      </c>
      <c r="D151" s="13" t="s">
        <v>311</v>
      </c>
      <c r="E151" s="14">
        <v>46100</v>
      </c>
      <c r="F151" s="15" t="s">
        <v>6</v>
      </c>
      <c r="G151" s="15" t="s">
        <v>326</v>
      </c>
      <c r="H151" s="11" t="s">
        <v>307</v>
      </c>
    </row>
    <row r="152" spans="1:8" x14ac:dyDescent="0.35">
      <c r="A152" s="11" t="s">
        <v>273</v>
      </c>
      <c r="B152" s="12">
        <v>5199</v>
      </c>
      <c r="C152" s="11" t="s">
        <v>327</v>
      </c>
      <c r="D152" s="13" t="s">
        <v>322</v>
      </c>
      <c r="E152" s="14">
        <v>46100</v>
      </c>
      <c r="F152" s="15" t="s">
        <v>6</v>
      </c>
      <c r="G152" s="15" t="s">
        <v>48</v>
      </c>
      <c r="H152" s="11"/>
    </row>
    <row r="153" spans="1:8" x14ac:dyDescent="0.35">
      <c r="A153" s="11" t="s">
        <v>273</v>
      </c>
      <c r="B153" s="12">
        <v>5200</v>
      </c>
      <c r="C153" s="11" t="s">
        <v>328</v>
      </c>
      <c r="D153" s="13" t="s">
        <v>329</v>
      </c>
      <c r="E153" s="14">
        <v>46100</v>
      </c>
      <c r="F153" s="15" t="s">
        <v>6</v>
      </c>
      <c r="G153" s="15" t="s">
        <v>52</v>
      </c>
      <c r="H153" s="11"/>
    </row>
    <row r="154" spans="1:8" x14ac:dyDescent="0.35">
      <c r="A154" s="11" t="s">
        <v>273</v>
      </c>
      <c r="B154" s="12">
        <v>5201</v>
      </c>
      <c r="C154" s="11" t="s">
        <v>330</v>
      </c>
      <c r="D154" s="13" t="s">
        <v>323</v>
      </c>
      <c r="E154" s="14">
        <v>46100</v>
      </c>
      <c r="F154" s="15" t="s">
        <v>6</v>
      </c>
      <c r="G154" s="15" t="s">
        <v>49</v>
      </c>
      <c r="H154" s="11"/>
    </row>
    <row r="155" spans="1:8" x14ac:dyDescent="0.35">
      <c r="A155" s="11" t="s">
        <v>273</v>
      </c>
      <c r="B155" s="12">
        <v>5202</v>
      </c>
      <c r="C155" s="11" t="s">
        <v>331</v>
      </c>
      <c r="D155" s="13" t="s">
        <v>332</v>
      </c>
      <c r="E155" s="14">
        <v>46100</v>
      </c>
      <c r="F155" s="15" t="s">
        <v>6</v>
      </c>
      <c r="G155" s="15" t="s">
        <v>48</v>
      </c>
      <c r="H155" s="11"/>
    </row>
    <row r="156" spans="1:8" x14ac:dyDescent="0.35">
      <c r="A156" s="11" t="s">
        <v>273</v>
      </c>
      <c r="B156" s="12">
        <v>1264</v>
      </c>
      <c r="C156" s="11" t="s">
        <v>333</v>
      </c>
      <c r="D156" s="13" t="s">
        <v>319</v>
      </c>
      <c r="E156" s="14">
        <v>46100</v>
      </c>
      <c r="F156" s="15" t="s">
        <v>12</v>
      </c>
      <c r="G156" s="15" t="s">
        <v>48</v>
      </c>
      <c r="H156" s="11"/>
    </row>
    <row r="157" spans="1:8" x14ac:dyDescent="0.35">
      <c r="A157" s="11" t="s">
        <v>273</v>
      </c>
      <c r="B157" s="12">
        <v>5203</v>
      </c>
      <c r="C157" s="11" t="s">
        <v>334</v>
      </c>
      <c r="D157" s="13" t="s">
        <v>318</v>
      </c>
      <c r="E157" s="14">
        <v>46100</v>
      </c>
      <c r="F157" s="15" t="s">
        <v>6</v>
      </c>
      <c r="G157" s="15" t="s">
        <v>53</v>
      </c>
      <c r="H157" s="11"/>
    </row>
    <row r="158" spans="1:8" x14ac:dyDescent="0.35">
      <c r="A158" s="11" t="s">
        <v>273</v>
      </c>
      <c r="B158" s="12">
        <v>5204</v>
      </c>
      <c r="C158" s="11" t="s">
        <v>335</v>
      </c>
      <c r="D158" s="13" t="s">
        <v>336</v>
      </c>
      <c r="E158" s="14">
        <v>46100</v>
      </c>
      <c r="F158" s="15" t="s">
        <v>6</v>
      </c>
      <c r="G158" s="15" t="s">
        <v>53</v>
      </c>
      <c r="H158" s="11"/>
    </row>
    <row r="159" spans="1:8" x14ac:dyDescent="0.35">
      <c r="A159" s="11" t="s">
        <v>273</v>
      </c>
      <c r="B159" s="12">
        <v>5206</v>
      </c>
      <c r="C159" s="11" t="s">
        <v>337</v>
      </c>
      <c r="D159" s="13" t="s">
        <v>321</v>
      </c>
      <c r="E159" s="14">
        <v>46100</v>
      </c>
      <c r="F159" s="15" t="s">
        <v>6</v>
      </c>
      <c r="G159" s="15" t="s">
        <v>48</v>
      </c>
      <c r="H159" s="11"/>
    </row>
    <row r="160" spans="1:8" x14ac:dyDescent="0.35">
      <c r="A160" s="11" t="s">
        <v>273</v>
      </c>
      <c r="B160" s="12">
        <v>5207</v>
      </c>
      <c r="C160" s="11" t="s">
        <v>338</v>
      </c>
      <c r="D160" s="13" t="s">
        <v>320</v>
      </c>
      <c r="E160" s="14">
        <v>46100</v>
      </c>
      <c r="F160" s="15" t="s">
        <v>6</v>
      </c>
      <c r="G160" s="15" t="s">
        <v>326</v>
      </c>
      <c r="H160" s="11" t="s">
        <v>307</v>
      </c>
    </row>
    <row r="161" spans="1:8" x14ac:dyDescent="0.35">
      <c r="A161" s="11" t="s">
        <v>56</v>
      </c>
      <c r="B161" s="12">
        <v>2765</v>
      </c>
      <c r="C161" s="11" t="s">
        <v>361</v>
      </c>
      <c r="D161" s="13" t="s">
        <v>358</v>
      </c>
      <c r="E161" s="14">
        <v>46100</v>
      </c>
      <c r="F161" s="15" t="s">
        <v>12</v>
      </c>
      <c r="G161" s="15" t="s">
        <v>326</v>
      </c>
      <c r="H161" s="11"/>
    </row>
    <row r="162" spans="1:8" x14ac:dyDescent="0.35">
      <c r="A162" s="11" t="s">
        <v>56</v>
      </c>
      <c r="B162" s="12">
        <v>5182</v>
      </c>
      <c r="C162" s="11" t="s">
        <v>362</v>
      </c>
      <c r="D162" s="13" t="s">
        <v>359</v>
      </c>
      <c r="E162" s="14">
        <v>46100</v>
      </c>
      <c r="F162" s="15" t="s">
        <v>6</v>
      </c>
      <c r="G162" s="15" t="s">
        <v>48</v>
      </c>
      <c r="H162" s="11"/>
    </row>
    <row r="163" spans="1:8" x14ac:dyDescent="0.35">
      <c r="A163" s="11" t="s">
        <v>56</v>
      </c>
      <c r="B163" s="12">
        <v>4111</v>
      </c>
      <c r="C163" s="11" t="s">
        <v>363</v>
      </c>
      <c r="D163" s="13" t="s">
        <v>360</v>
      </c>
      <c r="E163" s="14">
        <v>46100</v>
      </c>
      <c r="F163" s="15" t="s">
        <v>12</v>
      </c>
      <c r="G163" s="15" t="s">
        <v>326</v>
      </c>
      <c r="H163" s="11" t="s">
        <v>679</v>
      </c>
    </row>
    <row r="164" spans="1:8" x14ac:dyDescent="0.35">
      <c r="A164" s="11" t="s">
        <v>26</v>
      </c>
      <c r="B164" s="12">
        <v>5114</v>
      </c>
      <c r="C164" s="11" t="s">
        <v>141</v>
      </c>
      <c r="D164" s="13" t="s">
        <v>142</v>
      </c>
      <c r="E164" s="14">
        <v>46101</v>
      </c>
      <c r="F164" s="15" t="s">
        <v>12</v>
      </c>
      <c r="G164" s="15" t="s">
        <v>326</v>
      </c>
      <c r="H164" s="11" t="s">
        <v>690</v>
      </c>
    </row>
    <row r="165" spans="1:8" x14ac:dyDescent="0.35">
      <c r="A165" s="11" t="s">
        <v>26</v>
      </c>
      <c r="B165" s="12">
        <v>5112</v>
      </c>
      <c r="C165" s="11" t="s">
        <v>139</v>
      </c>
      <c r="D165" s="13" t="s">
        <v>339</v>
      </c>
      <c r="E165" s="14">
        <v>46101</v>
      </c>
      <c r="F165" s="15" t="s">
        <v>12</v>
      </c>
      <c r="G165" s="15" t="s">
        <v>48</v>
      </c>
      <c r="H165" s="11"/>
    </row>
    <row r="166" spans="1:8" x14ac:dyDescent="0.35">
      <c r="A166" s="11" t="s">
        <v>26</v>
      </c>
      <c r="B166" s="12">
        <v>5208</v>
      </c>
      <c r="C166" s="11" t="s">
        <v>345</v>
      </c>
      <c r="D166" s="13" t="s">
        <v>340</v>
      </c>
      <c r="E166" s="14">
        <v>46101</v>
      </c>
      <c r="F166" s="15" t="s">
        <v>6</v>
      </c>
      <c r="G166" s="15" t="s">
        <v>48</v>
      </c>
      <c r="H166" s="11"/>
    </row>
    <row r="167" spans="1:8" x14ac:dyDescent="0.35">
      <c r="A167" s="11" t="s">
        <v>26</v>
      </c>
      <c r="B167" s="12">
        <v>1739</v>
      </c>
      <c r="C167" s="11" t="s">
        <v>346</v>
      </c>
      <c r="D167" s="13" t="s">
        <v>341</v>
      </c>
      <c r="E167" s="14">
        <v>46101</v>
      </c>
      <c r="F167" s="15" t="s">
        <v>12</v>
      </c>
      <c r="G167" s="15" t="s">
        <v>48</v>
      </c>
      <c r="H167" s="11"/>
    </row>
    <row r="168" spans="1:8" x14ac:dyDescent="0.35">
      <c r="A168" s="11" t="s">
        <v>26</v>
      </c>
      <c r="B168" s="12">
        <v>5209</v>
      </c>
      <c r="C168" s="11" t="s">
        <v>347</v>
      </c>
      <c r="D168" s="13" t="s">
        <v>342</v>
      </c>
      <c r="E168" s="14">
        <v>46101</v>
      </c>
      <c r="F168" s="15" t="s">
        <v>6</v>
      </c>
      <c r="G168" s="15" t="s">
        <v>48</v>
      </c>
      <c r="H168" s="11"/>
    </row>
    <row r="169" spans="1:8" x14ac:dyDescent="0.35">
      <c r="A169" s="11" t="s">
        <v>26</v>
      </c>
      <c r="B169" s="12">
        <v>555</v>
      </c>
      <c r="C169" s="11" t="s">
        <v>348</v>
      </c>
      <c r="D169" s="13" t="s">
        <v>343</v>
      </c>
      <c r="E169" s="14">
        <v>46101</v>
      </c>
      <c r="F169" s="15" t="s">
        <v>12</v>
      </c>
      <c r="G169" s="15" t="s">
        <v>48</v>
      </c>
      <c r="H169" s="11"/>
    </row>
    <row r="170" spans="1:8" x14ac:dyDescent="0.35">
      <c r="A170" s="11" t="s">
        <v>26</v>
      </c>
      <c r="B170" s="12">
        <v>3522</v>
      </c>
      <c r="C170" s="11" t="s">
        <v>349</v>
      </c>
      <c r="D170" s="13" t="s">
        <v>344</v>
      </c>
      <c r="E170" s="14">
        <v>46101</v>
      </c>
      <c r="F170" s="15" t="s">
        <v>12</v>
      </c>
      <c r="G170" s="15" t="s">
        <v>48</v>
      </c>
      <c r="H170" s="11"/>
    </row>
    <row r="171" spans="1:8" ht="14" customHeight="1" x14ac:dyDescent="0.35">
      <c r="A171" s="11" t="s">
        <v>364</v>
      </c>
      <c r="B171" s="12">
        <v>5219</v>
      </c>
      <c r="C171" s="11" t="s">
        <v>365</v>
      </c>
      <c r="D171" s="13" t="s">
        <v>366</v>
      </c>
      <c r="E171" s="14">
        <v>46104</v>
      </c>
      <c r="F171" s="15" t="s">
        <v>6</v>
      </c>
      <c r="G171" s="15" t="s">
        <v>326</v>
      </c>
      <c r="H171" s="11" t="s">
        <v>398</v>
      </c>
    </row>
    <row r="172" spans="1:8" ht="15.5" customHeight="1" x14ac:dyDescent="0.35">
      <c r="A172" s="11" t="s">
        <v>364</v>
      </c>
      <c r="B172" s="12">
        <v>3382</v>
      </c>
      <c r="C172" s="11" t="s">
        <v>367</v>
      </c>
      <c r="D172" s="13" t="s">
        <v>368</v>
      </c>
      <c r="E172" s="14">
        <v>46104</v>
      </c>
      <c r="F172" s="15" t="s">
        <v>12</v>
      </c>
      <c r="G172" s="15" t="s">
        <v>326</v>
      </c>
      <c r="H172" s="11" t="s">
        <v>400</v>
      </c>
    </row>
    <row r="173" spans="1:8" x14ac:dyDescent="0.35">
      <c r="A173" s="11" t="s">
        <v>364</v>
      </c>
      <c r="B173" s="12">
        <v>3067</v>
      </c>
      <c r="C173" s="11" t="s">
        <v>369</v>
      </c>
      <c r="D173" s="13" t="s">
        <v>370</v>
      </c>
      <c r="E173" s="14">
        <v>46104</v>
      </c>
      <c r="F173" s="15" t="s">
        <v>12</v>
      </c>
      <c r="G173" s="15" t="s">
        <v>54</v>
      </c>
      <c r="H173" s="11"/>
    </row>
    <row r="174" spans="1:8" x14ac:dyDescent="0.35">
      <c r="A174" s="11" t="s">
        <v>364</v>
      </c>
      <c r="B174" s="12">
        <v>5099</v>
      </c>
      <c r="C174" s="11" t="s">
        <v>371</v>
      </c>
      <c r="D174" s="13" t="s">
        <v>372</v>
      </c>
      <c r="E174" s="14">
        <v>46104</v>
      </c>
      <c r="F174" s="15" t="s">
        <v>12</v>
      </c>
      <c r="G174" s="15" t="s">
        <v>326</v>
      </c>
      <c r="H174" s="11" t="s">
        <v>396</v>
      </c>
    </row>
    <row r="175" spans="1:8" x14ac:dyDescent="0.35">
      <c r="A175" s="11" t="s">
        <v>364</v>
      </c>
      <c r="B175" s="12">
        <v>5220</v>
      </c>
      <c r="C175" s="11" t="s">
        <v>373</v>
      </c>
      <c r="D175" s="13" t="s">
        <v>374</v>
      </c>
      <c r="E175" s="14">
        <v>46104</v>
      </c>
      <c r="F175" s="15" t="s">
        <v>6</v>
      </c>
      <c r="G175" s="15" t="s">
        <v>326</v>
      </c>
      <c r="H175" s="11" t="s">
        <v>381</v>
      </c>
    </row>
    <row r="176" spans="1:8" x14ac:dyDescent="0.35">
      <c r="A176" s="11" t="s">
        <v>364</v>
      </c>
      <c r="B176" s="12">
        <v>3044</v>
      </c>
      <c r="C176" s="11" t="s">
        <v>375</v>
      </c>
      <c r="D176" s="13" t="s">
        <v>376</v>
      </c>
      <c r="E176" s="14">
        <v>46104</v>
      </c>
      <c r="F176" s="15" t="s">
        <v>12</v>
      </c>
      <c r="G176" s="15" t="s">
        <v>49</v>
      </c>
      <c r="H176" s="11" t="s">
        <v>399</v>
      </c>
    </row>
    <row r="177" spans="1:8" x14ac:dyDescent="0.35">
      <c r="A177" s="11" t="s">
        <v>56</v>
      </c>
      <c r="B177" s="12">
        <v>5222</v>
      </c>
      <c r="C177" s="11" t="s">
        <v>377</v>
      </c>
      <c r="D177" s="13" t="s">
        <v>378</v>
      </c>
      <c r="E177" s="14">
        <v>46104</v>
      </c>
      <c r="F177" s="15" t="s">
        <v>6</v>
      </c>
      <c r="G177" s="15" t="s">
        <v>52</v>
      </c>
      <c r="H177" s="11"/>
    </row>
    <row r="178" spans="1:8" x14ac:dyDescent="0.35">
      <c r="A178" s="11" t="s">
        <v>364</v>
      </c>
      <c r="B178" s="12">
        <v>5221</v>
      </c>
      <c r="C178" s="11" t="s">
        <v>379</v>
      </c>
      <c r="D178" s="13" t="s">
        <v>380</v>
      </c>
      <c r="E178" s="14">
        <v>46104</v>
      </c>
      <c r="F178" s="15" t="s">
        <v>6</v>
      </c>
      <c r="G178" s="15" t="s">
        <v>326</v>
      </c>
      <c r="H178" s="11" t="s">
        <v>397</v>
      </c>
    </row>
    <row r="179" spans="1:8" x14ac:dyDescent="0.35">
      <c r="A179" s="11" t="s">
        <v>364</v>
      </c>
      <c r="B179" s="12">
        <v>5528</v>
      </c>
      <c r="C179" s="11" t="s">
        <v>382</v>
      </c>
      <c r="D179" s="13" t="s">
        <v>383</v>
      </c>
      <c r="E179" s="14">
        <v>46104</v>
      </c>
      <c r="F179" s="15" t="s">
        <v>6</v>
      </c>
      <c r="G179" s="15" t="s">
        <v>48</v>
      </c>
      <c r="H179" s="11"/>
    </row>
    <row r="180" spans="1:8" x14ac:dyDescent="0.35">
      <c r="A180" s="11" t="s">
        <v>364</v>
      </c>
      <c r="B180" s="12">
        <v>5529</v>
      </c>
      <c r="C180" s="11" t="s">
        <v>384</v>
      </c>
      <c r="D180" s="13" t="s">
        <v>385</v>
      </c>
      <c r="E180" s="14">
        <v>46104</v>
      </c>
      <c r="F180" s="15" t="s">
        <v>6</v>
      </c>
      <c r="G180" s="15" t="s">
        <v>48</v>
      </c>
      <c r="H180" s="11"/>
    </row>
    <row r="181" spans="1:8" x14ac:dyDescent="0.35">
      <c r="A181" s="11" t="s">
        <v>364</v>
      </c>
      <c r="B181" s="12">
        <v>5530</v>
      </c>
      <c r="C181" s="11" t="s">
        <v>388</v>
      </c>
      <c r="D181" s="13" t="s">
        <v>386</v>
      </c>
      <c r="E181" s="14">
        <v>46104</v>
      </c>
      <c r="F181" s="15" t="s">
        <v>6</v>
      </c>
      <c r="G181" s="15" t="s">
        <v>48</v>
      </c>
      <c r="H181" s="11"/>
    </row>
    <row r="182" spans="1:8" x14ac:dyDescent="0.35">
      <c r="A182" s="11" t="s">
        <v>364</v>
      </c>
      <c r="B182" s="12">
        <v>5531</v>
      </c>
      <c r="C182" s="11" t="s">
        <v>391</v>
      </c>
      <c r="D182" s="13" t="s">
        <v>387</v>
      </c>
      <c r="E182" s="14">
        <v>46104</v>
      </c>
      <c r="F182" s="15" t="s">
        <v>6</v>
      </c>
      <c r="G182" s="15" t="s">
        <v>48</v>
      </c>
      <c r="H182" s="11"/>
    </row>
    <row r="183" spans="1:8" x14ac:dyDescent="0.35">
      <c r="A183" s="11" t="s">
        <v>364</v>
      </c>
      <c r="B183" s="12">
        <v>5532</v>
      </c>
      <c r="C183" s="11" t="s">
        <v>389</v>
      </c>
      <c r="D183" s="13" t="s">
        <v>390</v>
      </c>
      <c r="E183" s="14">
        <v>46104</v>
      </c>
      <c r="F183" s="15" t="s">
        <v>6</v>
      </c>
      <c r="G183" s="15" t="s">
        <v>48</v>
      </c>
      <c r="H183" s="11"/>
    </row>
    <row r="184" spans="1:8" x14ac:dyDescent="0.35">
      <c r="A184" s="11" t="s">
        <v>364</v>
      </c>
      <c r="B184" s="12">
        <v>4553</v>
      </c>
      <c r="C184" s="11" t="s">
        <v>392</v>
      </c>
      <c r="D184" s="13" t="s">
        <v>393</v>
      </c>
      <c r="E184" s="14">
        <v>46104</v>
      </c>
      <c r="F184" s="15" t="s">
        <v>12</v>
      </c>
      <c r="G184" s="15" t="s">
        <v>48</v>
      </c>
      <c r="H184" s="11"/>
    </row>
    <row r="185" spans="1:8" x14ac:dyDescent="0.35">
      <c r="A185" s="11" t="s">
        <v>364</v>
      </c>
      <c r="B185" s="12">
        <v>5533</v>
      </c>
      <c r="C185" s="11" t="s">
        <v>394</v>
      </c>
      <c r="D185" s="13" t="s">
        <v>395</v>
      </c>
      <c r="E185" s="14">
        <v>46104</v>
      </c>
      <c r="F185" s="15" t="s">
        <v>6</v>
      </c>
      <c r="G185" s="15" t="s">
        <v>48</v>
      </c>
      <c r="H185" s="11"/>
    </row>
    <row r="186" spans="1:8" x14ac:dyDescent="0.35">
      <c r="A186" s="11" t="s">
        <v>364</v>
      </c>
      <c r="B186" s="12">
        <v>5547</v>
      </c>
      <c r="C186" s="11" t="s">
        <v>402</v>
      </c>
      <c r="D186" s="13" t="s">
        <v>401</v>
      </c>
      <c r="E186" s="14">
        <v>46105</v>
      </c>
      <c r="F186" s="15" t="s">
        <v>6</v>
      </c>
      <c r="G186" s="15" t="s">
        <v>48</v>
      </c>
      <c r="H186" s="11"/>
    </row>
    <row r="187" spans="1:8" x14ac:dyDescent="0.35">
      <c r="A187" s="11" t="s">
        <v>364</v>
      </c>
      <c r="B187" s="12">
        <v>3716</v>
      </c>
      <c r="C187" s="11" t="s">
        <v>404</v>
      </c>
      <c r="D187" s="13" t="s">
        <v>403</v>
      </c>
      <c r="E187" s="14">
        <v>46105</v>
      </c>
      <c r="F187" s="15" t="s">
        <v>12</v>
      </c>
      <c r="G187" s="15" t="s">
        <v>48</v>
      </c>
      <c r="H187" s="11"/>
    </row>
    <row r="188" spans="1:8" x14ac:dyDescent="0.35">
      <c r="A188" s="11" t="s">
        <v>364</v>
      </c>
      <c r="B188" s="12">
        <v>3289</v>
      </c>
      <c r="C188" s="11" t="s">
        <v>405</v>
      </c>
      <c r="D188" s="13" t="s">
        <v>406</v>
      </c>
      <c r="E188" s="14">
        <v>46105</v>
      </c>
      <c r="F188" s="15" t="s">
        <v>12</v>
      </c>
      <c r="G188" s="15" t="s">
        <v>80</v>
      </c>
      <c r="H188" s="11" t="s">
        <v>483</v>
      </c>
    </row>
    <row r="189" spans="1:8" x14ac:dyDescent="0.35">
      <c r="A189" s="11" t="s">
        <v>364</v>
      </c>
      <c r="B189" s="12">
        <v>5551</v>
      </c>
      <c r="C189" s="11" t="s">
        <v>407</v>
      </c>
      <c r="D189" s="13" t="s">
        <v>408</v>
      </c>
      <c r="E189" s="14">
        <v>46105</v>
      </c>
      <c r="F189" s="15" t="s">
        <v>6</v>
      </c>
      <c r="G189" s="15" t="s">
        <v>48</v>
      </c>
      <c r="H189" s="11"/>
    </row>
    <row r="190" spans="1:8" x14ac:dyDescent="0.35">
      <c r="A190" s="11" t="s">
        <v>364</v>
      </c>
      <c r="B190" s="12">
        <v>5552</v>
      </c>
      <c r="C190" s="11" t="s">
        <v>409</v>
      </c>
      <c r="D190" s="13" t="s">
        <v>410</v>
      </c>
      <c r="E190" s="14">
        <v>46105</v>
      </c>
      <c r="F190" s="15" t="s">
        <v>6</v>
      </c>
      <c r="G190" s="15" t="s">
        <v>48</v>
      </c>
      <c r="H190" s="11"/>
    </row>
    <row r="191" spans="1:8" x14ac:dyDescent="0.35">
      <c r="A191" s="11" t="s">
        <v>364</v>
      </c>
      <c r="B191" s="12">
        <v>5553</v>
      </c>
      <c r="C191" s="11" t="s">
        <v>411</v>
      </c>
      <c r="D191" s="13" t="s">
        <v>412</v>
      </c>
      <c r="E191" s="14">
        <v>46105</v>
      </c>
      <c r="F191" s="15" t="s">
        <v>6</v>
      </c>
      <c r="G191" s="15" t="s">
        <v>48</v>
      </c>
      <c r="H191" s="11"/>
    </row>
    <row r="192" spans="1:8" x14ac:dyDescent="0.35">
      <c r="A192" s="11" t="s">
        <v>364</v>
      </c>
      <c r="B192" s="12">
        <v>5554</v>
      </c>
      <c r="C192" s="11" t="s">
        <v>413</v>
      </c>
      <c r="D192" s="13" t="s">
        <v>414</v>
      </c>
      <c r="E192" s="14">
        <v>46105</v>
      </c>
      <c r="F192" s="15" t="s">
        <v>6</v>
      </c>
      <c r="G192" s="15" t="s">
        <v>326</v>
      </c>
      <c r="H192" s="11" t="s">
        <v>290</v>
      </c>
    </row>
    <row r="193" spans="1:8" x14ac:dyDescent="0.35">
      <c r="A193" s="11" t="s">
        <v>364</v>
      </c>
      <c r="B193" s="12">
        <v>5555</v>
      </c>
      <c r="C193" s="11" t="s">
        <v>416</v>
      </c>
      <c r="D193" s="13" t="s">
        <v>415</v>
      </c>
      <c r="E193" s="14">
        <v>46105</v>
      </c>
      <c r="F193" s="15" t="s">
        <v>6</v>
      </c>
      <c r="G193" s="15" t="s">
        <v>48</v>
      </c>
      <c r="H193" s="11"/>
    </row>
    <row r="194" spans="1:8" x14ac:dyDescent="0.35">
      <c r="A194" s="11" t="s">
        <v>364</v>
      </c>
      <c r="B194" s="12">
        <v>5556</v>
      </c>
      <c r="C194" s="11" t="s">
        <v>417</v>
      </c>
      <c r="D194" s="13" t="s">
        <v>418</v>
      </c>
      <c r="E194" s="14">
        <v>46105</v>
      </c>
      <c r="F194" s="15" t="s">
        <v>6</v>
      </c>
      <c r="G194" s="15" t="s">
        <v>48</v>
      </c>
      <c r="H194" s="11"/>
    </row>
    <row r="195" spans="1:8" x14ac:dyDescent="0.35">
      <c r="A195" s="11" t="s">
        <v>364</v>
      </c>
      <c r="B195" s="12">
        <v>5557</v>
      </c>
      <c r="C195" s="11" t="s">
        <v>419</v>
      </c>
      <c r="D195" s="13" t="s">
        <v>420</v>
      </c>
      <c r="E195" s="14">
        <v>46105</v>
      </c>
      <c r="F195" s="15" t="s">
        <v>6</v>
      </c>
      <c r="G195" s="15" t="s">
        <v>48</v>
      </c>
      <c r="H195" s="11"/>
    </row>
    <row r="196" spans="1:8" x14ac:dyDescent="0.35">
      <c r="A196" s="11" t="s">
        <v>364</v>
      </c>
      <c r="B196" s="12">
        <v>5105</v>
      </c>
      <c r="C196" s="11" t="s">
        <v>133</v>
      </c>
      <c r="D196" s="13" t="s">
        <v>120</v>
      </c>
      <c r="E196" s="14">
        <v>46105</v>
      </c>
      <c r="F196" s="15" t="s">
        <v>12</v>
      </c>
      <c r="G196" s="15" t="s">
        <v>48</v>
      </c>
      <c r="H196" s="11"/>
    </row>
    <row r="197" spans="1:8" x14ac:dyDescent="0.35">
      <c r="A197" s="11" t="s">
        <v>364</v>
      </c>
      <c r="B197" s="12">
        <v>1277</v>
      </c>
      <c r="C197" s="11" t="s">
        <v>421</v>
      </c>
      <c r="D197" s="13" t="s">
        <v>422</v>
      </c>
      <c r="E197" s="14">
        <v>46105</v>
      </c>
      <c r="F197" s="15" t="s">
        <v>12</v>
      </c>
      <c r="G197" s="15" t="s">
        <v>48</v>
      </c>
      <c r="H197" s="11"/>
    </row>
    <row r="198" spans="1:8" x14ac:dyDescent="0.35">
      <c r="A198" s="11" t="s">
        <v>364</v>
      </c>
      <c r="B198" s="12">
        <v>2274</v>
      </c>
      <c r="C198" s="11" t="s">
        <v>423</v>
      </c>
      <c r="D198" s="13" t="s">
        <v>424</v>
      </c>
      <c r="E198" s="14">
        <v>46105</v>
      </c>
      <c r="F198" s="15" t="s">
        <v>12</v>
      </c>
      <c r="G198" s="15" t="s">
        <v>48</v>
      </c>
      <c r="H198" s="11"/>
    </row>
    <row r="199" spans="1:8" x14ac:dyDescent="0.35">
      <c r="A199" s="11" t="s">
        <v>426</v>
      </c>
      <c r="B199" s="12">
        <v>3416</v>
      </c>
      <c r="C199" s="11" t="s">
        <v>425</v>
      </c>
      <c r="D199" s="13" t="s">
        <v>427</v>
      </c>
      <c r="E199" s="14">
        <v>46105</v>
      </c>
      <c r="F199" s="15" t="s">
        <v>12</v>
      </c>
      <c r="G199" s="15" t="s">
        <v>48</v>
      </c>
      <c r="H199" s="11"/>
    </row>
    <row r="200" spans="1:8" x14ac:dyDescent="0.35">
      <c r="A200" s="11" t="s">
        <v>426</v>
      </c>
      <c r="B200" s="12">
        <v>5011</v>
      </c>
      <c r="C200" s="11" t="s">
        <v>428</v>
      </c>
      <c r="D200" s="13" t="s">
        <v>429</v>
      </c>
      <c r="E200" s="14">
        <v>46105</v>
      </c>
      <c r="F200" s="15" t="s">
        <v>12</v>
      </c>
      <c r="G200" s="15" t="s">
        <v>48</v>
      </c>
      <c r="H200" s="11"/>
    </row>
    <row r="201" spans="1:8" x14ac:dyDescent="0.35">
      <c r="A201" s="11" t="s">
        <v>426</v>
      </c>
      <c r="B201" s="12">
        <v>3922</v>
      </c>
      <c r="C201" s="11" t="s">
        <v>430</v>
      </c>
      <c r="D201" s="13" t="s">
        <v>431</v>
      </c>
      <c r="E201" s="14">
        <v>46105</v>
      </c>
      <c r="F201" s="15" t="s">
        <v>12</v>
      </c>
      <c r="G201" s="15" t="s">
        <v>48</v>
      </c>
      <c r="H201" s="11"/>
    </row>
    <row r="202" spans="1:8" x14ac:dyDescent="0.35">
      <c r="A202" s="11" t="s">
        <v>426</v>
      </c>
      <c r="B202" s="12">
        <v>5548</v>
      </c>
      <c r="C202" s="11" t="s">
        <v>432</v>
      </c>
      <c r="D202" s="13" t="s">
        <v>433</v>
      </c>
      <c r="E202" s="14">
        <v>46105</v>
      </c>
      <c r="F202" s="15" t="s">
        <v>12</v>
      </c>
      <c r="G202" s="15" t="s">
        <v>53</v>
      </c>
      <c r="H202" s="11"/>
    </row>
    <row r="203" spans="1:8" x14ac:dyDescent="0.35">
      <c r="A203" s="11" t="s">
        <v>426</v>
      </c>
      <c r="B203" s="12">
        <v>5558</v>
      </c>
      <c r="C203" s="11" t="s">
        <v>434</v>
      </c>
      <c r="D203" s="13" t="s">
        <v>435</v>
      </c>
      <c r="E203" s="14">
        <v>46105</v>
      </c>
      <c r="F203" s="15" t="s">
        <v>6</v>
      </c>
      <c r="G203" s="15" t="s">
        <v>48</v>
      </c>
      <c r="H203" s="11"/>
    </row>
    <row r="204" spans="1:8" x14ac:dyDescent="0.35">
      <c r="A204" s="11" t="s">
        <v>426</v>
      </c>
      <c r="B204" s="12">
        <v>5559</v>
      </c>
      <c r="C204" s="11" t="s">
        <v>436</v>
      </c>
      <c r="D204" s="13" t="s">
        <v>437</v>
      </c>
      <c r="E204" s="14">
        <v>46105</v>
      </c>
      <c r="F204" s="15" t="s">
        <v>6</v>
      </c>
      <c r="G204" s="15" t="s">
        <v>48</v>
      </c>
      <c r="H204" s="11"/>
    </row>
    <row r="205" spans="1:8" x14ac:dyDescent="0.35">
      <c r="A205" s="11" t="s">
        <v>426</v>
      </c>
      <c r="B205" s="12">
        <v>3409</v>
      </c>
      <c r="C205" s="11" t="s">
        <v>438</v>
      </c>
      <c r="D205" s="13" t="s">
        <v>439</v>
      </c>
      <c r="E205" s="14">
        <v>46105</v>
      </c>
      <c r="F205" s="15" t="s">
        <v>12</v>
      </c>
      <c r="G205" s="15" t="s">
        <v>48</v>
      </c>
      <c r="H205" s="11"/>
    </row>
    <row r="206" spans="1:8" x14ac:dyDescent="0.35">
      <c r="A206" s="11" t="s">
        <v>426</v>
      </c>
      <c r="B206" s="12">
        <v>5560</v>
      </c>
      <c r="C206" s="11" t="s">
        <v>440</v>
      </c>
      <c r="D206" s="13" t="s">
        <v>441</v>
      </c>
      <c r="E206" s="14">
        <v>46105</v>
      </c>
      <c r="F206" s="15" t="s">
        <v>6</v>
      </c>
      <c r="G206" s="15" t="s">
        <v>48</v>
      </c>
      <c r="H206" s="11"/>
    </row>
    <row r="207" spans="1:8" x14ac:dyDescent="0.35">
      <c r="A207" s="11" t="s">
        <v>426</v>
      </c>
      <c r="B207" s="12">
        <v>546</v>
      </c>
      <c r="C207" s="11" t="s">
        <v>442</v>
      </c>
      <c r="D207" s="13" t="s">
        <v>443</v>
      </c>
      <c r="E207" s="14">
        <v>46105</v>
      </c>
      <c r="F207" s="15" t="s">
        <v>12</v>
      </c>
      <c r="G207" s="15" t="s">
        <v>48</v>
      </c>
      <c r="H207" s="11"/>
    </row>
    <row r="208" spans="1:8" x14ac:dyDescent="0.35">
      <c r="A208" s="11" t="s">
        <v>426</v>
      </c>
      <c r="B208" s="12">
        <v>2934</v>
      </c>
      <c r="C208" s="11" t="s">
        <v>444</v>
      </c>
      <c r="D208" s="13" t="s">
        <v>445</v>
      </c>
      <c r="E208" s="14">
        <v>46106</v>
      </c>
      <c r="F208" s="15" t="s">
        <v>12</v>
      </c>
      <c r="G208" s="15" t="s">
        <v>48</v>
      </c>
      <c r="H208" s="11"/>
    </row>
    <row r="209" spans="1:8" x14ac:dyDescent="0.35">
      <c r="A209" s="11" t="s">
        <v>426</v>
      </c>
      <c r="B209" s="12">
        <v>5567</v>
      </c>
      <c r="C209" s="11" t="s">
        <v>446</v>
      </c>
      <c r="D209" s="13" t="s">
        <v>447</v>
      </c>
      <c r="E209" s="14">
        <v>46106</v>
      </c>
      <c r="F209" s="15" t="s">
        <v>6</v>
      </c>
      <c r="G209" s="15" t="s">
        <v>326</v>
      </c>
      <c r="H209" s="11" t="s">
        <v>505</v>
      </c>
    </row>
    <row r="210" spans="1:8" x14ac:dyDescent="0.35">
      <c r="A210" s="11" t="s">
        <v>426</v>
      </c>
      <c r="B210" s="12">
        <v>3442</v>
      </c>
      <c r="C210" s="11" t="s">
        <v>448</v>
      </c>
      <c r="D210" s="13" t="s">
        <v>449</v>
      </c>
      <c r="E210" s="14">
        <v>46106</v>
      </c>
      <c r="F210" s="15" t="s">
        <v>12</v>
      </c>
      <c r="G210" s="15" t="s">
        <v>48</v>
      </c>
      <c r="H210" s="11"/>
    </row>
    <row r="211" spans="1:8" x14ac:dyDescent="0.35">
      <c r="A211" s="11" t="s">
        <v>426</v>
      </c>
      <c r="B211" s="12">
        <v>5569</v>
      </c>
      <c r="C211" s="11" t="s">
        <v>450</v>
      </c>
      <c r="D211" s="13" t="s">
        <v>451</v>
      </c>
      <c r="E211" s="14">
        <v>46106</v>
      </c>
      <c r="F211" s="15" t="s">
        <v>6</v>
      </c>
      <c r="G211" s="15" t="s">
        <v>48</v>
      </c>
      <c r="H211" s="11"/>
    </row>
    <row r="212" spans="1:8" x14ac:dyDescent="0.35">
      <c r="A212" s="11" t="s">
        <v>426</v>
      </c>
      <c r="B212" s="12">
        <v>5570</v>
      </c>
      <c r="C212" s="11" t="s">
        <v>452</v>
      </c>
      <c r="D212" s="13" t="s">
        <v>453</v>
      </c>
      <c r="E212" s="14">
        <v>46106</v>
      </c>
      <c r="F212" s="15" t="s">
        <v>6</v>
      </c>
      <c r="G212" s="15" t="s">
        <v>48</v>
      </c>
      <c r="H212" s="11"/>
    </row>
    <row r="213" spans="1:8" x14ac:dyDescent="0.35">
      <c r="A213" s="11" t="s">
        <v>426</v>
      </c>
      <c r="B213" s="12">
        <v>5571</v>
      </c>
      <c r="C213" s="11" t="s">
        <v>454</v>
      </c>
      <c r="D213" s="13" t="s">
        <v>455</v>
      </c>
      <c r="E213" s="14">
        <v>46106</v>
      </c>
      <c r="F213" s="15" t="s">
        <v>6</v>
      </c>
      <c r="G213" s="15" t="s">
        <v>48</v>
      </c>
      <c r="H213" s="11"/>
    </row>
    <row r="214" spans="1:8" x14ac:dyDescent="0.35">
      <c r="A214" s="11" t="s">
        <v>426</v>
      </c>
      <c r="B214" s="12">
        <v>5572</v>
      </c>
      <c r="C214" s="11" t="s">
        <v>456</v>
      </c>
      <c r="D214" s="13" t="s">
        <v>457</v>
      </c>
      <c r="E214" s="14">
        <v>46106</v>
      </c>
      <c r="F214" s="15" t="s">
        <v>6</v>
      </c>
      <c r="G214" s="15" t="s">
        <v>53</v>
      </c>
      <c r="H214" s="11"/>
    </row>
    <row r="215" spans="1:8" x14ac:dyDescent="0.35">
      <c r="A215" s="11" t="s">
        <v>426</v>
      </c>
      <c r="B215" s="12">
        <v>3412</v>
      </c>
      <c r="C215" s="11" t="s">
        <v>458</v>
      </c>
      <c r="D215" s="13" t="s">
        <v>459</v>
      </c>
      <c r="E215" s="14">
        <v>46106</v>
      </c>
      <c r="F215" s="15" t="s">
        <v>12</v>
      </c>
      <c r="G215" s="15" t="s">
        <v>48</v>
      </c>
      <c r="H215" s="11"/>
    </row>
    <row r="216" spans="1:8" x14ac:dyDescent="0.35">
      <c r="A216" s="11" t="s">
        <v>426</v>
      </c>
      <c r="B216" s="12">
        <v>4004</v>
      </c>
      <c r="C216" s="11" t="s">
        <v>460</v>
      </c>
      <c r="D216" s="13" t="s">
        <v>461</v>
      </c>
      <c r="E216" s="14">
        <v>46106</v>
      </c>
      <c r="F216" s="15" t="s">
        <v>12</v>
      </c>
      <c r="G216" s="15" t="s">
        <v>48</v>
      </c>
      <c r="H216" s="11"/>
    </row>
    <row r="217" spans="1:8" x14ac:dyDescent="0.35">
      <c r="A217" s="11" t="s">
        <v>426</v>
      </c>
      <c r="B217" s="12">
        <v>5573</v>
      </c>
      <c r="C217" s="11" t="s">
        <v>462</v>
      </c>
      <c r="D217" s="13" t="s">
        <v>463</v>
      </c>
      <c r="E217" s="14">
        <v>46106</v>
      </c>
      <c r="F217" s="15" t="s">
        <v>6</v>
      </c>
      <c r="G217" s="15" t="s">
        <v>53</v>
      </c>
      <c r="H217" s="11"/>
    </row>
    <row r="218" spans="1:8" x14ac:dyDescent="0.35">
      <c r="A218" s="11" t="s">
        <v>426</v>
      </c>
      <c r="B218" s="12">
        <v>3059</v>
      </c>
      <c r="C218" s="11" t="s">
        <v>469</v>
      </c>
      <c r="D218" s="13" t="s">
        <v>464</v>
      </c>
      <c r="E218" s="14">
        <v>46106</v>
      </c>
      <c r="F218" s="15" t="s">
        <v>12</v>
      </c>
      <c r="G218" s="15" t="s">
        <v>48</v>
      </c>
      <c r="H218" s="11"/>
    </row>
    <row r="219" spans="1:8" x14ac:dyDescent="0.35">
      <c r="A219" s="11" t="s">
        <v>426</v>
      </c>
      <c r="B219" s="12">
        <v>4007</v>
      </c>
      <c r="C219" s="11" t="s">
        <v>470</v>
      </c>
      <c r="D219" s="13" t="s">
        <v>465</v>
      </c>
      <c r="E219" s="14">
        <v>46106</v>
      </c>
      <c r="F219" s="15" t="s">
        <v>12</v>
      </c>
      <c r="G219" s="15" t="s">
        <v>48</v>
      </c>
      <c r="H219" s="11"/>
    </row>
    <row r="220" spans="1:8" x14ac:dyDescent="0.35">
      <c r="A220" s="11" t="s">
        <v>426</v>
      </c>
      <c r="B220" s="12">
        <v>2874</v>
      </c>
      <c r="C220" s="11" t="s">
        <v>471</v>
      </c>
      <c r="D220" s="13" t="s">
        <v>466</v>
      </c>
      <c r="E220" s="14">
        <v>46106</v>
      </c>
      <c r="F220" s="15" t="s">
        <v>12</v>
      </c>
      <c r="G220" s="15" t="s">
        <v>48</v>
      </c>
      <c r="H220" s="11"/>
    </row>
    <row r="221" spans="1:8" x14ac:dyDescent="0.35">
      <c r="A221" s="11" t="s">
        <v>426</v>
      </c>
      <c r="B221" s="12">
        <v>5548</v>
      </c>
      <c r="C221" s="11" t="s">
        <v>472</v>
      </c>
      <c r="D221" s="13" t="s">
        <v>433</v>
      </c>
      <c r="E221" s="14">
        <v>46106</v>
      </c>
      <c r="F221" s="15" t="s">
        <v>6</v>
      </c>
      <c r="G221" s="15" t="s">
        <v>48</v>
      </c>
      <c r="H221" s="11"/>
    </row>
    <row r="222" spans="1:8" x14ac:dyDescent="0.35">
      <c r="A222" s="11" t="s">
        <v>426</v>
      </c>
      <c r="B222" s="12">
        <v>5549</v>
      </c>
      <c r="C222" s="11" t="s">
        <v>473</v>
      </c>
      <c r="D222" s="13" t="s">
        <v>467</v>
      </c>
      <c r="E222" s="14">
        <v>46106</v>
      </c>
      <c r="F222" s="15" t="s">
        <v>6</v>
      </c>
      <c r="G222" s="15" t="s">
        <v>48</v>
      </c>
      <c r="H222" s="11"/>
    </row>
    <row r="223" spans="1:8" x14ac:dyDescent="0.35">
      <c r="A223" s="11" t="s">
        <v>426</v>
      </c>
      <c r="B223" s="12">
        <v>546</v>
      </c>
      <c r="C223" s="11" t="s">
        <v>474</v>
      </c>
      <c r="D223" s="13" t="s">
        <v>443</v>
      </c>
      <c r="E223" s="14">
        <v>46106</v>
      </c>
      <c r="F223" s="15" t="s">
        <v>12</v>
      </c>
      <c r="G223" s="15" t="s">
        <v>48</v>
      </c>
      <c r="H223" s="11"/>
    </row>
    <row r="224" spans="1:8" x14ac:dyDescent="0.35">
      <c r="A224" s="11" t="s">
        <v>426</v>
      </c>
      <c r="B224" s="12">
        <v>5550</v>
      </c>
      <c r="C224" s="11" t="s">
        <v>475</v>
      </c>
      <c r="D224" s="13" t="s">
        <v>468</v>
      </c>
      <c r="E224" s="14">
        <v>46106</v>
      </c>
      <c r="F224" s="15" t="s">
        <v>6</v>
      </c>
      <c r="G224" s="15" t="s">
        <v>48</v>
      </c>
      <c r="H224" s="11"/>
    </row>
    <row r="225" spans="1:8" x14ac:dyDescent="0.35">
      <c r="A225" s="11" t="s">
        <v>426</v>
      </c>
      <c r="B225" s="12">
        <v>2962</v>
      </c>
      <c r="C225" s="11" t="s">
        <v>479</v>
      </c>
      <c r="D225" s="13" t="s">
        <v>27</v>
      </c>
      <c r="E225" s="14">
        <v>46106</v>
      </c>
      <c r="F225" s="15" t="s">
        <v>12</v>
      </c>
      <c r="G225" s="15" t="s">
        <v>48</v>
      </c>
      <c r="H225" s="11"/>
    </row>
    <row r="226" spans="1:8" x14ac:dyDescent="0.35">
      <c r="A226" s="11" t="s">
        <v>426</v>
      </c>
      <c r="B226" s="12">
        <v>5209</v>
      </c>
      <c r="C226" s="11" t="s">
        <v>480</v>
      </c>
      <c r="D226" s="13" t="s">
        <v>476</v>
      </c>
      <c r="E226" s="14">
        <v>46106</v>
      </c>
      <c r="F226" s="15" t="s">
        <v>12</v>
      </c>
      <c r="G226" s="15" t="s">
        <v>48</v>
      </c>
      <c r="H226" s="11"/>
    </row>
    <row r="227" spans="1:8" x14ac:dyDescent="0.35">
      <c r="A227" s="11" t="s">
        <v>426</v>
      </c>
      <c r="B227" s="12">
        <v>3337</v>
      </c>
      <c r="C227" s="11" t="s">
        <v>481</v>
      </c>
      <c r="D227" s="13" t="s">
        <v>477</v>
      </c>
      <c r="E227" s="14">
        <v>46106</v>
      </c>
      <c r="F227" s="15" t="s">
        <v>12</v>
      </c>
      <c r="G227" s="15" t="s">
        <v>48</v>
      </c>
      <c r="H227" s="11"/>
    </row>
    <row r="228" spans="1:8" x14ac:dyDescent="0.35">
      <c r="A228" s="11" t="s">
        <v>426</v>
      </c>
      <c r="B228" s="12">
        <v>4251</v>
      </c>
      <c r="C228" s="11" t="s">
        <v>102</v>
      </c>
      <c r="D228" s="13" t="s">
        <v>106</v>
      </c>
      <c r="E228" s="14">
        <v>46106</v>
      </c>
      <c r="F228" s="15" t="s">
        <v>12</v>
      </c>
      <c r="G228" s="15" t="s">
        <v>48</v>
      </c>
      <c r="H228" s="11"/>
    </row>
    <row r="229" spans="1:8" x14ac:dyDescent="0.35">
      <c r="A229" s="11" t="s">
        <v>426</v>
      </c>
      <c r="B229" s="12">
        <v>5534</v>
      </c>
      <c r="C229" s="11" t="s">
        <v>482</v>
      </c>
      <c r="D229" s="13" t="s">
        <v>478</v>
      </c>
      <c r="E229" s="14">
        <v>46106</v>
      </c>
      <c r="F229" s="15" t="s">
        <v>6</v>
      </c>
      <c r="G229" s="15" t="s">
        <v>48</v>
      </c>
      <c r="H229" s="11"/>
    </row>
    <row r="230" spans="1:8" x14ac:dyDescent="0.35">
      <c r="A230" s="11" t="s">
        <v>426</v>
      </c>
      <c r="B230" s="12">
        <v>5580</v>
      </c>
      <c r="C230" s="11" t="s">
        <v>484</v>
      </c>
      <c r="D230" s="13" t="s">
        <v>485</v>
      </c>
      <c r="E230" s="14">
        <v>46106</v>
      </c>
      <c r="F230" s="15" t="s">
        <v>6</v>
      </c>
      <c r="G230" s="15" t="s">
        <v>48</v>
      </c>
      <c r="H230" s="11"/>
    </row>
    <row r="231" spans="1:8" x14ac:dyDescent="0.35">
      <c r="A231" s="11" t="s">
        <v>426</v>
      </c>
      <c r="B231" s="12">
        <v>4308</v>
      </c>
      <c r="C231" s="11" t="s">
        <v>486</v>
      </c>
      <c r="D231" s="13" t="s">
        <v>487</v>
      </c>
      <c r="E231" s="14">
        <v>46106</v>
      </c>
      <c r="F231" s="15" t="s">
        <v>12</v>
      </c>
      <c r="G231" s="15" t="s">
        <v>48</v>
      </c>
      <c r="H231" s="11"/>
    </row>
    <row r="232" spans="1:8" x14ac:dyDescent="0.35">
      <c r="A232" s="11" t="s">
        <v>426</v>
      </c>
      <c r="B232" s="12">
        <v>5581</v>
      </c>
      <c r="C232" s="11" t="s">
        <v>488</v>
      </c>
      <c r="D232" s="13" t="s">
        <v>489</v>
      </c>
      <c r="E232" s="14">
        <v>46106</v>
      </c>
      <c r="F232" s="15" t="s">
        <v>6</v>
      </c>
      <c r="G232" s="15" t="s">
        <v>326</v>
      </c>
      <c r="H232" s="11" t="s">
        <v>500</v>
      </c>
    </row>
    <row r="233" spans="1:8" x14ac:dyDescent="0.35">
      <c r="A233" s="11" t="s">
        <v>426</v>
      </c>
      <c r="B233" s="12">
        <v>5582</v>
      </c>
      <c r="C233" s="11" t="s">
        <v>490</v>
      </c>
      <c r="D233" s="13" t="s">
        <v>491</v>
      </c>
      <c r="E233" s="14">
        <v>46106</v>
      </c>
      <c r="F233" s="15" t="s">
        <v>6</v>
      </c>
      <c r="G233" s="15" t="s">
        <v>48</v>
      </c>
      <c r="H233" s="11"/>
    </row>
    <row r="234" spans="1:8" x14ac:dyDescent="0.35">
      <c r="A234" s="11" t="s">
        <v>426</v>
      </c>
      <c r="B234" s="12">
        <v>5583</v>
      </c>
      <c r="C234" s="11" t="s">
        <v>492</v>
      </c>
      <c r="D234" s="13" t="s">
        <v>493</v>
      </c>
      <c r="E234" s="14">
        <v>46106</v>
      </c>
      <c r="F234" s="15" t="s">
        <v>6</v>
      </c>
      <c r="G234" s="15" t="s">
        <v>48</v>
      </c>
      <c r="H234" s="11"/>
    </row>
    <row r="235" spans="1:8" x14ac:dyDescent="0.35">
      <c r="A235" s="11" t="s">
        <v>426</v>
      </c>
      <c r="B235" s="12">
        <v>5584</v>
      </c>
      <c r="C235" s="11" t="s">
        <v>494</v>
      </c>
      <c r="D235" s="13" t="s">
        <v>495</v>
      </c>
      <c r="E235" s="14">
        <v>46106</v>
      </c>
      <c r="F235" s="15" t="s">
        <v>6</v>
      </c>
      <c r="G235" s="15" t="s">
        <v>48</v>
      </c>
      <c r="H235" s="11"/>
    </row>
    <row r="236" spans="1:8" x14ac:dyDescent="0.35">
      <c r="A236" s="11" t="s">
        <v>426</v>
      </c>
      <c r="B236" s="12">
        <v>5585</v>
      </c>
      <c r="C236" s="11" t="s">
        <v>496</v>
      </c>
      <c r="D236" s="13" t="s">
        <v>497</v>
      </c>
      <c r="E236" s="14">
        <v>46106</v>
      </c>
      <c r="F236" s="15" t="s">
        <v>6</v>
      </c>
      <c r="G236" s="15" t="s">
        <v>48</v>
      </c>
      <c r="H236" s="11"/>
    </row>
    <row r="237" spans="1:8" x14ac:dyDescent="0.35">
      <c r="A237" s="11" t="s">
        <v>426</v>
      </c>
      <c r="B237" s="12">
        <v>5586</v>
      </c>
      <c r="C237" s="11" t="s">
        <v>498</v>
      </c>
      <c r="D237" s="13" t="s">
        <v>499</v>
      </c>
      <c r="E237" s="14">
        <v>46106</v>
      </c>
      <c r="F237" s="15" t="s">
        <v>6</v>
      </c>
      <c r="G237" s="15" t="s">
        <v>48</v>
      </c>
      <c r="H237" s="11"/>
    </row>
    <row r="238" spans="1:8" x14ac:dyDescent="0.35">
      <c r="A238" s="11" t="s">
        <v>426</v>
      </c>
      <c r="B238" s="12">
        <v>3935</v>
      </c>
      <c r="C238" s="11" t="s">
        <v>501</v>
      </c>
      <c r="D238" s="13" t="s">
        <v>502</v>
      </c>
      <c r="E238" s="14">
        <v>46106</v>
      </c>
      <c r="F238" s="15" t="s">
        <v>12</v>
      </c>
      <c r="G238" s="15" t="s">
        <v>48</v>
      </c>
      <c r="H238" s="11"/>
    </row>
    <row r="239" spans="1:8" x14ac:dyDescent="0.35">
      <c r="A239" s="11" t="s">
        <v>364</v>
      </c>
      <c r="B239" s="12">
        <v>334</v>
      </c>
      <c r="C239" s="11" t="s">
        <v>503</v>
      </c>
      <c r="D239" s="13" t="s">
        <v>504</v>
      </c>
      <c r="E239" s="14">
        <v>46106</v>
      </c>
      <c r="F239" s="15" t="s">
        <v>12</v>
      </c>
      <c r="G239" s="15" t="s">
        <v>48</v>
      </c>
      <c r="H239" s="11"/>
    </row>
    <row r="240" spans="1:8" x14ac:dyDescent="0.35">
      <c r="A240" s="11" t="s">
        <v>426</v>
      </c>
      <c r="B240" s="12">
        <v>1512</v>
      </c>
      <c r="C240" s="11" t="s">
        <v>506</v>
      </c>
      <c r="D240" s="13" t="s">
        <v>507</v>
      </c>
      <c r="E240" s="14">
        <v>46107</v>
      </c>
      <c r="F240" s="15" t="s">
        <v>12</v>
      </c>
      <c r="G240" s="15" t="s">
        <v>48</v>
      </c>
      <c r="H240" s="11"/>
    </row>
    <row r="241" spans="1:8" x14ac:dyDescent="0.35">
      <c r="A241" s="11" t="s">
        <v>426</v>
      </c>
      <c r="B241" s="12">
        <v>5596</v>
      </c>
      <c r="C241" s="11" t="s">
        <v>508</v>
      </c>
      <c r="D241" s="13" t="s">
        <v>509</v>
      </c>
      <c r="E241" s="14">
        <v>46107</v>
      </c>
      <c r="F241" s="15" t="s">
        <v>6</v>
      </c>
      <c r="G241" s="15" t="s">
        <v>48</v>
      </c>
      <c r="H241" s="11"/>
    </row>
    <row r="242" spans="1:8" x14ac:dyDescent="0.35">
      <c r="A242" s="11" t="s">
        <v>426</v>
      </c>
      <c r="B242" s="12">
        <v>5597</v>
      </c>
      <c r="C242" s="11" t="s">
        <v>510</v>
      </c>
      <c r="D242" s="13" t="s">
        <v>511</v>
      </c>
      <c r="E242" s="14">
        <v>46107</v>
      </c>
      <c r="F242" s="15" t="s">
        <v>6</v>
      </c>
      <c r="G242" s="15" t="s">
        <v>48</v>
      </c>
      <c r="H242" s="11" t="s">
        <v>521</v>
      </c>
    </row>
    <row r="243" spans="1:8" x14ac:dyDescent="0.35">
      <c r="A243" s="11" t="s">
        <v>426</v>
      </c>
      <c r="B243" s="12">
        <v>5598</v>
      </c>
      <c r="C243" s="11" t="s">
        <v>512</v>
      </c>
      <c r="D243" s="13" t="s">
        <v>513</v>
      </c>
      <c r="E243" s="14">
        <v>46107</v>
      </c>
      <c r="F243" s="15" t="s">
        <v>6</v>
      </c>
      <c r="G243" s="15" t="s">
        <v>48</v>
      </c>
      <c r="H243" s="11"/>
    </row>
    <row r="244" spans="1:8" x14ac:dyDescent="0.35">
      <c r="A244" s="11" t="s">
        <v>426</v>
      </c>
      <c r="B244" s="12">
        <v>4503</v>
      </c>
      <c r="C244" s="11" t="s">
        <v>514</v>
      </c>
      <c r="D244" s="13" t="s">
        <v>515</v>
      </c>
      <c r="E244" s="14">
        <v>46107</v>
      </c>
      <c r="F244" s="15" t="s">
        <v>12</v>
      </c>
      <c r="G244" s="15" t="s">
        <v>48</v>
      </c>
      <c r="H244" s="11"/>
    </row>
    <row r="245" spans="1:8" x14ac:dyDescent="0.35">
      <c r="A245" s="11" t="s">
        <v>426</v>
      </c>
      <c r="B245" s="12">
        <v>2979</v>
      </c>
      <c r="C245" s="11" t="s">
        <v>516</v>
      </c>
      <c r="D245" s="13" t="s">
        <v>517</v>
      </c>
      <c r="E245" s="14">
        <v>46107</v>
      </c>
      <c r="F245" s="15" t="s">
        <v>12</v>
      </c>
      <c r="G245" s="15" t="s">
        <v>48</v>
      </c>
      <c r="H245" s="11" t="s">
        <v>522</v>
      </c>
    </row>
    <row r="246" spans="1:8" x14ac:dyDescent="0.35">
      <c r="A246" s="11" t="s">
        <v>426</v>
      </c>
      <c r="B246" s="12">
        <v>5599</v>
      </c>
      <c r="C246" s="11" t="s">
        <v>518</v>
      </c>
      <c r="D246" s="13" t="s">
        <v>519</v>
      </c>
      <c r="E246" s="14">
        <v>46107</v>
      </c>
      <c r="F246" s="15" t="s">
        <v>6</v>
      </c>
      <c r="G246" s="15" t="s">
        <v>48</v>
      </c>
      <c r="H246" s="11" t="s">
        <v>520</v>
      </c>
    </row>
    <row r="247" spans="1:8" x14ac:dyDescent="0.35">
      <c r="A247" s="11" t="s">
        <v>56</v>
      </c>
      <c r="B247" s="12">
        <v>5600</v>
      </c>
      <c r="C247" s="11" t="s">
        <v>535</v>
      </c>
      <c r="D247" s="13" t="s">
        <v>532</v>
      </c>
      <c r="E247" s="14">
        <v>46107</v>
      </c>
      <c r="F247" s="15" t="s">
        <v>6</v>
      </c>
      <c r="G247" s="15" t="s">
        <v>48</v>
      </c>
      <c r="H247" s="11"/>
    </row>
    <row r="248" spans="1:8" x14ac:dyDescent="0.35">
      <c r="A248" s="11" t="s">
        <v>523</v>
      </c>
      <c r="B248" s="12">
        <v>5601</v>
      </c>
      <c r="C248" s="11" t="s">
        <v>536</v>
      </c>
      <c r="D248" s="13" t="s">
        <v>533</v>
      </c>
      <c r="E248" s="14">
        <v>46107</v>
      </c>
      <c r="F248" s="15" t="s">
        <v>6</v>
      </c>
      <c r="G248" s="15" t="s">
        <v>48</v>
      </c>
      <c r="H248" s="11"/>
    </row>
    <row r="249" spans="1:8" x14ac:dyDescent="0.35">
      <c r="A249" s="11" t="s">
        <v>364</v>
      </c>
      <c r="B249" s="12">
        <v>3620</v>
      </c>
      <c r="C249" s="11" t="s">
        <v>537</v>
      </c>
      <c r="D249" s="13" t="s">
        <v>534</v>
      </c>
      <c r="E249" s="14">
        <v>46107</v>
      </c>
      <c r="F249" s="15" t="s">
        <v>12</v>
      </c>
      <c r="G249" s="15" t="s">
        <v>48</v>
      </c>
      <c r="H249" s="11"/>
    </row>
    <row r="250" spans="1:8" x14ac:dyDescent="0.35">
      <c r="A250" s="11" t="s">
        <v>523</v>
      </c>
      <c r="B250" s="12" t="s">
        <v>549</v>
      </c>
      <c r="C250" s="11" t="s">
        <v>549</v>
      </c>
      <c r="D250" s="13" t="s">
        <v>524</v>
      </c>
      <c r="E250" s="14">
        <v>46108</v>
      </c>
      <c r="F250" s="15" t="s">
        <v>6</v>
      </c>
      <c r="G250" s="15" t="s">
        <v>48</v>
      </c>
      <c r="H250" s="11"/>
    </row>
    <row r="251" spans="1:8" x14ac:dyDescent="0.35">
      <c r="A251" s="11" t="s">
        <v>523</v>
      </c>
      <c r="B251" s="12" t="s">
        <v>549</v>
      </c>
      <c r="C251" s="11" t="s">
        <v>549</v>
      </c>
      <c r="D251" s="13" t="s">
        <v>525</v>
      </c>
      <c r="E251" s="14">
        <v>46108</v>
      </c>
      <c r="F251" s="15" t="s">
        <v>6</v>
      </c>
      <c r="G251" s="15" t="s">
        <v>48</v>
      </c>
      <c r="H251" s="11"/>
    </row>
    <row r="252" spans="1:8" x14ac:dyDescent="0.35">
      <c r="A252" s="11" t="s">
        <v>523</v>
      </c>
      <c r="B252" s="12" t="s">
        <v>549</v>
      </c>
      <c r="C252" s="11" t="s">
        <v>549</v>
      </c>
      <c r="D252" s="13" t="s">
        <v>526</v>
      </c>
      <c r="E252" s="14">
        <v>46108</v>
      </c>
      <c r="F252" s="15" t="s">
        <v>6</v>
      </c>
      <c r="G252" s="15" t="s">
        <v>48</v>
      </c>
      <c r="H252" s="11"/>
    </row>
    <row r="253" spans="1:8" x14ac:dyDescent="0.35">
      <c r="A253" s="11" t="s">
        <v>523</v>
      </c>
      <c r="B253" s="12" t="s">
        <v>549</v>
      </c>
      <c r="C253" s="11" t="s">
        <v>549</v>
      </c>
      <c r="D253" s="13" t="s">
        <v>527</v>
      </c>
      <c r="E253" s="14">
        <v>46108</v>
      </c>
      <c r="F253" s="15" t="s">
        <v>6</v>
      </c>
      <c r="G253" s="15" t="s">
        <v>48</v>
      </c>
      <c r="H253" s="11"/>
    </row>
    <row r="254" spans="1:8" x14ac:dyDescent="0.35">
      <c r="A254" s="11" t="s">
        <v>523</v>
      </c>
      <c r="B254" s="12" t="s">
        <v>549</v>
      </c>
      <c r="C254" s="11" t="s">
        <v>549</v>
      </c>
      <c r="D254" s="13" t="s">
        <v>528</v>
      </c>
      <c r="E254" s="14">
        <v>46108</v>
      </c>
      <c r="F254" s="15" t="s">
        <v>6</v>
      </c>
      <c r="G254" s="15" t="s">
        <v>48</v>
      </c>
      <c r="H254" s="11"/>
    </row>
    <row r="255" spans="1:8" x14ac:dyDescent="0.35">
      <c r="A255" s="11" t="s">
        <v>523</v>
      </c>
      <c r="B255" s="12" t="s">
        <v>549</v>
      </c>
      <c r="C255" s="11" t="s">
        <v>549</v>
      </c>
      <c r="D255" s="13" t="s">
        <v>529</v>
      </c>
      <c r="E255" s="14">
        <v>46108</v>
      </c>
      <c r="F255" s="15" t="s">
        <v>6</v>
      </c>
      <c r="G255" s="15" t="s">
        <v>48</v>
      </c>
      <c r="H255" s="11"/>
    </row>
    <row r="256" spans="1:8" x14ac:dyDescent="0.35">
      <c r="A256" s="11" t="s">
        <v>523</v>
      </c>
      <c r="B256" s="12" t="s">
        <v>549</v>
      </c>
      <c r="C256" s="11" t="s">
        <v>549</v>
      </c>
      <c r="D256" s="13" t="s">
        <v>530</v>
      </c>
      <c r="E256" s="14">
        <v>46108</v>
      </c>
      <c r="F256" s="15" t="s">
        <v>6</v>
      </c>
      <c r="G256" s="15" t="s">
        <v>48</v>
      </c>
      <c r="H256" s="11"/>
    </row>
    <row r="257" spans="1:8" x14ac:dyDescent="0.35">
      <c r="A257" s="11" t="s">
        <v>523</v>
      </c>
      <c r="B257" s="12" t="s">
        <v>549</v>
      </c>
      <c r="C257" s="11" t="s">
        <v>549</v>
      </c>
      <c r="D257" s="13" t="s">
        <v>531</v>
      </c>
      <c r="E257" s="14">
        <v>46108</v>
      </c>
      <c r="F257" s="15" t="s">
        <v>6</v>
      </c>
      <c r="G257" s="15" t="s">
        <v>48</v>
      </c>
      <c r="H257" s="11"/>
    </row>
    <row r="258" spans="1:8" x14ac:dyDescent="0.35">
      <c r="A258" s="11" t="s">
        <v>66</v>
      </c>
      <c r="B258" s="12">
        <v>5617</v>
      </c>
      <c r="C258" s="11" t="s">
        <v>541</v>
      </c>
      <c r="D258" s="13" t="s">
        <v>538</v>
      </c>
      <c r="E258" s="14">
        <v>46108</v>
      </c>
      <c r="F258" s="15" t="s">
        <v>6</v>
      </c>
      <c r="G258" s="15" t="s">
        <v>48</v>
      </c>
      <c r="H258" s="11"/>
    </row>
    <row r="259" spans="1:8" x14ac:dyDescent="0.35">
      <c r="A259" s="11" t="s">
        <v>66</v>
      </c>
      <c r="B259" s="12">
        <v>5618</v>
      </c>
      <c r="C259" s="11" t="s">
        <v>542</v>
      </c>
      <c r="D259" s="13" t="s">
        <v>539</v>
      </c>
      <c r="E259" s="14">
        <v>46108</v>
      </c>
      <c r="F259" s="15" t="s">
        <v>6</v>
      </c>
      <c r="G259" s="15" t="s">
        <v>48</v>
      </c>
      <c r="H259" s="11"/>
    </row>
    <row r="260" spans="1:8" x14ac:dyDescent="0.35">
      <c r="A260" s="11" t="s">
        <v>66</v>
      </c>
      <c r="B260" s="12">
        <v>5619</v>
      </c>
      <c r="C260" s="11" t="s">
        <v>543</v>
      </c>
      <c r="D260" s="13" t="s">
        <v>540</v>
      </c>
      <c r="E260" s="14">
        <v>46108</v>
      </c>
      <c r="F260" s="15" t="s">
        <v>6</v>
      </c>
      <c r="G260" s="15" t="s">
        <v>48</v>
      </c>
      <c r="H260" s="11"/>
    </row>
    <row r="261" spans="1:8" x14ac:dyDescent="0.35">
      <c r="A261" s="11" t="s">
        <v>76</v>
      </c>
      <c r="B261" s="12">
        <v>546</v>
      </c>
      <c r="C261" s="11" t="s">
        <v>544</v>
      </c>
      <c r="D261" s="13" t="s">
        <v>443</v>
      </c>
      <c r="E261" s="14">
        <v>46108</v>
      </c>
      <c r="F261" s="15" t="s">
        <v>12</v>
      </c>
      <c r="G261" s="15" t="s">
        <v>48</v>
      </c>
      <c r="H261" s="11"/>
    </row>
    <row r="262" spans="1:8" x14ac:dyDescent="0.35">
      <c r="A262" s="11" t="s">
        <v>76</v>
      </c>
      <c r="B262" s="12">
        <v>5228</v>
      </c>
      <c r="C262" s="11" t="s">
        <v>545</v>
      </c>
      <c r="D262" s="13" t="s">
        <v>546</v>
      </c>
      <c r="E262" s="14">
        <v>46108</v>
      </c>
      <c r="F262" s="15" t="s">
        <v>6</v>
      </c>
      <c r="G262" s="15" t="s">
        <v>48</v>
      </c>
      <c r="H262" s="11"/>
    </row>
    <row r="263" spans="1:8" x14ac:dyDescent="0.35">
      <c r="A263" s="11" t="s">
        <v>76</v>
      </c>
      <c r="B263" s="12">
        <v>3798</v>
      </c>
      <c r="C263" s="11" t="s">
        <v>548</v>
      </c>
      <c r="D263" s="13" t="s">
        <v>547</v>
      </c>
      <c r="E263" s="14">
        <v>46108</v>
      </c>
      <c r="F263" s="15" t="s">
        <v>12</v>
      </c>
      <c r="G263" s="15" t="s">
        <v>48</v>
      </c>
      <c r="H263" s="11"/>
    </row>
    <row r="264" spans="1:8" x14ac:dyDescent="0.35">
      <c r="A264" s="11" t="s">
        <v>551</v>
      </c>
      <c r="B264" s="12">
        <v>5624</v>
      </c>
      <c r="C264" s="11" t="s">
        <v>550</v>
      </c>
      <c r="D264" s="13" t="s">
        <v>552</v>
      </c>
      <c r="E264" s="14">
        <v>46111</v>
      </c>
      <c r="F264" s="15" t="s">
        <v>6</v>
      </c>
      <c r="G264" s="15" t="s">
        <v>47</v>
      </c>
      <c r="H264" s="11"/>
    </row>
    <row r="265" spans="1:8" x14ac:dyDescent="0.35">
      <c r="A265" s="11" t="s">
        <v>551</v>
      </c>
      <c r="B265" s="12">
        <v>5587</v>
      </c>
      <c r="C265" s="11" t="s">
        <v>553</v>
      </c>
      <c r="D265" s="13" t="s">
        <v>554</v>
      </c>
      <c r="E265" s="14">
        <v>46111</v>
      </c>
      <c r="F265" s="15" t="s">
        <v>12</v>
      </c>
      <c r="G265" s="15" t="s">
        <v>47</v>
      </c>
      <c r="H265" s="11"/>
    </row>
    <row r="266" spans="1:8" x14ac:dyDescent="0.35">
      <c r="A266" s="11" t="s">
        <v>82</v>
      </c>
      <c r="B266" s="12">
        <v>5610</v>
      </c>
      <c r="C266" s="11" t="s">
        <v>555</v>
      </c>
      <c r="D266" s="13" t="s">
        <v>556</v>
      </c>
      <c r="E266" s="14">
        <v>46111</v>
      </c>
      <c r="F266" s="15" t="s">
        <v>12</v>
      </c>
      <c r="G266" s="15" t="s">
        <v>47</v>
      </c>
      <c r="H266" s="11"/>
    </row>
    <row r="267" spans="1:8" x14ac:dyDescent="0.35">
      <c r="A267" s="11" t="s">
        <v>82</v>
      </c>
      <c r="B267" s="12">
        <v>449</v>
      </c>
      <c r="C267" s="11" t="s">
        <v>557</v>
      </c>
      <c r="D267" s="13" t="s">
        <v>558</v>
      </c>
      <c r="E267" s="14">
        <v>46111</v>
      </c>
      <c r="F267" s="15" t="s">
        <v>12</v>
      </c>
      <c r="G267" s="15" t="s">
        <v>47</v>
      </c>
      <c r="H267" s="11"/>
    </row>
    <row r="268" spans="1:8" x14ac:dyDescent="0.35">
      <c r="A268" s="11" t="s">
        <v>82</v>
      </c>
      <c r="B268" s="12">
        <v>5625</v>
      </c>
      <c r="C268" s="11" t="s">
        <v>560</v>
      </c>
      <c r="D268" s="13" t="s">
        <v>559</v>
      </c>
      <c r="E268" s="14">
        <v>46111</v>
      </c>
      <c r="F268" s="15" t="s">
        <v>6</v>
      </c>
      <c r="G268" s="15" t="s">
        <v>47</v>
      </c>
      <c r="H268" s="11"/>
    </row>
    <row r="269" spans="1:8" x14ac:dyDescent="0.35">
      <c r="A269" s="11" t="s">
        <v>426</v>
      </c>
      <c r="B269" s="12">
        <v>5244</v>
      </c>
      <c r="C269" s="11" t="s">
        <v>561</v>
      </c>
      <c r="D269" s="13" t="s">
        <v>562</v>
      </c>
      <c r="E269" s="14">
        <v>46111</v>
      </c>
      <c r="F269" s="15" t="s">
        <v>6</v>
      </c>
      <c r="G269" s="15" t="s">
        <v>47</v>
      </c>
      <c r="H269" s="11"/>
    </row>
    <row r="270" spans="1:8" x14ac:dyDescent="0.35">
      <c r="A270" s="11" t="s">
        <v>426</v>
      </c>
      <c r="B270" s="12">
        <v>3496</v>
      </c>
      <c r="C270" s="11" t="s">
        <v>564</v>
      </c>
      <c r="D270" s="13" t="s">
        <v>563</v>
      </c>
      <c r="E270" s="14">
        <v>46111</v>
      </c>
      <c r="F270" s="15" t="s">
        <v>12</v>
      </c>
      <c r="G270" s="15" t="s">
        <v>48</v>
      </c>
      <c r="H270" s="11"/>
    </row>
    <row r="271" spans="1:8" x14ac:dyDescent="0.35">
      <c r="A271" s="11" t="s">
        <v>58</v>
      </c>
      <c r="B271" s="12">
        <v>4037</v>
      </c>
      <c r="C271" s="11" t="s">
        <v>605</v>
      </c>
      <c r="D271" s="13" t="s">
        <v>599</v>
      </c>
      <c r="E271" s="14">
        <v>46111</v>
      </c>
      <c r="F271" s="15" t="s">
        <v>6</v>
      </c>
      <c r="G271" s="15" t="s">
        <v>48</v>
      </c>
      <c r="H271" s="11"/>
    </row>
    <row r="272" spans="1:8" x14ac:dyDescent="0.35">
      <c r="A272" s="11" t="s">
        <v>75</v>
      </c>
      <c r="B272" s="12">
        <v>5241</v>
      </c>
      <c r="C272" s="11" t="s">
        <v>606</v>
      </c>
      <c r="D272" s="13" t="s">
        <v>600</v>
      </c>
      <c r="E272" s="14">
        <v>46111</v>
      </c>
      <c r="F272" s="15" t="s">
        <v>6</v>
      </c>
      <c r="G272" s="15" t="s">
        <v>48</v>
      </c>
      <c r="H272" s="11"/>
    </row>
    <row r="273" spans="1:8" x14ac:dyDescent="0.35">
      <c r="A273" s="11" t="s">
        <v>75</v>
      </c>
      <c r="B273" s="12">
        <v>1955</v>
      </c>
      <c r="C273" s="11" t="s">
        <v>607</v>
      </c>
      <c r="D273" s="13" t="s">
        <v>601</v>
      </c>
      <c r="E273" s="14">
        <v>46111</v>
      </c>
      <c r="F273" s="15" t="s">
        <v>12</v>
      </c>
      <c r="G273" s="15" t="s">
        <v>48</v>
      </c>
      <c r="H273" s="11"/>
    </row>
    <row r="274" spans="1:8" x14ac:dyDescent="0.35">
      <c r="A274" s="11" t="s">
        <v>75</v>
      </c>
      <c r="B274" s="12">
        <v>5242</v>
      </c>
      <c r="C274" s="11" t="s">
        <v>608</v>
      </c>
      <c r="D274" s="13" t="s">
        <v>602</v>
      </c>
      <c r="E274" s="14">
        <v>46111</v>
      </c>
      <c r="F274" s="15" t="s">
        <v>6</v>
      </c>
      <c r="G274" s="15" t="s">
        <v>48</v>
      </c>
      <c r="H274" s="11"/>
    </row>
    <row r="275" spans="1:8" x14ac:dyDescent="0.35">
      <c r="A275" s="11" t="s">
        <v>75</v>
      </c>
      <c r="B275" s="12">
        <v>5244</v>
      </c>
      <c r="C275" s="11" t="s">
        <v>609</v>
      </c>
      <c r="D275" s="13" t="s">
        <v>603</v>
      </c>
      <c r="E275" s="14">
        <v>46111</v>
      </c>
      <c r="F275" s="15" t="s">
        <v>6</v>
      </c>
      <c r="G275" s="15" t="s">
        <v>48</v>
      </c>
      <c r="H275" s="11"/>
    </row>
    <row r="276" spans="1:8" x14ac:dyDescent="0.35">
      <c r="A276" s="11" t="s">
        <v>75</v>
      </c>
      <c r="B276" s="12">
        <v>5245</v>
      </c>
      <c r="C276" s="11" t="s">
        <v>610</v>
      </c>
      <c r="D276" s="13" t="s">
        <v>604</v>
      </c>
      <c r="E276" s="14">
        <v>46111</v>
      </c>
      <c r="F276" s="15" t="s">
        <v>6</v>
      </c>
      <c r="G276" s="15" t="s">
        <v>48</v>
      </c>
      <c r="H276" s="11"/>
    </row>
    <row r="277" spans="1:8" x14ac:dyDescent="0.35">
      <c r="A277" s="11" t="s">
        <v>523</v>
      </c>
      <c r="B277" s="12">
        <v>3404</v>
      </c>
      <c r="C277" s="11" t="s">
        <v>105</v>
      </c>
      <c r="D277" s="13" t="s">
        <v>109</v>
      </c>
      <c r="E277" s="14">
        <v>46112</v>
      </c>
      <c r="F277" s="15" t="s">
        <v>12</v>
      </c>
      <c r="G277" s="15" t="s">
        <v>47</v>
      </c>
      <c r="H277" s="11"/>
    </row>
    <row r="278" spans="1:8" x14ac:dyDescent="0.35">
      <c r="A278" s="11" t="s">
        <v>523</v>
      </c>
      <c r="B278" s="12">
        <v>3446</v>
      </c>
      <c r="C278" s="11" t="s">
        <v>565</v>
      </c>
      <c r="D278" s="13" t="s">
        <v>566</v>
      </c>
      <c r="E278" s="14">
        <v>46112</v>
      </c>
      <c r="F278" s="15" t="s">
        <v>12</v>
      </c>
      <c r="G278" s="15" t="s">
        <v>326</v>
      </c>
      <c r="H278" s="11" t="s">
        <v>632</v>
      </c>
    </row>
    <row r="279" spans="1:8" x14ac:dyDescent="0.35">
      <c r="A279" s="11" t="s">
        <v>523</v>
      </c>
      <c r="B279" s="12">
        <v>555</v>
      </c>
      <c r="C279" s="11" t="s">
        <v>348</v>
      </c>
      <c r="D279" s="13" t="s">
        <v>343</v>
      </c>
      <c r="E279" s="14">
        <v>46112</v>
      </c>
      <c r="F279" s="15" t="s">
        <v>12</v>
      </c>
      <c r="G279" s="15" t="s">
        <v>47</v>
      </c>
      <c r="H279" s="11"/>
    </row>
    <row r="280" spans="1:8" x14ac:dyDescent="0.35">
      <c r="A280" s="11" t="s">
        <v>523</v>
      </c>
      <c r="B280" s="12">
        <v>1783</v>
      </c>
      <c r="C280" s="11" t="s">
        <v>567</v>
      </c>
      <c r="D280" s="13" t="s">
        <v>568</v>
      </c>
      <c r="E280" s="14">
        <v>46112</v>
      </c>
      <c r="F280" s="15" t="s">
        <v>12</v>
      </c>
      <c r="G280" s="15" t="s">
        <v>47</v>
      </c>
      <c r="H280" s="11"/>
    </row>
    <row r="281" spans="1:8" x14ac:dyDescent="0.35">
      <c r="A281" s="11" t="s">
        <v>523</v>
      </c>
      <c r="B281" s="12">
        <v>5209</v>
      </c>
      <c r="C281" s="11" t="s">
        <v>569</v>
      </c>
      <c r="D281" s="13" t="s">
        <v>570</v>
      </c>
      <c r="E281" s="14">
        <v>46112</v>
      </c>
      <c r="F281" s="15" t="s">
        <v>12</v>
      </c>
      <c r="G281" s="15" t="s">
        <v>47</v>
      </c>
      <c r="H281" s="11"/>
    </row>
    <row r="282" spans="1:8" x14ac:dyDescent="0.35">
      <c r="A282" s="11" t="s">
        <v>523</v>
      </c>
      <c r="B282" s="12">
        <v>5626</v>
      </c>
      <c r="C282" s="11" t="s">
        <v>571</v>
      </c>
      <c r="D282" s="13" t="s">
        <v>572</v>
      </c>
      <c r="E282" s="14">
        <v>46112</v>
      </c>
      <c r="F282" s="15" t="s">
        <v>6</v>
      </c>
      <c r="G282" s="15" t="s">
        <v>80</v>
      </c>
      <c r="H282" s="11"/>
    </row>
    <row r="283" spans="1:8" x14ac:dyDescent="0.35">
      <c r="A283" s="11" t="s">
        <v>523</v>
      </c>
      <c r="B283" s="12">
        <v>5627</v>
      </c>
      <c r="C283" s="11" t="s">
        <v>573</v>
      </c>
      <c r="D283" s="13" t="s">
        <v>574</v>
      </c>
      <c r="E283" s="14">
        <v>46112</v>
      </c>
      <c r="F283" s="15" t="s">
        <v>6</v>
      </c>
      <c r="G283" s="15" t="s">
        <v>47</v>
      </c>
      <c r="H283" s="11"/>
    </row>
    <row r="284" spans="1:8" x14ac:dyDescent="0.35">
      <c r="A284" s="11" t="s">
        <v>523</v>
      </c>
      <c r="B284" s="12">
        <v>5628</v>
      </c>
      <c r="C284" s="11" t="s">
        <v>575</v>
      </c>
      <c r="D284" s="13" t="s">
        <v>576</v>
      </c>
      <c r="E284" s="14">
        <v>46112</v>
      </c>
      <c r="F284" s="15" t="s">
        <v>6</v>
      </c>
      <c r="G284" s="15" t="s">
        <v>326</v>
      </c>
      <c r="H284" s="11" t="s">
        <v>290</v>
      </c>
    </row>
    <row r="285" spans="1:8" x14ac:dyDescent="0.35">
      <c r="A285" s="11" t="s">
        <v>523</v>
      </c>
      <c r="B285" s="12">
        <v>1700</v>
      </c>
      <c r="C285" s="11" t="s">
        <v>577</v>
      </c>
      <c r="D285" s="13" t="s">
        <v>578</v>
      </c>
      <c r="E285" s="14">
        <v>46112</v>
      </c>
      <c r="F285" s="15" t="s">
        <v>12</v>
      </c>
      <c r="G285" s="15" t="s">
        <v>47</v>
      </c>
      <c r="H285" s="11"/>
    </row>
    <row r="286" spans="1:8" x14ac:dyDescent="0.35">
      <c r="A286" s="11" t="s">
        <v>523</v>
      </c>
      <c r="B286" s="12">
        <v>5629</v>
      </c>
      <c r="C286" s="11" t="s">
        <v>579</v>
      </c>
      <c r="D286" s="13" t="s">
        <v>584</v>
      </c>
      <c r="E286" s="14">
        <v>46112</v>
      </c>
      <c r="F286" s="15" t="s">
        <v>6</v>
      </c>
      <c r="G286" s="15" t="s">
        <v>47</v>
      </c>
      <c r="H286" s="11"/>
    </row>
    <row r="287" spans="1:8" x14ac:dyDescent="0.35">
      <c r="A287" s="11" t="s">
        <v>523</v>
      </c>
      <c r="B287" s="12">
        <v>5630</v>
      </c>
      <c r="C287" s="11" t="s">
        <v>580</v>
      </c>
      <c r="D287" s="13" t="s">
        <v>583</v>
      </c>
      <c r="E287" s="14">
        <v>46112</v>
      </c>
      <c r="F287" s="15" t="s">
        <v>6</v>
      </c>
      <c r="G287" s="15" t="s">
        <v>47</v>
      </c>
      <c r="H287" s="11"/>
    </row>
    <row r="288" spans="1:8" x14ac:dyDescent="0.35">
      <c r="A288" s="11" t="s">
        <v>523</v>
      </c>
      <c r="B288" s="12">
        <v>5631</v>
      </c>
      <c r="C288" s="11" t="s">
        <v>581</v>
      </c>
      <c r="D288" s="13" t="s">
        <v>582</v>
      </c>
      <c r="E288" s="14">
        <v>46112</v>
      </c>
      <c r="F288" s="15" t="s">
        <v>6</v>
      </c>
      <c r="G288" s="15" t="s">
        <v>80</v>
      </c>
      <c r="H288" s="11"/>
    </row>
    <row r="289" spans="1:8" x14ac:dyDescent="0.35">
      <c r="A289" s="11" t="s">
        <v>523</v>
      </c>
      <c r="B289" s="12">
        <v>2380</v>
      </c>
      <c r="C289" s="11" t="s">
        <v>585</v>
      </c>
      <c r="D289" s="13" t="s">
        <v>592</v>
      </c>
      <c r="E289" s="14">
        <v>46112</v>
      </c>
      <c r="F289" s="15" t="s">
        <v>12</v>
      </c>
      <c r="G289" s="15" t="s">
        <v>47</v>
      </c>
      <c r="H289" s="11"/>
    </row>
    <row r="290" spans="1:8" x14ac:dyDescent="0.35">
      <c r="A290" s="11" t="s">
        <v>523</v>
      </c>
      <c r="B290" s="12">
        <v>5632</v>
      </c>
      <c r="C290" s="11" t="s">
        <v>586</v>
      </c>
      <c r="D290" s="13" t="s">
        <v>593</v>
      </c>
      <c r="E290" s="14">
        <v>46112</v>
      </c>
      <c r="F290" s="15" t="s">
        <v>6</v>
      </c>
      <c r="G290" s="15" t="s">
        <v>53</v>
      </c>
      <c r="H290" s="11"/>
    </row>
    <row r="291" spans="1:8" x14ac:dyDescent="0.35">
      <c r="A291" s="11" t="s">
        <v>523</v>
      </c>
      <c r="B291" s="12">
        <v>5633</v>
      </c>
      <c r="C291" s="11" t="s">
        <v>587</v>
      </c>
      <c r="D291" s="13" t="s">
        <v>594</v>
      </c>
      <c r="E291" s="14">
        <v>46112</v>
      </c>
      <c r="F291" s="15" t="s">
        <v>6</v>
      </c>
      <c r="G291" s="15" t="s">
        <v>53</v>
      </c>
      <c r="H291" s="11"/>
    </row>
    <row r="292" spans="1:8" x14ac:dyDescent="0.35">
      <c r="A292" s="11" t="s">
        <v>523</v>
      </c>
      <c r="B292" s="12">
        <v>2925</v>
      </c>
      <c r="C292" s="11" t="s">
        <v>588</v>
      </c>
      <c r="D292" s="13" t="s">
        <v>595</v>
      </c>
      <c r="E292" s="14">
        <v>46112</v>
      </c>
      <c r="F292" s="15" t="s">
        <v>12</v>
      </c>
      <c r="G292" s="15" t="s">
        <v>47</v>
      </c>
      <c r="H292" s="11"/>
    </row>
    <row r="293" spans="1:8" x14ac:dyDescent="0.35">
      <c r="A293" s="11" t="s">
        <v>523</v>
      </c>
      <c r="B293" s="12">
        <v>5634</v>
      </c>
      <c r="C293" s="11" t="s">
        <v>589</v>
      </c>
      <c r="D293" s="13" t="s">
        <v>596</v>
      </c>
      <c r="E293" s="14">
        <v>46112</v>
      </c>
      <c r="F293" s="15" t="s">
        <v>6</v>
      </c>
      <c r="G293" s="15" t="s">
        <v>47</v>
      </c>
      <c r="H293" s="11"/>
    </row>
    <row r="294" spans="1:8" x14ac:dyDescent="0.35">
      <c r="A294" s="11" t="s">
        <v>523</v>
      </c>
      <c r="B294" s="12">
        <v>5635</v>
      </c>
      <c r="C294" s="11" t="s">
        <v>590</v>
      </c>
      <c r="D294" s="13" t="s">
        <v>597</v>
      </c>
      <c r="E294" s="14">
        <v>46112</v>
      </c>
      <c r="F294" s="15" t="s">
        <v>6</v>
      </c>
      <c r="G294" s="15" t="s">
        <v>47</v>
      </c>
      <c r="H294" s="11"/>
    </row>
    <row r="295" spans="1:8" x14ac:dyDescent="0.35">
      <c r="A295" s="11" t="s">
        <v>523</v>
      </c>
      <c r="B295" s="12">
        <v>5636</v>
      </c>
      <c r="C295" s="11" t="s">
        <v>591</v>
      </c>
      <c r="D295" s="13" t="s">
        <v>598</v>
      </c>
      <c r="E295" s="14">
        <v>46112</v>
      </c>
      <c r="F295" s="15" t="s">
        <v>6</v>
      </c>
      <c r="G295" s="15" t="s">
        <v>47</v>
      </c>
      <c r="H295" s="11"/>
    </row>
    <row r="296" spans="1:8" x14ac:dyDescent="0.35">
      <c r="A296" s="11" t="s">
        <v>182</v>
      </c>
      <c r="B296" s="12">
        <v>5251</v>
      </c>
      <c r="C296" s="11" t="s">
        <v>615</v>
      </c>
      <c r="D296" s="13" t="s">
        <v>611</v>
      </c>
      <c r="E296" s="14">
        <v>46112</v>
      </c>
      <c r="F296" s="15" t="s">
        <v>6</v>
      </c>
      <c r="G296" s="15" t="s">
        <v>47</v>
      </c>
      <c r="H296" s="11"/>
    </row>
    <row r="297" spans="1:8" x14ac:dyDescent="0.35">
      <c r="A297" s="11" t="s">
        <v>182</v>
      </c>
      <c r="B297" s="12">
        <v>5252</v>
      </c>
      <c r="C297" s="11" t="s">
        <v>616</v>
      </c>
      <c r="D297" s="13" t="s">
        <v>612</v>
      </c>
      <c r="E297" s="14">
        <v>46112</v>
      </c>
      <c r="F297" s="15" t="s">
        <v>6</v>
      </c>
      <c r="G297" s="15" t="s">
        <v>47</v>
      </c>
      <c r="H297" s="11"/>
    </row>
    <row r="298" spans="1:8" x14ac:dyDescent="0.35">
      <c r="A298" s="11" t="s">
        <v>63</v>
      </c>
      <c r="B298" s="12">
        <v>5254</v>
      </c>
      <c r="C298" s="11" t="s">
        <v>617</v>
      </c>
      <c r="D298" s="13" t="s">
        <v>613</v>
      </c>
      <c r="E298" s="14">
        <v>46112</v>
      </c>
      <c r="F298" s="15" t="s">
        <v>6</v>
      </c>
      <c r="G298" s="15" t="s">
        <v>47</v>
      </c>
      <c r="H298" s="11"/>
    </row>
    <row r="299" spans="1:8" x14ac:dyDescent="0.35">
      <c r="A299" s="11" t="s">
        <v>63</v>
      </c>
      <c r="B299" s="12">
        <v>3044</v>
      </c>
      <c r="C299" s="11" t="s">
        <v>375</v>
      </c>
      <c r="D299" s="13" t="s">
        <v>614</v>
      </c>
      <c r="E299" s="14">
        <v>46112</v>
      </c>
      <c r="F299" s="15" t="s">
        <v>12</v>
      </c>
      <c r="G299" s="15" t="s">
        <v>47</v>
      </c>
      <c r="H299" s="11"/>
    </row>
    <row r="300" spans="1:8" x14ac:dyDescent="0.35">
      <c r="A300" s="11" t="s">
        <v>26</v>
      </c>
      <c r="B300" s="12">
        <v>3404</v>
      </c>
      <c r="C300" s="11" t="s">
        <v>618</v>
      </c>
      <c r="D300" s="13" t="s">
        <v>109</v>
      </c>
      <c r="E300" s="14">
        <v>46113</v>
      </c>
      <c r="F300" s="15" t="s">
        <v>12</v>
      </c>
      <c r="G300" s="15" t="s">
        <v>326</v>
      </c>
      <c r="H300" s="11" t="s">
        <v>625</v>
      </c>
    </row>
    <row r="301" spans="1:8" x14ac:dyDescent="0.35">
      <c r="A301" s="11" t="s">
        <v>70</v>
      </c>
      <c r="B301" s="12">
        <v>2765</v>
      </c>
      <c r="C301" s="11" t="s">
        <v>361</v>
      </c>
      <c r="D301" s="13" t="s">
        <v>358</v>
      </c>
      <c r="E301" s="14">
        <v>46113</v>
      </c>
      <c r="F301" s="15" t="s">
        <v>12</v>
      </c>
      <c r="G301" s="15" t="s">
        <v>326</v>
      </c>
      <c r="H301" s="11"/>
    </row>
    <row r="302" spans="1:8" x14ac:dyDescent="0.35">
      <c r="A302" s="11" t="s">
        <v>70</v>
      </c>
      <c r="B302" s="12">
        <v>2170</v>
      </c>
      <c r="C302" s="11" t="s">
        <v>619</v>
      </c>
      <c r="D302" s="13" t="s">
        <v>620</v>
      </c>
      <c r="E302" s="14">
        <v>46113</v>
      </c>
      <c r="F302" s="15" t="s">
        <v>12</v>
      </c>
      <c r="G302" s="15" t="s">
        <v>48</v>
      </c>
      <c r="H302" s="11"/>
    </row>
    <row r="303" spans="1:8" x14ac:dyDescent="0.35">
      <c r="A303" s="11" t="s">
        <v>70</v>
      </c>
      <c r="B303" s="12">
        <v>5263</v>
      </c>
      <c r="C303" s="11" t="s">
        <v>621</v>
      </c>
      <c r="D303" s="13" t="s">
        <v>622</v>
      </c>
      <c r="E303" s="14">
        <v>46113</v>
      </c>
      <c r="F303" s="15" t="s">
        <v>6</v>
      </c>
      <c r="G303" s="15" t="s">
        <v>48</v>
      </c>
      <c r="H303" s="11"/>
    </row>
    <row r="304" spans="1:8" x14ac:dyDescent="0.35">
      <c r="A304" s="11" t="s">
        <v>70</v>
      </c>
      <c r="B304" s="12">
        <v>5264</v>
      </c>
      <c r="C304" s="11" t="s">
        <v>623</v>
      </c>
      <c r="D304" s="13" t="s">
        <v>624</v>
      </c>
      <c r="E304" s="14">
        <v>46113</v>
      </c>
      <c r="F304" s="15" t="s">
        <v>6</v>
      </c>
      <c r="G304" s="15" t="s">
        <v>48</v>
      </c>
      <c r="H304" s="11"/>
    </row>
    <row r="305" spans="1:8" x14ac:dyDescent="0.35">
      <c r="A305" s="11" t="s">
        <v>70</v>
      </c>
      <c r="B305" s="12">
        <v>3207</v>
      </c>
      <c r="C305" s="11" t="s">
        <v>626</v>
      </c>
      <c r="D305" s="13" t="s">
        <v>627</v>
      </c>
      <c r="E305" s="14">
        <v>46113</v>
      </c>
      <c r="F305" s="15" t="s">
        <v>12</v>
      </c>
      <c r="G305" s="15" t="s">
        <v>48</v>
      </c>
      <c r="H305" s="11"/>
    </row>
    <row r="306" spans="1:8" x14ac:dyDescent="0.35">
      <c r="A306" s="11" t="s">
        <v>70</v>
      </c>
      <c r="B306" s="12">
        <v>5265</v>
      </c>
      <c r="C306" s="11" t="s">
        <v>628</v>
      </c>
      <c r="D306" s="13" t="s">
        <v>629</v>
      </c>
      <c r="E306" s="14">
        <v>46113</v>
      </c>
      <c r="F306" s="15" t="s">
        <v>6</v>
      </c>
      <c r="G306" s="15" t="s">
        <v>48</v>
      </c>
      <c r="H306" s="11"/>
    </row>
    <row r="307" spans="1:8" x14ac:dyDescent="0.35">
      <c r="A307" s="11" t="s">
        <v>63</v>
      </c>
      <c r="B307" s="12">
        <v>5266</v>
      </c>
      <c r="C307" s="11" t="s">
        <v>630</v>
      </c>
      <c r="D307" s="13" t="s">
        <v>631</v>
      </c>
      <c r="E307" s="14">
        <v>46113</v>
      </c>
      <c r="F307" s="15" t="s">
        <v>6</v>
      </c>
      <c r="G307" s="15" t="s">
        <v>48</v>
      </c>
      <c r="H307" s="11"/>
    </row>
    <row r="308" spans="1:8" x14ac:dyDescent="0.35">
      <c r="A308" s="11" t="s">
        <v>635</v>
      </c>
      <c r="B308" s="12">
        <v>5269</v>
      </c>
      <c r="C308" s="11" t="s">
        <v>633</v>
      </c>
      <c r="D308" s="13" t="s">
        <v>634</v>
      </c>
      <c r="E308" s="14">
        <v>46113</v>
      </c>
      <c r="F308" s="15" t="s">
        <v>6</v>
      </c>
      <c r="G308" s="15" t="s">
        <v>48</v>
      </c>
      <c r="H308" s="11"/>
    </row>
    <row r="309" spans="1:8" x14ac:dyDescent="0.35">
      <c r="A309" s="11" t="s">
        <v>635</v>
      </c>
      <c r="B309" s="12">
        <v>5270</v>
      </c>
      <c r="C309" s="11" t="s">
        <v>636</v>
      </c>
      <c r="D309" s="13" t="s">
        <v>637</v>
      </c>
      <c r="E309" s="14">
        <v>46113</v>
      </c>
      <c r="F309" s="15" t="s">
        <v>6</v>
      </c>
      <c r="G309" s="15" t="s">
        <v>48</v>
      </c>
      <c r="H309" s="11"/>
    </row>
    <row r="310" spans="1:8" x14ac:dyDescent="0.35">
      <c r="A310" s="11" t="s">
        <v>635</v>
      </c>
      <c r="B310" s="12">
        <v>5271</v>
      </c>
      <c r="C310" s="11" t="s">
        <v>638</v>
      </c>
      <c r="D310" s="13" t="s">
        <v>639</v>
      </c>
      <c r="E310" s="14">
        <v>46113</v>
      </c>
      <c r="F310" s="15" t="s">
        <v>6</v>
      </c>
      <c r="G310" s="15" t="s">
        <v>48</v>
      </c>
      <c r="H310" s="11"/>
    </row>
    <row r="311" spans="1:8" x14ac:dyDescent="0.35">
      <c r="A311" s="11" t="s">
        <v>635</v>
      </c>
      <c r="B311" s="12">
        <v>5272</v>
      </c>
      <c r="C311" s="11" t="s">
        <v>640</v>
      </c>
      <c r="D311" s="13" t="s">
        <v>641</v>
      </c>
      <c r="E311" s="14">
        <v>46113</v>
      </c>
      <c r="F311" s="15" t="s">
        <v>6</v>
      </c>
      <c r="G311" s="15" t="s">
        <v>54</v>
      </c>
      <c r="H311" s="11"/>
    </row>
    <row r="312" spans="1:8" x14ac:dyDescent="0.35">
      <c r="A312" s="11" t="s">
        <v>26</v>
      </c>
      <c r="B312" s="12">
        <v>5273</v>
      </c>
      <c r="C312" s="11" t="s">
        <v>642</v>
      </c>
      <c r="D312" s="13" t="s">
        <v>643</v>
      </c>
      <c r="E312" s="14">
        <v>46113</v>
      </c>
      <c r="F312" s="15" t="s">
        <v>6</v>
      </c>
      <c r="G312" s="15" t="s">
        <v>48</v>
      </c>
      <c r="H312" s="11"/>
    </row>
    <row r="313" spans="1:8" x14ac:dyDescent="0.35">
      <c r="A313" s="11" t="s">
        <v>26</v>
      </c>
      <c r="B313" s="12">
        <v>5274</v>
      </c>
      <c r="C313" s="11" t="s">
        <v>644</v>
      </c>
      <c r="D313" s="13" t="s">
        <v>645</v>
      </c>
      <c r="E313" s="14">
        <v>46113</v>
      </c>
      <c r="F313" s="15" t="s">
        <v>6</v>
      </c>
      <c r="G313" s="15" t="s">
        <v>48</v>
      </c>
      <c r="H313" s="11"/>
    </row>
    <row r="314" spans="1:8" x14ac:dyDescent="0.35">
      <c r="A314" s="11" t="s">
        <v>63</v>
      </c>
      <c r="B314" s="12">
        <v>5246</v>
      </c>
      <c r="C314" s="11" t="s">
        <v>646</v>
      </c>
      <c r="D314" s="13" t="s">
        <v>647</v>
      </c>
      <c r="E314" s="14">
        <v>46114</v>
      </c>
      <c r="F314" s="15" t="s">
        <v>12</v>
      </c>
      <c r="G314" s="15" t="s">
        <v>53</v>
      </c>
      <c r="H314" s="11"/>
    </row>
    <row r="315" spans="1:8" x14ac:dyDescent="0.35">
      <c r="A315" s="11" t="s">
        <v>648</v>
      </c>
      <c r="B315" s="12">
        <v>5278</v>
      </c>
      <c r="C315" s="11" t="s">
        <v>649</v>
      </c>
      <c r="D315" s="13" t="s">
        <v>650</v>
      </c>
      <c r="E315" s="14">
        <v>46114</v>
      </c>
      <c r="F315" s="15" t="s">
        <v>6</v>
      </c>
      <c r="G315" s="15" t="s">
        <v>48</v>
      </c>
      <c r="H315" s="11"/>
    </row>
    <row r="316" spans="1:8" x14ac:dyDescent="0.35">
      <c r="A316" s="11" t="s">
        <v>63</v>
      </c>
      <c r="B316" s="12">
        <v>2049</v>
      </c>
      <c r="C316" s="11" t="s">
        <v>651</v>
      </c>
      <c r="D316" s="13" t="s">
        <v>652</v>
      </c>
      <c r="E316" s="14">
        <v>46114</v>
      </c>
      <c r="F316" s="15" t="s">
        <v>12</v>
      </c>
      <c r="G316" s="15" t="s">
        <v>48</v>
      </c>
      <c r="H316" s="11"/>
    </row>
    <row r="317" spans="1:8" x14ac:dyDescent="0.35">
      <c r="A317" s="11" t="s">
        <v>4</v>
      </c>
      <c r="B317" s="12">
        <v>2046</v>
      </c>
      <c r="C317" s="11" t="s">
        <v>655</v>
      </c>
      <c r="D317" s="13" t="s">
        <v>332</v>
      </c>
      <c r="E317" s="14">
        <v>46114</v>
      </c>
      <c r="F317" s="15" t="s">
        <v>12</v>
      </c>
      <c r="G317" s="15" t="s">
        <v>48</v>
      </c>
      <c r="H317" s="11"/>
    </row>
    <row r="318" spans="1:8" x14ac:dyDescent="0.35">
      <c r="A318" s="11" t="s">
        <v>26</v>
      </c>
      <c r="B318" s="12">
        <v>5282</v>
      </c>
      <c r="C318" s="11" t="s">
        <v>653</v>
      </c>
      <c r="D318" s="13" t="s">
        <v>654</v>
      </c>
      <c r="E318" s="14">
        <v>46114</v>
      </c>
      <c r="F318" s="15" t="s">
        <v>6</v>
      </c>
      <c r="G318" s="15" t="s">
        <v>53</v>
      </c>
      <c r="H318" s="11"/>
    </row>
    <row r="319" spans="1:8" x14ac:dyDescent="0.35">
      <c r="A319" s="11" t="s">
        <v>70</v>
      </c>
      <c r="B319" s="12">
        <v>4007</v>
      </c>
      <c r="C319" s="11" t="s">
        <v>658</v>
      </c>
      <c r="D319" s="13" t="s">
        <v>465</v>
      </c>
      <c r="E319" s="14">
        <v>46114</v>
      </c>
      <c r="F319" s="15" t="s">
        <v>12</v>
      </c>
      <c r="G319" s="15" t="s">
        <v>48</v>
      </c>
      <c r="H319" s="11"/>
    </row>
    <row r="320" spans="1:8" x14ac:dyDescent="0.35">
      <c r="A320" s="11" t="s">
        <v>26</v>
      </c>
      <c r="B320" s="12">
        <v>5287</v>
      </c>
      <c r="C320" s="11" t="s">
        <v>656</v>
      </c>
      <c r="D320" s="13" t="s">
        <v>657</v>
      </c>
      <c r="E320" s="14">
        <v>46114</v>
      </c>
      <c r="F320" s="15" t="s">
        <v>6</v>
      </c>
      <c r="G320" s="15" t="s">
        <v>48</v>
      </c>
      <c r="H320" s="11"/>
    </row>
    <row r="321" spans="1:8" x14ac:dyDescent="0.35">
      <c r="A321" s="11" t="s">
        <v>659</v>
      </c>
      <c r="B321" s="12">
        <v>5638</v>
      </c>
      <c r="C321" s="11" t="s">
        <v>660</v>
      </c>
      <c r="D321" s="13" t="s">
        <v>669</v>
      </c>
      <c r="E321" s="14">
        <v>46119</v>
      </c>
      <c r="F321" s="15" t="s">
        <v>6</v>
      </c>
      <c r="G321" s="15" t="s">
        <v>48</v>
      </c>
      <c r="H321" s="11"/>
    </row>
    <row r="322" spans="1:8" x14ac:dyDescent="0.35">
      <c r="A322" s="11" t="s">
        <v>659</v>
      </c>
      <c r="B322" s="12">
        <v>5639</v>
      </c>
      <c r="C322" s="11" t="s">
        <v>661</v>
      </c>
      <c r="D322" s="13" t="s">
        <v>668</v>
      </c>
      <c r="E322" s="14">
        <v>46119</v>
      </c>
      <c r="F322" s="15" t="s">
        <v>6</v>
      </c>
      <c r="G322" s="15" t="s">
        <v>326</v>
      </c>
      <c r="H322" s="11" t="s">
        <v>721</v>
      </c>
    </row>
    <row r="323" spans="1:8" x14ac:dyDescent="0.35">
      <c r="A323" s="11" t="s">
        <v>659</v>
      </c>
      <c r="B323" s="12">
        <v>5640</v>
      </c>
      <c r="C323" s="11" t="s">
        <v>662</v>
      </c>
      <c r="D323" s="13" t="s">
        <v>667</v>
      </c>
      <c r="E323" s="14">
        <v>46119</v>
      </c>
      <c r="F323" s="15" t="s">
        <v>6</v>
      </c>
      <c r="G323" s="15" t="s">
        <v>326</v>
      </c>
      <c r="H323" s="11" t="s">
        <v>689</v>
      </c>
    </row>
    <row r="324" spans="1:8" x14ac:dyDescent="0.35">
      <c r="A324" s="11" t="s">
        <v>659</v>
      </c>
      <c r="B324" s="12">
        <v>5641</v>
      </c>
      <c r="C324" s="11" t="s">
        <v>663</v>
      </c>
      <c r="D324" s="13" t="s">
        <v>666</v>
      </c>
      <c r="E324" s="14">
        <v>46119</v>
      </c>
      <c r="F324" s="15" t="s">
        <v>6</v>
      </c>
      <c r="G324" s="15" t="s">
        <v>48</v>
      </c>
      <c r="H324" s="11"/>
    </row>
    <row r="325" spans="1:8" x14ac:dyDescent="0.35">
      <c r="A325" s="11" t="s">
        <v>659</v>
      </c>
      <c r="B325" s="12">
        <v>1408</v>
      </c>
      <c r="C325" s="11" t="s">
        <v>664</v>
      </c>
      <c r="D325" s="13" t="s">
        <v>665</v>
      </c>
      <c r="E325" s="14">
        <v>46119</v>
      </c>
      <c r="F325" s="15" t="s">
        <v>12</v>
      </c>
      <c r="G325" s="15" t="s">
        <v>48</v>
      </c>
      <c r="H325" s="11"/>
    </row>
    <row r="326" spans="1:8" x14ac:dyDescent="0.35">
      <c r="A326" s="11" t="s">
        <v>659</v>
      </c>
      <c r="B326" s="12">
        <v>5642</v>
      </c>
      <c r="C326" s="11" t="s">
        <v>670</v>
      </c>
      <c r="D326" s="13" t="s">
        <v>677</v>
      </c>
      <c r="E326" s="14">
        <v>46119</v>
      </c>
      <c r="F326" s="15" t="s">
        <v>6</v>
      </c>
      <c r="G326" s="15" t="s">
        <v>48</v>
      </c>
      <c r="H326" s="11"/>
    </row>
    <row r="327" spans="1:8" x14ac:dyDescent="0.35">
      <c r="A327" s="11" t="s">
        <v>659</v>
      </c>
      <c r="B327" s="12">
        <v>5643</v>
      </c>
      <c r="C327" s="11" t="s">
        <v>671</v>
      </c>
      <c r="D327" s="13" t="s">
        <v>676</v>
      </c>
      <c r="E327" s="14">
        <v>46119</v>
      </c>
      <c r="F327" s="15" t="s">
        <v>6</v>
      </c>
      <c r="G327" s="15" t="s">
        <v>48</v>
      </c>
      <c r="H327" s="11"/>
    </row>
    <row r="328" spans="1:8" x14ac:dyDescent="0.35">
      <c r="A328" s="11" t="s">
        <v>659</v>
      </c>
      <c r="B328" s="12">
        <v>5644</v>
      </c>
      <c r="C328" s="11" t="s">
        <v>672</v>
      </c>
      <c r="D328" s="13" t="s">
        <v>675</v>
      </c>
      <c r="E328" s="14">
        <v>46119</v>
      </c>
      <c r="F328" s="15" t="s">
        <v>6</v>
      </c>
      <c r="G328" s="15" t="s">
        <v>326</v>
      </c>
      <c r="H328" s="11" t="s">
        <v>688</v>
      </c>
    </row>
    <row r="329" spans="1:8" x14ac:dyDescent="0.35">
      <c r="A329" s="11" t="s">
        <v>659</v>
      </c>
      <c r="B329" s="12">
        <v>5645</v>
      </c>
      <c r="C329" s="11" t="s">
        <v>673</v>
      </c>
      <c r="D329" s="13" t="s">
        <v>674</v>
      </c>
      <c r="E329" s="14">
        <v>46119</v>
      </c>
      <c r="F329" s="15" t="s">
        <v>6</v>
      </c>
      <c r="G329" s="15" t="s">
        <v>48</v>
      </c>
      <c r="H329" s="11"/>
    </row>
    <row r="330" spans="1:8" x14ac:dyDescent="0.35">
      <c r="A330" s="11" t="s">
        <v>364</v>
      </c>
      <c r="B330" s="12">
        <v>4081</v>
      </c>
      <c r="C330" s="11" t="s">
        <v>681</v>
      </c>
      <c r="D330" s="13" t="s">
        <v>680</v>
      </c>
      <c r="E330" s="14">
        <v>46119</v>
      </c>
      <c r="F330" s="15" t="s">
        <v>12</v>
      </c>
      <c r="G330" s="15" t="s">
        <v>48</v>
      </c>
      <c r="H330" s="11"/>
    </row>
    <row r="331" spans="1:8" x14ac:dyDescent="0.35">
      <c r="A331" s="11" t="s">
        <v>364</v>
      </c>
      <c r="B331" s="12">
        <v>5636</v>
      </c>
      <c r="C331" s="11" t="s">
        <v>591</v>
      </c>
      <c r="D331" s="13" t="s">
        <v>598</v>
      </c>
      <c r="E331" s="14">
        <v>46119</v>
      </c>
      <c r="F331" s="15" t="s">
        <v>12</v>
      </c>
      <c r="G331" s="15" t="s">
        <v>48</v>
      </c>
      <c r="H331" s="11"/>
    </row>
    <row r="332" spans="1:8" x14ac:dyDescent="0.35">
      <c r="A332" s="11" t="s">
        <v>364</v>
      </c>
      <c r="B332" s="12">
        <v>4099</v>
      </c>
      <c r="C332" s="11" t="s">
        <v>682</v>
      </c>
      <c r="D332" s="13" t="s">
        <v>683</v>
      </c>
      <c r="E332" s="14">
        <v>46119</v>
      </c>
      <c r="F332" s="15" t="s">
        <v>12</v>
      </c>
      <c r="G332" s="15" t="s">
        <v>326</v>
      </c>
      <c r="H332" s="11" t="s">
        <v>714</v>
      </c>
    </row>
    <row r="333" spans="1:8" x14ac:dyDescent="0.35">
      <c r="A333" s="11" t="s">
        <v>364</v>
      </c>
      <c r="B333" s="12">
        <v>4511</v>
      </c>
      <c r="C333" s="11" t="s">
        <v>684</v>
      </c>
      <c r="D333" s="13" t="s">
        <v>685</v>
      </c>
      <c r="E333" s="14">
        <v>46119</v>
      </c>
      <c r="F333" s="15" t="s">
        <v>12</v>
      </c>
      <c r="G333" s="15" t="s">
        <v>48</v>
      </c>
      <c r="H333" s="11"/>
    </row>
    <row r="334" spans="1:8" x14ac:dyDescent="0.35">
      <c r="A334" s="11" t="s">
        <v>364</v>
      </c>
      <c r="B334" s="12">
        <v>2635</v>
      </c>
      <c r="C334" s="11" t="s">
        <v>686</v>
      </c>
      <c r="D334" s="13" t="s">
        <v>687</v>
      </c>
      <c r="E334" s="14">
        <v>46119</v>
      </c>
      <c r="F334" s="15" t="s">
        <v>12</v>
      </c>
      <c r="G334" s="15" t="s">
        <v>48</v>
      </c>
      <c r="H334" s="11"/>
    </row>
    <row r="335" spans="1:8" x14ac:dyDescent="0.35">
      <c r="A335" s="11" t="s">
        <v>659</v>
      </c>
      <c r="B335" s="12">
        <v>5647</v>
      </c>
      <c r="C335" s="11" t="s">
        <v>692</v>
      </c>
      <c r="D335" s="13" t="s">
        <v>691</v>
      </c>
      <c r="E335" s="14">
        <v>46120</v>
      </c>
      <c r="F335" s="15" t="s">
        <v>6</v>
      </c>
      <c r="G335" s="15" t="s">
        <v>48</v>
      </c>
      <c r="H335" s="11"/>
    </row>
    <row r="336" spans="1:8" x14ac:dyDescent="0.35">
      <c r="A336" s="11" t="s">
        <v>659</v>
      </c>
      <c r="B336" s="12">
        <v>5648</v>
      </c>
      <c r="C336" s="11" t="s">
        <v>693</v>
      </c>
      <c r="D336" s="13" t="s">
        <v>697</v>
      </c>
      <c r="E336" s="14">
        <v>46120</v>
      </c>
      <c r="F336" s="15" t="s">
        <v>6</v>
      </c>
      <c r="G336" s="15" t="s">
        <v>53</v>
      </c>
      <c r="H336" s="11"/>
    </row>
    <row r="337" spans="1:8" x14ac:dyDescent="0.35">
      <c r="A337" s="11" t="s">
        <v>659</v>
      </c>
      <c r="B337" s="12">
        <v>5649</v>
      </c>
      <c r="C337" s="11" t="s">
        <v>694</v>
      </c>
      <c r="D337" s="13" t="s">
        <v>698</v>
      </c>
      <c r="E337" s="14">
        <v>46120</v>
      </c>
      <c r="F337" s="15" t="s">
        <v>6</v>
      </c>
      <c r="G337" s="15" t="s">
        <v>48</v>
      </c>
      <c r="H337" s="11"/>
    </row>
    <row r="338" spans="1:8" x14ac:dyDescent="0.35">
      <c r="A338" s="11" t="s">
        <v>659</v>
      </c>
      <c r="B338" s="12">
        <v>5650</v>
      </c>
      <c r="C338" s="11" t="s">
        <v>695</v>
      </c>
      <c r="D338" s="13" t="s">
        <v>699</v>
      </c>
      <c r="E338" s="14">
        <v>46120</v>
      </c>
      <c r="F338" s="15" t="s">
        <v>6</v>
      </c>
      <c r="G338" s="15" t="s">
        <v>48</v>
      </c>
      <c r="H338" s="11"/>
    </row>
    <row r="339" spans="1:8" x14ac:dyDescent="0.35">
      <c r="A339" s="11" t="s">
        <v>659</v>
      </c>
      <c r="B339" s="12">
        <v>5651</v>
      </c>
      <c r="C339" s="11" t="s">
        <v>696</v>
      </c>
      <c r="D339" s="13" t="s">
        <v>700</v>
      </c>
      <c r="E339" s="14">
        <v>46120</v>
      </c>
      <c r="F339" s="15" t="s">
        <v>6</v>
      </c>
      <c r="G339" s="15" t="s">
        <v>326</v>
      </c>
      <c r="H339" s="11" t="s">
        <v>714</v>
      </c>
    </row>
    <row r="340" spans="1:8" x14ac:dyDescent="0.35">
      <c r="A340" s="11" t="s">
        <v>659</v>
      </c>
      <c r="B340" s="12">
        <v>5652</v>
      </c>
      <c r="C340" s="11" t="s">
        <v>701</v>
      </c>
      <c r="D340" s="13" t="s">
        <v>705</v>
      </c>
      <c r="E340" s="14">
        <v>46120</v>
      </c>
      <c r="F340" s="15" t="s">
        <v>6</v>
      </c>
      <c r="G340" s="15" t="s">
        <v>48</v>
      </c>
      <c r="H340" s="11"/>
    </row>
    <row r="341" spans="1:8" x14ac:dyDescent="0.35">
      <c r="A341" s="11" t="s">
        <v>659</v>
      </c>
      <c r="B341" s="12">
        <v>5653</v>
      </c>
      <c r="C341" s="11" t="s">
        <v>702</v>
      </c>
      <c r="D341" s="13" t="s">
        <v>716</v>
      </c>
      <c r="E341" s="14">
        <v>46120</v>
      </c>
      <c r="F341" s="15" t="s">
        <v>6</v>
      </c>
      <c r="G341" s="15" t="s">
        <v>48</v>
      </c>
      <c r="H341" s="11"/>
    </row>
    <row r="342" spans="1:8" x14ac:dyDescent="0.35">
      <c r="A342" s="11" t="s">
        <v>659</v>
      </c>
      <c r="B342" s="12">
        <v>2472</v>
      </c>
      <c r="C342" s="11" t="s">
        <v>718</v>
      </c>
      <c r="D342" s="13" t="s">
        <v>706</v>
      </c>
      <c r="E342" s="14">
        <v>46120</v>
      </c>
      <c r="F342" s="15" t="s">
        <v>12</v>
      </c>
      <c r="G342" s="15" t="s">
        <v>48</v>
      </c>
      <c r="H342" s="11"/>
    </row>
    <row r="343" spans="1:8" x14ac:dyDescent="0.35">
      <c r="A343" s="11" t="s">
        <v>659</v>
      </c>
      <c r="B343" s="12">
        <v>5654</v>
      </c>
      <c r="C343" s="11" t="s">
        <v>703</v>
      </c>
      <c r="D343" s="13" t="s">
        <v>707</v>
      </c>
      <c r="E343" s="14">
        <v>46120</v>
      </c>
      <c r="F343" s="15" t="s">
        <v>6</v>
      </c>
      <c r="G343" s="15" t="s">
        <v>326</v>
      </c>
      <c r="H343" s="11" t="s">
        <v>726</v>
      </c>
    </row>
    <row r="344" spans="1:8" x14ac:dyDescent="0.35">
      <c r="A344" s="11" t="s">
        <v>659</v>
      </c>
      <c r="B344" s="12">
        <v>5655</v>
      </c>
      <c r="C344" s="11" t="s">
        <v>704</v>
      </c>
      <c r="D344" s="13" t="s">
        <v>708</v>
      </c>
      <c r="E344" s="14">
        <v>46120</v>
      </c>
      <c r="F344" s="15" t="s">
        <v>6</v>
      </c>
      <c r="G344" s="15" t="s">
        <v>48</v>
      </c>
      <c r="H344" s="11"/>
    </row>
    <row r="345" spans="1:8" x14ac:dyDescent="0.35">
      <c r="A345" s="11" t="s">
        <v>711</v>
      </c>
      <c r="B345" s="12">
        <v>5309</v>
      </c>
      <c r="C345" s="11" t="s">
        <v>709</v>
      </c>
      <c r="D345" s="13" t="s">
        <v>710</v>
      </c>
      <c r="E345" s="14">
        <v>46120</v>
      </c>
      <c r="F345" s="15" t="s">
        <v>6</v>
      </c>
      <c r="G345" s="15" t="s">
        <v>48</v>
      </c>
      <c r="H345" s="11"/>
    </row>
    <row r="346" spans="1:8" x14ac:dyDescent="0.35">
      <c r="A346" s="11" t="s">
        <v>712</v>
      </c>
      <c r="B346" s="12">
        <v>1955</v>
      </c>
      <c r="C346" s="11" t="s">
        <v>713</v>
      </c>
      <c r="D346" s="13" t="s">
        <v>601</v>
      </c>
      <c r="E346" s="14">
        <v>46120</v>
      </c>
      <c r="F346" s="15" t="s">
        <v>12</v>
      </c>
      <c r="G346" s="15" t="s">
        <v>48</v>
      </c>
      <c r="H346" s="11"/>
    </row>
    <row r="347" spans="1:8" x14ac:dyDescent="0.35">
      <c r="A347" s="11" t="s">
        <v>712</v>
      </c>
      <c r="B347" s="12">
        <v>5206</v>
      </c>
      <c r="C347" s="11" t="s">
        <v>715</v>
      </c>
      <c r="D347" s="13" t="s">
        <v>717</v>
      </c>
      <c r="E347" s="14">
        <v>46120</v>
      </c>
      <c r="F347" s="15" t="s">
        <v>12</v>
      </c>
      <c r="G347" s="15" t="s">
        <v>48</v>
      </c>
      <c r="H347" s="11"/>
    </row>
    <row r="348" spans="1:8" x14ac:dyDescent="0.35">
      <c r="A348" s="11" t="s">
        <v>72</v>
      </c>
      <c r="B348" s="12">
        <v>5310</v>
      </c>
      <c r="C348" s="11" t="s">
        <v>719</v>
      </c>
      <c r="D348" s="13" t="s">
        <v>720</v>
      </c>
      <c r="E348" s="14">
        <v>46120</v>
      </c>
      <c r="F348" s="15" t="s">
        <v>6</v>
      </c>
      <c r="G348" s="15" t="s">
        <v>48</v>
      </c>
      <c r="H348" s="11"/>
    </row>
    <row r="349" spans="1:8" x14ac:dyDescent="0.35">
      <c r="A349" s="11" t="s">
        <v>72</v>
      </c>
      <c r="B349" s="12">
        <v>5311</v>
      </c>
      <c r="C349" s="11" t="s">
        <v>722</v>
      </c>
      <c r="D349" s="13" t="s">
        <v>723</v>
      </c>
      <c r="E349" s="14">
        <v>46120</v>
      </c>
      <c r="F349" s="15" t="s">
        <v>6</v>
      </c>
      <c r="G349" s="15" t="s">
        <v>48</v>
      </c>
      <c r="H349" s="11"/>
    </row>
    <row r="350" spans="1:8" x14ac:dyDescent="0.35">
      <c r="A350" s="11" t="s">
        <v>182</v>
      </c>
      <c r="B350" s="12">
        <v>5128</v>
      </c>
      <c r="C350" s="11" t="s">
        <v>724</v>
      </c>
      <c r="D350" s="13" t="s">
        <v>183</v>
      </c>
      <c r="E350" s="14">
        <v>46120</v>
      </c>
      <c r="F350" s="15" t="s">
        <v>12</v>
      </c>
      <c r="G350" s="15" t="s">
        <v>48</v>
      </c>
      <c r="H350" s="11"/>
    </row>
    <row r="351" spans="1:8" x14ac:dyDescent="0.35">
      <c r="A351" s="11" t="s">
        <v>182</v>
      </c>
      <c r="B351" s="12">
        <v>5610</v>
      </c>
      <c r="C351" s="11" t="s">
        <v>555</v>
      </c>
      <c r="D351" s="13" t="s">
        <v>725</v>
      </c>
      <c r="E351" s="14">
        <v>46120</v>
      </c>
      <c r="F351" s="15" t="s">
        <v>12</v>
      </c>
      <c r="G351" s="15" t="s">
        <v>48</v>
      </c>
      <c r="H351" s="11"/>
    </row>
    <row r="352" spans="1:8" x14ac:dyDescent="0.35">
      <c r="A352" s="11" t="s">
        <v>659</v>
      </c>
      <c r="B352" s="12">
        <v>1108</v>
      </c>
      <c r="C352" s="11" t="s">
        <v>727</v>
      </c>
      <c r="D352" s="13" t="s">
        <v>733</v>
      </c>
      <c r="E352" s="14">
        <v>46121</v>
      </c>
      <c r="F352" s="15" t="s">
        <v>12</v>
      </c>
      <c r="G352" s="15" t="s">
        <v>48</v>
      </c>
      <c r="H352" s="11"/>
    </row>
    <row r="353" spans="1:8" x14ac:dyDescent="0.35">
      <c r="A353" s="11" t="s">
        <v>659</v>
      </c>
      <c r="B353" s="12">
        <v>977</v>
      </c>
      <c r="C353" s="11" t="s">
        <v>728</v>
      </c>
      <c r="D353" s="13" t="s">
        <v>734</v>
      </c>
      <c r="E353" s="14">
        <v>46121</v>
      </c>
      <c r="F353" s="15" t="s">
        <v>12</v>
      </c>
      <c r="G353" s="15" t="s">
        <v>48</v>
      </c>
      <c r="H353" s="11"/>
    </row>
    <row r="354" spans="1:8" x14ac:dyDescent="0.35">
      <c r="A354" s="11" t="s">
        <v>659</v>
      </c>
      <c r="B354" s="12">
        <v>2040</v>
      </c>
      <c r="C354" s="11" t="s">
        <v>729</v>
      </c>
      <c r="D354" s="13" t="s">
        <v>735</v>
      </c>
      <c r="E354" s="14">
        <v>46121</v>
      </c>
      <c r="F354" s="15" t="s">
        <v>12</v>
      </c>
      <c r="G354" s="15" t="s">
        <v>48</v>
      </c>
      <c r="H354" s="11"/>
    </row>
    <row r="355" spans="1:8" x14ac:dyDescent="0.35">
      <c r="A355" s="11" t="s">
        <v>659</v>
      </c>
      <c r="B355" s="12">
        <v>4238</v>
      </c>
      <c r="C355" s="11" t="s">
        <v>730</v>
      </c>
      <c r="D355" s="13" t="s">
        <v>738</v>
      </c>
      <c r="E355" s="14">
        <v>46121</v>
      </c>
      <c r="F355" s="15" t="s">
        <v>12</v>
      </c>
      <c r="G355" s="15" t="s">
        <v>53</v>
      </c>
      <c r="H355" s="11"/>
    </row>
    <row r="356" spans="1:8" x14ac:dyDescent="0.35">
      <c r="A356" s="11" t="s">
        <v>659</v>
      </c>
      <c r="B356" s="12">
        <v>5656</v>
      </c>
      <c r="C356" s="11" t="s">
        <v>731</v>
      </c>
      <c r="D356" s="13" t="s">
        <v>736</v>
      </c>
      <c r="E356" s="14">
        <v>46121</v>
      </c>
      <c r="F356" s="15" t="s">
        <v>6</v>
      </c>
      <c r="G356" s="15" t="s">
        <v>53</v>
      </c>
      <c r="H356" s="11"/>
    </row>
    <row r="357" spans="1:8" x14ac:dyDescent="0.35">
      <c r="A357" s="11" t="s">
        <v>659</v>
      </c>
      <c r="B357" s="12">
        <v>5657</v>
      </c>
      <c r="C357" s="11" t="s">
        <v>732</v>
      </c>
      <c r="D357" s="13" t="s">
        <v>737</v>
      </c>
      <c r="E357" s="14">
        <v>46121</v>
      </c>
      <c r="F357" s="15" t="s">
        <v>6</v>
      </c>
      <c r="G357" s="15" t="s">
        <v>48</v>
      </c>
      <c r="H357" s="11"/>
    </row>
    <row r="358" spans="1:8" x14ac:dyDescent="0.35">
      <c r="A358" s="11" t="s">
        <v>659</v>
      </c>
      <c r="B358" s="12">
        <v>5658</v>
      </c>
      <c r="C358" s="11" t="s">
        <v>739</v>
      </c>
      <c r="D358" s="13" t="s">
        <v>750</v>
      </c>
      <c r="E358" s="14">
        <v>46121</v>
      </c>
      <c r="F358" s="15" t="s">
        <v>6</v>
      </c>
      <c r="G358" s="15" t="s">
        <v>48</v>
      </c>
      <c r="H358" s="11"/>
    </row>
    <row r="359" spans="1:8" x14ac:dyDescent="0.35">
      <c r="A359" s="11" t="s">
        <v>659</v>
      </c>
      <c r="B359" s="12">
        <v>1203</v>
      </c>
      <c r="C359" s="11" t="s">
        <v>740</v>
      </c>
      <c r="D359" s="13" t="s">
        <v>749</v>
      </c>
      <c r="E359" s="14">
        <v>46121</v>
      </c>
      <c r="F359" s="15" t="s">
        <v>12</v>
      </c>
      <c r="G359" s="15" t="s">
        <v>326</v>
      </c>
      <c r="H359" s="11" t="s">
        <v>760</v>
      </c>
    </row>
    <row r="360" spans="1:8" x14ac:dyDescent="0.35">
      <c r="A360" s="11" t="s">
        <v>659</v>
      </c>
      <c r="B360" s="12">
        <v>5659</v>
      </c>
      <c r="C360" s="11" t="s">
        <v>741</v>
      </c>
      <c r="D360" s="13" t="s">
        <v>748</v>
      </c>
      <c r="E360" s="14">
        <v>46121</v>
      </c>
      <c r="F360" s="15" t="s">
        <v>6</v>
      </c>
      <c r="G360" s="15" t="s">
        <v>48</v>
      </c>
      <c r="H360" s="11"/>
    </row>
    <row r="361" spans="1:8" x14ac:dyDescent="0.35">
      <c r="A361" s="11" t="s">
        <v>659</v>
      </c>
      <c r="B361" s="12">
        <v>5660</v>
      </c>
      <c r="C361" s="11" t="s">
        <v>742</v>
      </c>
      <c r="D361" s="13" t="s">
        <v>747</v>
      </c>
      <c r="E361" s="14">
        <v>46121</v>
      </c>
      <c r="F361" s="15" t="s">
        <v>6</v>
      </c>
      <c r="G361" s="15" t="s">
        <v>48</v>
      </c>
      <c r="H361" s="11"/>
    </row>
    <row r="362" spans="1:8" x14ac:dyDescent="0.35">
      <c r="A362" s="11" t="s">
        <v>659</v>
      </c>
      <c r="B362" s="12">
        <v>5661</v>
      </c>
      <c r="C362" s="11" t="s">
        <v>743</v>
      </c>
      <c r="D362" s="13" t="s">
        <v>746</v>
      </c>
      <c r="E362" s="14">
        <v>46121</v>
      </c>
      <c r="F362" s="15" t="s">
        <v>6</v>
      </c>
      <c r="G362" s="15" t="s">
        <v>48</v>
      </c>
      <c r="H362" s="11"/>
    </row>
    <row r="363" spans="1:8" x14ac:dyDescent="0.35">
      <c r="A363" s="11" t="s">
        <v>659</v>
      </c>
      <c r="B363" s="12">
        <v>5662</v>
      </c>
      <c r="C363" s="11" t="s">
        <v>744</v>
      </c>
      <c r="D363" s="13" t="s">
        <v>745</v>
      </c>
      <c r="E363" s="14">
        <v>46121</v>
      </c>
      <c r="F363" s="15" t="s">
        <v>6</v>
      </c>
      <c r="G363" s="15" t="s">
        <v>326</v>
      </c>
      <c r="H363" s="11" t="s">
        <v>760</v>
      </c>
    </row>
    <row r="364" spans="1:8" x14ac:dyDescent="0.35">
      <c r="A364" s="11" t="s">
        <v>752</v>
      </c>
      <c r="B364" s="12">
        <v>5321</v>
      </c>
      <c r="C364" s="11" t="s">
        <v>751</v>
      </c>
      <c r="D364" s="13" t="s">
        <v>753</v>
      </c>
      <c r="E364" s="14">
        <v>46121</v>
      </c>
      <c r="F364" s="15" t="s">
        <v>6</v>
      </c>
      <c r="G364" s="15" t="s">
        <v>48</v>
      </c>
      <c r="H364" s="11"/>
    </row>
    <row r="365" spans="1:8" x14ac:dyDescent="0.35">
      <c r="A365" s="11" t="s">
        <v>752</v>
      </c>
      <c r="B365" s="12">
        <v>5322</v>
      </c>
      <c r="C365" s="11" t="s">
        <v>755</v>
      </c>
      <c r="D365" s="13" t="s">
        <v>754</v>
      </c>
      <c r="E365" s="14">
        <v>46121</v>
      </c>
      <c r="F365" s="15" t="s">
        <v>6</v>
      </c>
      <c r="G365" s="15" t="s">
        <v>49</v>
      </c>
      <c r="H365" s="11"/>
    </row>
    <row r="366" spans="1:8" x14ac:dyDescent="0.35">
      <c r="A366" s="11" t="s">
        <v>752</v>
      </c>
      <c r="B366" s="12">
        <v>5324</v>
      </c>
      <c r="C366" s="11" t="s">
        <v>756</v>
      </c>
      <c r="D366" s="13" t="s">
        <v>759</v>
      </c>
      <c r="E366" s="14">
        <v>46121</v>
      </c>
      <c r="F366" s="15" t="s">
        <v>6</v>
      </c>
      <c r="G366" s="15" t="s">
        <v>48</v>
      </c>
      <c r="H366" s="11"/>
    </row>
    <row r="367" spans="1:8" x14ac:dyDescent="0.35">
      <c r="A367" s="11" t="s">
        <v>761</v>
      </c>
      <c r="B367" s="12">
        <v>5316</v>
      </c>
      <c r="C367" s="11" t="s">
        <v>757</v>
      </c>
      <c r="D367" s="13" t="s">
        <v>758</v>
      </c>
      <c r="E367" s="14">
        <v>46121</v>
      </c>
      <c r="F367" s="15" t="s">
        <v>6</v>
      </c>
      <c r="G367" s="15" t="s">
        <v>48</v>
      </c>
      <c r="H367" s="11"/>
    </row>
    <row r="368" spans="1:8" x14ac:dyDescent="0.35">
      <c r="A368" s="11" t="s">
        <v>761</v>
      </c>
      <c r="B368" s="12">
        <v>5663</v>
      </c>
      <c r="C368" s="11" t="s">
        <v>768</v>
      </c>
      <c r="D368" s="13" t="s">
        <v>762</v>
      </c>
      <c r="E368" s="14">
        <v>46121</v>
      </c>
      <c r="F368" s="15" t="s">
        <v>6</v>
      </c>
      <c r="G368" s="15" t="s">
        <v>48</v>
      </c>
      <c r="H368" s="11"/>
    </row>
    <row r="369" spans="1:8" x14ac:dyDescent="0.35">
      <c r="A369" s="11" t="s">
        <v>752</v>
      </c>
      <c r="B369" s="12">
        <v>5664</v>
      </c>
      <c r="C369" s="11" t="s">
        <v>769</v>
      </c>
      <c r="D369" s="13" t="s">
        <v>763</v>
      </c>
      <c r="E369" s="14">
        <v>46121</v>
      </c>
      <c r="F369" s="15" t="s">
        <v>6</v>
      </c>
      <c r="G369" s="15" t="s">
        <v>48</v>
      </c>
      <c r="H369" s="11"/>
    </row>
    <row r="370" spans="1:8" x14ac:dyDescent="0.35">
      <c r="A370" s="11" t="s">
        <v>752</v>
      </c>
      <c r="B370" s="12">
        <v>5319</v>
      </c>
      <c r="C370" s="11" t="s">
        <v>770</v>
      </c>
      <c r="D370" s="13" t="s">
        <v>764</v>
      </c>
      <c r="E370" s="14">
        <v>46121</v>
      </c>
      <c r="F370" s="15" t="s">
        <v>6</v>
      </c>
      <c r="G370" s="15" t="s">
        <v>48</v>
      </c>
      <c r="H370" s="11"/>
    </row>
    <row r="371" spans="1:8" x14ac:dyDescent="0.35">
      <c r="A371" s="11" t="s">
        <v>752</v>
      </c>
      <c r="B371" s="12" t="s">
        <v>118</v>
      </c>
      <c r="C371" s="11" t="s">
        <v>771</v>
      </c>
      <c r="D371" s="13" t="s">
        <v>765</v>
      </c>
      <c r="E371" s="14">
        <v>46121</v>
      </c>
      <c r="F371" s="15" t="s">
        <v>6</v>
      </c>
      <c r="G371" s="15" t="s">
        <v>47</v>
      </c>
      <c r="H371" s="11"/>
    </row>
    <row r="372" spans="1:8" x14ac:dyDescent="0.35">
      <c r="A372" s="11" t="s">
        <v>752</v>
      </c>
      <c r="B372" s="12" t="s">
        <v>118</v>
      </c>
      <c r="C372" s="11" t="s">
        <v>772</v>
      </c>
      <c r="D372" s="13" t="s">
        <v>766</v>
      </c>
      <c r="E372" s="14">
        <v>46121</v>
      </c>
      <c r="F372" s="15" t="s">
        <v>6</v>
      </c>
      <c r="G372" s="15" t="s">
        <v>47</v>
      </c>
      <c r="H372" s="11"/>
    </row>
    <row r="373" spans="1:8" x14ac:dyDescent="0.35">
      <c r="A373" s="11" t="s">
        <v>752</v>
      </c>
      <c r="B373" s="12" t="s">
        <v>118</v>
      </c>
      <c r="C373" s="11" t="s">
        <v>773</v>
      </c>
      <c r="D373" s="13" t="s">
        <v>767</v>
      </c>
      <c r="E373" s="14">
        <v>46121</v>
      </c>
      <c r="F373" s="15" t="s">
        <v>6</v>
      </c>
      <c r="G373" s="15" t="s">
        <v>47</v>
      </c>
      <c r="H373" s="11"/>
    </row>
    <row r="374" spans="1:8" x14ac:dyDescent="0.35">
      <c r="A374" s="11" t="s">
        <v>752</v>
      </c>
      <c r="B374" s="12">
        <v>5665</v>
      </c>
      <c r="C374" s="11" t="s">
        <v>774</v>
      </c>
      <c r="D374" s="13" t="s">
        <v>775</v>
      </c>
      <c r="E374" s="14">
        <v>46121</v>
      </c>
      <c r="F374" s="15" t="s">
        <v>6</v>
      </c>
      <c r="G374" s="15" t="s">
        <v>48</v>
      </c>
      <c r="H374" s="11"/>
    </row>
    <row r="375" spans="1:8" x14ac:dyDescent="0.35">
      <c r="A375" s="11" t="s">
        <v>712</v>
      </c>
      <c r="B375" s="12">
        <v>1384</v>
      </c>
      <c r="C375" s="11" t="s">
        <v>776</v>
      </c>
      <c r="D375" s="13" t="s">
        <v>777</v>
      </c>
      <c r="E375" s="14">
        <v>46121</v>
      </c>
      <c r="F375" s="15" t="s">
        <v>12</v>
      </c>
      <c r="G375" s="15" t="s">
        <v>48</v>
      </c>
      <c r="H375" s="11"/>
    </row>
    <row r="376" spans="1:8" x14ac:dyDescent="0.35">
      <c r="A376" s="11" t="s">
        <v>712</v>
      </c>
      <c r="B376" s="12">
        <v>1399</v>
      </c>
      <c r="C376" s="11" t="s">
        <v>778</v>
      </c>
      <c r="D376" s="13" t="s">
        <v>779</v>
      </c>
      <c r="E376" s="14">
        <v>46121</v>
      </c>
      <c r="F376" s="15" t="s">
        <v>12</v>
      </c>
      <c r="G376" s="15" t="s">
        <v>48</v>
      </c>
      <c r="H376" s="11"/>
    </row>
    <row r="377" spans="1:8" x14ac:dyDescent="0.35">
      <c r="A377" s="11" t="s">
        <v>426</v>
      </c>
      <c r="B377" s="12">
        <v>1414</v>
      </c>
      <c r="C377" s="11" t="s">
        <v>780</v>
      </c>
      <c r="D377" s="13" t="s">
        <v>781</v>
      </c>
      <c r="E377" s="14">
        <v>46121</v>
      </c>
      <c r="F377" s="15" t="s">
        <v>12</v>
      </c>
      <c r="G377" s="15" t="s">
        <v>48</v>
      </c>
      <c r="H377" s="11"/>
    </row>
    <row r="378" spans="1:8" x14ac:dyDescent="0.35">
      <c r="A378" s="11" t="s">
        <v>26</v>
      </c>
      <c r="B378" s="12">
        <v>1416</v>
      </c>
      <c r="C378" s="11" t="s">
        <v>782</v>
      </c>
      <c r="D378" s="13" t="s">
        <v>783</v>
      </c>
      <c r="E378" s="14">
        <v>46121</v>
      </c>
      <c r="F378" s="15" t="s">
        <v>12</v>
      </c>
      <c r="G378" s="15" t="s">
        <v>48</v>
      </c>
      <c r="H378" s="11"/>
    </row>
    <row r="379" spans="1:8" x14ac:dyDescent="0.35">
      <c r="A379" s="11" t="s">
        <v>241</v>
      </c>
      <c r="B379" s="12">
        <v>1419</v>
      </c>
      <c r="C379" s="11" t="s">
        <v>784</v>
      </c>
      <c r="D379" s="13" t="s">
        <v>785</v>
      </c>
      <c r="E379" s="14">
        <v>46121</v>
      </c>
      <c r="F379" s="15" t="s">
        <v>12</v>
      </c>
      <c r="G379" s="15" t="s">
        <v>48</v>
      </c>
      <c r="H379" s="11"/>
    </row>
    <row r="380" spans="1:8" x14ac:dyDescent="0.35">
      <c r="A380" s="11" t="s">
        <v>712</v>
      </c>
      <c r="B380" s="12">
        <v>1434</v>
      </c>
      <c r="C380" s="11" t="s">
        <v>786</v>
      </c>
      <c r="D380" s="13" t="s">
        <v>787</v>
      </c>
      <c r="E380" s="14">
        <v>46121</v>
      </c>
      <c r="F380" s="15" t="s">
        <v>12</v>
      </c>
      <c r="G380" s="15" t="s">
        <v>48</v>
      </c>
      <c r="H380" s="11"/>
    </row>
    <row r="381" spans="1:8" x14ac:dyDescent="0.35">
      <c r="A381" s="11" t="s">
        <v>523</v>
      </c>
      <c r="B381" s="12">
        <v>1460</v>
      </c>
      <c r="C381" s="11" t="s">
        <v>788</v>
      </c>
      <c r="D381" s="13" t="s">
        <v>789</v>
      </c>
      <c r="E381" s="14">
        <v>46121</v>
      </c>
      <c r="F381" s="15" t="s">
        <v>12</v>
      </c>
      <c r="G381" s="15" t="s">
        <v>48</v>
      </c>
      <c r="H381" s="11"/>
    </row>
    <row r="382" spans="1:8" x14ac:dyDescent="0.35">
      <c r="A382" s="11" t="s">
        <v>182</v>
      </c>
      <c r="B382" s="12">
        <v>5339</v>
      </c>
      <c r="C382" s="11" t="s">
        <v>791</v>
      </c>
      <c r="D382" s="13" t="s">
        <v>790</v>
      </c>
      <c r="E382" s="14">
        <v>46122</v>
      </c>
      <c r="F382" s="15" t="s">
        <v>6</v>
      </c>
      <c r="G382" s="15" t="s">
        <v>48</v>
      </c>
      <c r="H382" s="11"/>
    </row>
    <row r="383" spans="1:8" x14ac:dyDescent="0.35">
      <c r="A383" s="11" t="s">
        <v>793</v>
      </c>
      <c r="B383" s="12">
        <v>3649</v>
      </c>
      <c r="C383" s="11" t="s">
        <v>792</v>
      </c>
      <c r="D383" s="13" t="s">
        <v>794</v>
      </c>
      <c r="E383" s="14">
        <v>46122</v>
      </c>
      <c r="F383" s="15" t="s">
        <v>12</v>
      </c>
      <c r="G383" s="15" t="s">
        <v>48</v>
      </c>
      <c r="H383" s="11"/>
    </row>
    <row r="384" spans="1:8" x14ac:dyDescent="0.35">
      <c r="A384" s="11" t="s">
        <v>793</v>
      </c>
      <c r="B384" s="12">
        <v>5175</v>
      </c>
      <c r="C384" s="11" t="s">
        <v>299</v>
      </c>
      <c r="D384" s="13" t="s">
        <v>795</v>
      </c>
      <c r="E384" s="14">
        <v>46122</v>
      </c>
      <c r="F384" s="15" t="s">
        <v>12</v>
      </c>
      <c r="G384" s="15" t="s">
        <v>48</v>
      </c>
      <c r="H384" s="11"/>
    </row>
    <row r="385" spans="1:8" x14ac:dyDescent="0.35">
      <c r="A385" s="11" t="s">
        <v>793</v>
      </c>
      <c r="B385" s="12">
        <v>2294</v>
      </c>
      <c r="C385" s="11" t="s">
        <v>796</v>
      </c>
      <c r="D385" s="13" t="s">
        <v>797</v>
      </c>
      <c r="E385" s="14">
        <v>46122</v>
      </c>
      <c r="F385" s="15" t="s">
        <v>12</v>
      </c>
      <c r="G385" s="15" t="s">
        <v>48</v>
      </c>
      <c r="H385" s="11"/>
    </row>
    <row r="386" spans="1:8" x14ac:dyDescent="0.35">
      <c r="A386" s="11" t="s">
        <v>793</v>
      </c>
      <c r="B386" s="12">
        <v>3158</v>
      </c>
      <c r="C386" s="11" t="s">
        <v>798</v>
      </c>
      <c r="D386" s="13" t="s">
        <v>799</v>
      </c>
      <c r="E386" s="14">
        <v>46122</v>
      </c>
      <c r="F386" s="15" t="s">
        <v>12</v>
      </c>
      <c r="G386" s="15" t="s">
        <v>48</v>
      </c>
      <c r="H386" s="11"/>
    </row>
    <row r="387" spans="1:8" x14ac:dyDescent="0.35">
      <c r="A387" s="11" t="s">
        <v>793</v>
      </c>
      <c r="B387" s="12">
        <v>3378</v>
      </c>
      <c r="C387" s="11" t="s">
        <v>800</v>
      </c>
      <c r="D387" s="13" t="s">
        <v>801</v>
      </c>
      <c r="E387" s="14">
        <v>46122</v>
      </c>
      <c r="F387" s="15" t="s">
        <v>12</v>
      </c>
      <c r="G387" s="15" t="s">
        <v>48</v>
      </c>
      <c r="H387" s="11"/>
    </row>
    <row r="388" spans="1:8" x14ac:dyDescent="0.35">
      <c r="A388" s="11" t="s">
        <v>793</v>
      </c>
      <c r="B388" s="12">
        <v>3601</v>
      </c>
      <c r="C388" s="11" t="s">
        <v>802</v>
      </c>
      <c r="D388" s="13" t="s">
        <v>803</v>
      </c>
      <c r="E388" s="14">
        <v>46122</v>
      </c>
      <c r="F388" s="15" t="s">
        <v>12</v>
      </c>
      <c r="G388" s="15" t="s">
        <v>48</v>
      </c>
      <c r="H388" s="11"/>
    </row>
    <row r="389" spans="1:8" x14ac:dyDescent="0.35">
      <c r="A389" s="11" t="s">
        <v>793</v>
      </c>
      <c r="B389" s="12">
        <v>3838</v>
      </c>
      <c r="C389" s="11" t="s">
        <v>804</v>
      </c>
      <c r="D389" s="13" t="s">
        <v>163</v>
      </c>
      <c r="E389" s="14">
        <v>46122</v>
      </c>
      <c r="F389" s="15" t="s">
        <v>12</v>
      </c>
      <c r="G389" s="15" t="s">
        <v>48</v>
      </c>
      <c r="H389" s="11"/>
    </row>
    <row r="390" spans="1:8" x14ac:dyDescent="0.35">
      <c r="A390" s="11" t="s">
        <v>805</v>
      </c>
      <c r="B390" s="12">
        <v>5533</v>
      </c>
      <c r="C390" s="11" t="s">
        <v>394</v>
      </c>
      <c r="D390" s="13" t="s">
        <v>395</v>
      </c>
      <c r="E390" s="14">
        <v>46125</v>
      </c>
      <c r="F390" s="15" t="s">
        <v>12</v>
      </c>
      <c r="G390" s="15" t="s">
        <v>48</v>
      </c>
      <c r="H390" s="11"/>
    </row>
    <row r="391" spans="1:8" x14ac:dyDescent="0.35">
      <c r="A391" s="11" t="s">
        <v>805</v>
      </c>
      <c r="B391" s="12">
        <v>5666</v>
      </c>
      <c r="C391" s="11" t="s">
        <v>806</v>
      </c>
      <c r="D391" s="13" t="s">
        <v>808</v>
      </c>
      <c r="E391" s="14">
        <v>46125</v>
      </c>
      <c r="F391" s="15" t="s">
        <v>6</v>
      </c>
      <c r="G391" s="15" t="s">
        <v>48</v>
      </c>
      <c r="H391" s="11"/>
    </row>
    <row r="392" spans="1:8" x14ac:dyDescent="0.35">
      <c r="A392" s="11" t="s">
        <v>805</v>
      </c>
      <c r="B392" s="12">
        <v>5667</v>
      </c>
      <c r="C392" s="11" t="s">
        <v>807</v>
      </c>
      <c r="D392" s="13" t="s">
        <v>809</v>
      </c>
      <c r="E392" s="14">
        <v>46125</v>
      </c>
      <c r="F392" s="15" t="s">
        <v>6</v>
      </c>
      <c r="G392" s="15" t="s">
        <v>53</v>
      </c>
      <c r="H392" s="11"/>
    </row>
    <row r="393" spans="1:8" x14ac:dyDescent="0.35">
      <c r="A393" s="11" t="s">
        <v>805</v>
      </c>
      <c r="B393" s="12">
        <v>5668</v>
      </c>
      <c r="C393" s="11" t="s">
        <v>810</v>
      </c>
      <c r="D393" s="13" t="s">
        <v>815</v>
      </c>
      <c r="E393" s="14">
        <v>46125</v>
      </c>
      <c r="F393" s="15" t="s">
        <v>6</v>
      </c>
      <c r="G393" s="15" t="s">
        <v>48</v>
      </c>
      <c r="H393" s="11"/>
    </row>
    <row r="394" spans="1:8" x14ac:dyDescent="0.35">
      <c r="A394" s="11" t="s">
        <v>805</v>
      </c>
      <c r="B394" s="12">
        <v>5669</v>
      </c>
      <c r="C394" s="11" t="s">
        <v>811</v>
      </c>
      <c r="D394" s="13" t="s">
        <v>814</v>
      </c>
      <c r="E394" s="14">
        <v>46125</v>
      </c>
      <c r="F394" s="15" t="s">
        <v>6</v>
      </c>
      <c r="G394" s="15" t="s">
        <v>80</v>
      </c>
      <c r="H394" s="11"/>
    </row>
    <row r="395" spans="1:8" x14ac:dyDescent="0.35">
      <c r="A395" s="11" t="s">
        <v>805</v>
      </c>
      <c r="B395" s="12">
        <v>3370</v>
      </c>
      <c r="C395" s="11" t="s">
        <v>812</v>
      </c>
      <c r="D395" s="13" t="s">
        <v>813</v>
      </c>
      <c r="E395" s="14">
        <v>46125</v>
      </c>
      <c r="F395" s="15" t="s">
        <v>12</v>
      </c>
      <c r="G395" s="15" t="s">
        <v>48</v>
      </c>
      <c r="H395" s="11"/>
    </row>
    <row r="396" spans="1:8" x14ac:dyDescent="0.35">
      <c r="A396" s="11" t="s">
        <v>805</v>
      </c>
      <c r="B396" s="12">
        <v>5670</v>
      </c>
      <c r="C396" s="11" t="s">
        <v>816</v>
      </c>
      <c r="D396" s="13" t="s">
        <v>818</v>
      </c>
      <c r="E396" s="14">
        <v>46125</v>
      </c>
      <c r="F396" s="15" t="s">
        <v>6</v>
      </c>
      <c r="G396" s="15" t="s">
        <v>326</v>
      </c>
      <c r="H396" s="11"/>
    </row>
    <row r="397" spans="1:8" x14ac:dyDescent="0.35">
      <c r="A397" s="11" t="s">
        <v>805</v>
      </c>
      <c r="B397" s="12">
        <v>5671</v>
      </c>
      <c r="C397" s="11" t="s">
        <v>817</v>
      </c>
      <c r="D397" s="13" t="s">
        <v>819</v>
      </c>
      <c r="E397" s="14">
        <v>46125</v>
      </c>
      <c r="F397" s="15" t="s">
        <v>6</v>
      </c>
      <c r="G397" s="15" t="s">
        <v>48</v>
      </c>
      <c r="H397" s="11"/>
    </row>
    <row r="398" spans="1:8" x14ac:dyDescent="0.35">
      <c r="A398" s="11" t="s">
        <v>821</v>
      </c>
      <c r="B398" s="12">
        <v>682</v>
      </c>
      <c r="C398" s="11" t="s">
        <v>820</v>
      </c>
      <c r="D398" s="13" t="s">
        <v>822</v>
      </c>
      <c r="E398" s="14">
        <v>46125</v>
      </c>
      <c r="F398" s="15" t="s">
        <v>12</v>
      </c>
      <c r="G398" s="15" t="s">
        <v>48</v>
      </c>
      <c r="H398" s="11"/>
    </row>
    <row r="399" spans="1:8" x14ac:dyDescent="0.35">
      <c r="A399" s="11" t="s">
        <v>821</v>
      </c>
      <c r="B399" s="12">
        <v>4084</v>
      </c>
      <c r="C399" s="11" t="s">
        <v>823</v>
      </c>
      <c r="D399" s="13" t="s">
        <v>824</v>
      </c>
      <c r="E399" s="14">
        <v>46125</v>
      </c>
      <c r="F399" s="15" t="s">
        <v>12</v>
      </c>
      <c r="G399" s="15" t="s">
        <v>48</v>
      </c>
      <c r="H399" s="11"/>
    </row>
    <row r="400" spans="1:8" x14ac:dyDescent="0.35">
      <c r="A400" s="11" t="s">
        <v>821</v>
      </c>
      <c r="B400" s="12">
        <v>718</v>
      </c>
      <c r="C400" s="11" t="s">
        <v>164</v>
      </c>
      <c r="D400" s="13" t="s">
        <v>825</v>
      </c>
      <c r="E400" s="14">
        <v>46125</v>
      </c>
      <c r="F400" s="15" t="s">
        <v>12</v>
      </c>
      <c r="G400" s="15" t="s">
        <v>48</v>
      </c>
      <c r="H400" s="11"/>
    </row>
    <row r="401" spans="1:8" x14ac:dyDescent="0.35">
      <c r="A401" s="11" t="s">
        <v>821</v>
      </c>
      <c r="B401" s="12">
        <v>719</v>
      </c>
      <c r="C401" s="11" t="s">
        <v>827</v>
      </c>
      <c r="D401" s="13" t="s">
        <v>826</v>
      </c>
      <c r="E401" s="14">
        <v>46125</v>
      </c>
      <c r="F401" s="15" t="s">
        <v>12</v>
      </c>
      <c r="G401" s="15" t="s">
        <v>48</v>
      </c>
      <c r="H401" s="11"/>
    </row>
    <row r="402" spans="1:8" x14ac:dyDescent="0.35">
      <c r="A402" s="11" t="s">
        <v>821</v>
      </c>
      <c r="B402" s="12">
        <v>5373</v>
      </c>
      <c r="C402" s="11" t="s">
        <v>828</v>
      </c>
      <c r="D402" s="13" t="s">
        <v>829</v>
      </c>
      <c r="E402" s="14">
        <v>46125</v>
      </c>
      <c r="F402" s="15" t="s">
        <v>6</v>
      </c>
      <c r="G402" s="15" t="s">
        <v>48</v>
      </c>
      <c r="H402" s="11"/>
    </row>
    <row r="403" spans="1:8" x14ac:dyDescent="0.35">
      <c r="A403" s="11" t="s">
        <v>821</v>
      </c>
      <c r="B403" s="12">
        <v>5374</v>
      </c>
      <c r="C403" s="11" t="s">
        <v>830</v>
      </c>
      <c r="D403" s="13" t="s">
        <v>831</v>
      </c>
      <c r="E403" s="14">
        <v>46125</v>
      </c>
      <c r="F403" s="15" t="s">
        <v>6</v>
      </c>
      <c r="G403" s="15" t="s">
        <v>48</v>
      </c>
      <c r="H403" s="11"/>
    </row>
    <row r="404" spans="1:8" x14ac:dyDescent="0.35">
      <c r="A404" s="11" t="s">
        <v>821</v>
      </c>
      <c r="B404" s="12">
        <v>3166</v>
      </c>
      <c r="C404" s="11" t="s">
        <v>832</v>
      </c>
      <c r="D404" s="13" t="s">
        <v>833</v>
      </c>
      <c r="E404" s="14">
        <v>46125</v>
      </c>
      <c r="F404" s="15" t="s">
        <v>6</v>
      </c>
      <c r="G404" s="15" t="s">
        <v>48</v>
      </c>
      <c r="H404" s="11"/>
    </row>
    <row r="405" spans="1:8" x14ac:dyDescent="0.35">
      <c r="A405" s="11" t="s">
        <v>821</v>
      </c>
      <c r="B405" s="12">
        <v>5584</v>
      </c>
      <c r="C405" s="11" t="s">
        <v>494</v>
      </c>
      <c r="D405" s="13" t="s">
        <v>495</v>
      </c>
      <c r="E405" s="14">
        <v>46125</v>
      </c>
      <c r="F405" s="15" t="s">
        <v>12</v>
      </c>
      <c r="G405" s="15" t="s">
        <v>48</v>
      </c>
      <c r="H405" s="11"/>
    </row>
    <row r="406" spans="1:8" x14ac:dyDescent="0.35">
      <c r="A406" s="11" t="s">
        <v>821</v>
      </c>
      <c r="B406" s="12">
        <v>5374</v>
      </c>
      <c r="C406" s="11" t="s">
        <v>834</v>
      </c>
      <c r="D406" s="13" t="s">
        <v>835</v>
      </c>
      <c r="E406" s="14">
        <v>46125</v>
      </c>
      <c r="F406" s="15" t="s">
        <v>6</v>
      </c>
      <c r="G406" s="15" t="s">
        <v>48</v>
      </c>
      <c r="H406" s="11"/>
    </row>
    <row r="407" spans="1:8" x14ac:dyDescent="0.35">
      <c r="A407" s="11" t="s">
        <v>821</v>
      </c>
      <c r="B407" s="12">
        <v>5063</v>
      </c>
      <c r="C407" s="11" t="s">
        <v>836</v>
      </c>
      <c r="D407" s="13" t="s">
        <v>838</v>
      </c>
      <c r="E407" s="14">
        <v>46126</v>
      </c>
      <c r="F407" s="15" t="s">
        <v>12</v>
      </c>
      <c r="G407" s="15" t="s">
        <v>53</v>
      </c>
      <c r="H407" s="11"/>
    </row>
    <row r="408" spans="1:8" x14ac:dyDescent="0.35">
      <c r="A408" s="11" t="s">
        <v>821</v>
      </c>
      <c r="B408" s="12">
        <v>5672</v>
      </c>
      <c r="C408" s="11" t="s">
        <v>837</v>
      </c>
      <c r="D408" s="13" t="s">
        <v>839</v>
      </c>
      <c r="E408" s="14">
        <v>46126</v>
      </c>
      <c r="F408" s="15" t="s">
        <v>6</v>
      </c>
      <c r="G408" s="15" t="s">
        <v>48</v>
      </c>
      <c r="H408" s="11"/>
    </row>
    <row r="409" spans="1:8" x14ac:dyDescent="0.35">
      <c r="A409" s="11" t="s">
        <v>821</v>
      </c>
      <c r="B409" s="12">
        <v>682</v>
      </c>
      <c r="C409" s="11" t="s">
        <v>820</v>
      </c>
      <c r="D409" s="13" t="s">
        <v>822</v>
      </c>
      <c r="E409" s="14">
        <v>46126</v>
      </c>
      <c r="F409" s="15" t="s">
        <v>12</v>
      </c>
      <c r="G409" s="15" t="s">
        <v>48</v>
      </c>
      <c r="H409" s="11"/>
    </row>
    <row r="410" spans="1:8" x14ac:dyDescent="0.35">
      <c r="A410" s="11" t="s">
        <v>821</v>
      </c>
      <c r="B410" s="12">
        <v>5374</v>
      </c>
      <c r="C410" s="11" t="s">
        <v>830</v>
      </c>
      <c r="D410" s="13" t="s">
        <v>831</v>
      </c>
      <c r="E410" s="14">
        <v>46126</v>
      </c>
      <c r="F410" s="15" t="s">
        <v>12</v>
      </c>
      <c r="G410" s="15" t="s">
        <v>48</v>
      </c>
      <c r="H410" s="11"/>
    </row>
    <row r="411" spans="1:8" x14ac:dyDescent="0.35">
      <c r="A411" s="11" t="s">
        <v>821</v>
      </c>
      <c r="B411" s="12">
        <v>3096</v>
      </c>
      <c r="C411" s="11" t="s">
        <v>840</v>
      </c>
      <c r="D411" s="13" t="s">
        <v>844</v>
      </c>
      <c r="E411" s="14">
        <v>46126</v>
      </c>
      <c r="F411" s="15" t="s">
        <v>12</v>
      </c>
      <c r="G411" s="15" t="s">
        <v>48</v>
      </c>
      <c r="H411" s="11"/>
    </row>
    <row r="412" spans="1:8" x14ac:dyDescent="0.35">
      <c r="A412" s="11" t="s">
        <v>821</v>
      </c>
      <c r="B412" s="12">
        <v>5673</v>
      </c>
      <c r="C412" s="11" t="s">
        <v>841</v>
      </c>
      <c r="D412" s="13" t="s">
        <v>845</v>
      </c>
      <c r="E412" s="14">
        <v>46126</v>
      </c>
      <c r="F412" s="15" t="s">
        <v>6</v>
      </c>
      <c r="G412" s="15" t="s">
        <v>48</v>
      </c>
      <c r="H412" s="11"/>
    </row>
    <row r="413" spans="1:8" x14ac:dyDescent="0.35">
      <c r="A413" s="11" t="s">
        <v>821</v>
      </c>
      <c r="B413" s="12">
        <v>5674</v>
      </c>
      <c r="C413" s="11" t="s">
        <v>842</v>
      </c>
      <c r="D413" s="13" t="s">
        <v>846</v>
      </c>
      <c r="E413" s="14">
        <v>46126</v>
      </c>
      <c r="F413" s="15" t="s">
        <v>6</v>
      </c>
      <c r="G413" s="15" t="s">
        <v>48</v>
      </c>
      <c r="H413" s="11"/>
    </row>
    <row r="414" spans="1:8" x14ac:dyDescent="0.35">
      <c r="A414" s="11" t="s">
        <v>821</v>
      </c>
      <c r="B414" s="12">
        <v>5675</v>
      </c>
      <c r="C414" s="11" t="s">
        <v>843</v>
      </c>
      <c r="D414" s="13" t="s">
        <v>847</v>
      </c>
      <c r="E414" s="14">
        <v>46126</v>
      </c>
      <c r="F414" s="15" t="s">
        <v>6</v>
      </c>
      <c r="G414" s="15" t="s">
        <v>48</v>
      </c>
      <c r="H414" s="11"/>
    </row>
    <row r="415" spans="1:8" x14ac:dyDescent="0.35">
      <c r="A415" s="11" t="s">
        <v>821</v>
      </c>
      <c r="B415" s="12">
        <v>5107</v>
      </c>
      <c r="C415" s="11" t="s">
        <v>848</v>
      </c>
      <c r="D415" s="13" t="s">
        <v>122</v>
      </c>
      <c r="E415" s="14">
        <v>46126</v>
      </c>
      <c r="F415" s="15" t="s">
        <v>12</v>
      </c>
      <c r="G415" s="15" t="s">
        <v>48</v>
      </c>
      <c r="H415" s="11"/>
    </row>
    <row r="416" spans="1:8" x14ac:dyDescent="0.35">
      <c r="A416" s="11" t="s">
        <v>821</v>
      </c>
      <c r="B416" s="12">
        <v>5676</v>
      </c>
      <c r="C416" s="11" t="s">
        <v>849</v>
      </c>
      <c r="D416" s="13" t="s">
        <v>852</v>
      </c>
      <c r="E416" s="14">
        <v>46126</v>
      </c>
      <c r="F416" s="15" t="s">
        <v>6</v>
      </c>
      <c r="G416" s="15" t="s">
        <v>53</v>
      </c>
      <c r="H416" s="11"/>
    </row>
    <row r="417" spans="1:8" x14ac:dyDescent="0.35">
      <c r="A417" s="11" t="s">
        <v>821</v>
      </c>
      <c r="B417" s="12">
        <v>5677</v>
      </c>
      <c r="C417" s="11" t="s">
        <v>850</v>
      </c>
      <c r="D417" s="13" t="s">
        <v>853</v>
      </c>
      <c r="E417" s="14">
        <v>46126</v>
      </c>
      <c r="F417" s="15" t="s">
        <v>6</v>
      </c>
      <c r="G417" s="15" t="s">
        <v>48</v>
      </c>
      <c r="H417" s="11"/>
    </row>
    <row r="418" spans="1:8" x14ac:dyDescent="0.35">
      <c r="A418" s="11" t="s">
        <v>821</v>
      </c>
      <c r="B418" s="12">
        <v>5678</v>
      </c>
      <c r="C418" s="11" t="s">
        <v>851</v>
      </c>
      <c r="D418" s="13" t="s">
        <v>854</v>
      </c>
      <c r="E418" s="14">
        <v>46126</v>
      </c>
      <c r="F418" s="15" t="s">
        <v>6</v>
      </c>
      <c r="G418" s="15" t="s">
        <v>53</v>
      </c>
      <c r="H418" s="11"/>
    </row>
    <row r="419" spans="1:8" x14ac:dyDescent="0.35">
      <c r="A419" s="11" t="s">
        <v>856</v>
      </c>
      <c r="B419" s="12">
        <v>5392</v>
      </c>
      <c r="C419" s="11" t="s">
        <v>857</v>
      </c>
      <c r="D419" s="13" t="s">
        <v>855</v>
      </c>
      <c r="E419" s="14">
        <v>46126</v>
      </c>
      <c r="F419" s="15" t="s">
        <v>6</v>
      </c>
      <c r="G419" s="15" t="s">
        <v>48</v>
      </c>
      <c r="H419" s="11"/>
    </row>
    <row r="420" spans="1:8" x14ac:dyDescent="0.35">
      <c r="A420" s="11" t="s">
        <v>856</v>
      </c>
      <c r="B420" s="12">
        <v>3096</v>
      </c>
      <c r="C420" s="11" t="s">
        <v>840</v>
      </c>
      <c r="D420" s="13" t="s">
        <v>844</v>
      </c>
      <c r="E420" s="14">
        <v>46126</v>
      </c>
      <c r="F420" s="15" t="s">
        <v>12</v>
      </c>
      <c r="G420" s="15" t="s">
        <v>48</v>
      </c>
      <c r="H420" s="11"/>
    </row>
    <row r="421" spans="1:8" x14ac:dyDescent="0.35">
      <c r="A421" s="11" t="s">
        <v>426</v>
      </c>
      <c r="B421" s="12">
        <v>5184</v>
      </c>
      <c r="C421" s="11" t="s">
        <v>858</v>
      </c>
      <c r="D421" s="13" t="s">
        <v>859</v>
      </c>
      <c r="E421" s="14">
        <v>46126</v>
      </c>
      <c r="F421" s="15" t="s">
        <v>12</v>
      </c>
      <c r="G421" s="15" t="s">
        <v>49</v>
      </c>
      <c r="H421" s="11"/>
    </row>
    <row r="422" spans="1:8" x14ac:dyDescent="0.35">
      <c r="A422" s="11" t="s">
        <v>426</v>
      </c>
      <c r="B422" s="12">
        <v>5006</v>
      </c>
      <c r="C422" s="11" t="s">
        <v>860</v>
      </c>
      <c r="D422" s="13" t="s">
        <v>861</v>
      </c>
      <c r="E422" s="14">
        <v>46126</v>
      </c>
      <c r="F422" s="15" t="s">
        <v>12</v>
      </c>
      <c r="G422" s="15" t="s">
        <v>53</v>
      </c>
      <c r="H422" s="11"/>
    </row>
    <row r="423" spans="1:8" x14ac:dyDescent="0.35">
      <c r="A423" s="11" t="s">
        <v>426</v>
      </c>
      <c r="B423" s="12">
        <v>5257</v>
      </c>
      <c r="C423" s="11" t="s">
        <v>862</v>
      </c>
      <c r="D423" s="13" t="s">
        <v>863</v>
      </c>
      <c r="E423" s="14">
        <v>46126</v>
      </c>
      <c r="F423" s="15" t="s">
        <v>12</v>
      </c>
      <c r="G423" s="15" t="s">
        <v>48</v>
      </c>
      <c r="H423" s="11"/>
    </row>
    <row r="424" spans="1:8" x14ac:dyDescent="0.35">
      <c r="A424" s="11" t="s">
        <v>101</v>
      </c>
      <c r="B424" s="12">
        <v>5628</v>
      </c>
      <c r="C424" s="11" t="s">
        <v>575</v>
      </c>
      <c r="D424" s="13" t="s">
        <v>576</v>
      </c>
      <c r="E424" s="14">
        <v>46126</v>
      </c>
      <c r="F424" s="15" t="s">
        <v>12</v>
      </c>
      <c r="G424" s="15" t="s">
        <v>48</v>
      </c>
      <c r="H424" s="11"/>
    </row>
    <row r="425" spans="1:8" x14ac:dyDescent="0.35">
      <c r="A425" s="11" t="s">
        <v>26</v>
      </c>
      <c r="B425" s="12">
        <v>5273</v>
      </c>
      <c r="C425" s="11" t="s">
        <v>642</v>
      </c>
      <c r="D425" s="13" t="s">
        <v>643</v>
      </c>
      <c r="E425" s="14">
        <v>46126</v>
      </c>
      <c r="F425" s="15" t="s">
        <v>12</v>
      </c>
      <c r="G425" s="15" t="s">
        <v>48</v>
      </c>
      <c r="H425" s="11"/>
    </row>
    <row r="426" spans="1:8" x14ac:dyDescent="0.35">
      <c r="A426" s="11" t="s">
        <v>821</v>
      </c>
      <c r="B426" s="12">
        <v>5394</v>
      </c>
      <c r="C426" s="11" t="s">
        <v>950</v>
      </c>
      <c r="D426" s="13" t="s">
        <v>354</v>
      </c>
      <c r="E426" s="14">
        <v>46126</v>
      </c>
      <c r="F426" s="15" t="s">
        <v>6</v>
      </c>
      <c r="G426" s="15" t="s">
        <v>326</v>
      </c>
      <c r="H426" s="11"/>
    </row>
    <row r="427" spans="1:8" x14ac:dyDescent="0.35">
      <c r="A427" s="11" t="s">
        <v>821</v>
      </c>
      <c r="B427" s="12">
        <v>5061</v>
      </c>
      <c r="C427" s="11" t="s">
        <v>951</v>
      </c>
      <c r="D427" s="13" t="s">
        <v>944</v>
      </c>
      <c r="E427" s="14">
        <v>46126</v>
      </c>
      <c r="F427" s="15" t="s">
        <v>12</v>
      </c>
      <c r="G427" s="15" t="s">
        <v>49</v>
      </c>
      <c r="H427" s="11"/>
    </row>
    <row r="428" spans="1:8" x14ac:dyDescent="0.35">
      <c r="A428" s="11" t="s">
        <v>821</v>
      </c>
      <c r="B428" s="12">
        <v>5019</v>
      </c>
      <c r="C428" s="11" t="s">
        <v>952</v>
      </c>
      <c r="D428" s="13" t="s">
        <v>945</v>
      </c>
      <c r="E428" s="14">
        <v>46126</v>
      </c>
      <c r="F428" s="15" t="s">
        <v>12</v>
      </c>
      <c r="G428" s="15" t="s">
        <v>80</v>
      </c>
      <c r="H428" s="11"/>
    </row>
    <row r="429" spans="1:8" x14ac:dyDescent="0.35">
      <c r="A429" s="11" t="s">
        <v>821</v>
      </c>
      <c r="B429" s="12">
        <v>3777</v>
      </c>
      <c r="C429" s="11" t="s">
        <v>953</v>
      </c>
      <c r="D429" s="13" t="s">
        <v>946</v>
      </c>
      <c r="E429" s="14">
        <v>46126</v>
      </c>
      <c r="F429" s="15" t="s">
        <v>12</v>
      </c>
      <c r="G429" s="15" t="s">
        <v>48</v>
      </c>
      <c r="H429" s="11"/>
    </row>
    <row r="430" spans="1:8" x14ac:dyDescent="0.35">
      <c r="A430" s="11" t="s">
        <v>426</v>
      </c>
      <c r="B430" s="12">
        <v>5395</v>
      </c>
      <c r="C430" s="11" t="s">
        <v>954</v>
      </c>
      <c r="D430" s="13" t="s">
        <v>947</v>
      </c>
      <c r="E430" s="14">
        <v>46126</v>
      </c>
      <c r="F430" s="15" t="s">
        <v>6</v>
      </c>
      <c r="G430" s="15" t="s">
        <v>48</v>
      </c>
      <c r="H430" s="11"/>
    </row>
    <row r="431" spans="1:8" x14ac:dyDescent="0.35">
      <c r="A431" s="11" t="s">
        <v>426</v>
      </c>
      <c r="B431" s="12">
        <v>5396</v>
      </c>
      <c r="C431" s="11" t="s">
        <v>955</v>
      </c>
      <c r="D431" s="13" t="s">
        <v>948</v>
      </c>
      <c r="E431" s="14">
        <v>46126</v>
      </c>
      <c r="F431" s="15" t="s">
        <v>6</v>
      </c>
      <c r="G431" s="15" t="s">
        <v>49</v>
      </c>
      <c r="H431" s="11"/>
    </row>
    <row r="432" spans="1:8" x14ac:dyDescent="0.35">
      <c r="A432" s="11" t="s">
        <v>426</v>
      </c>
      <c r="B432" s="12">
        <v>5397</v>
      </c>
      <c r="C432" s="11" t="s">
        <v>956</v>
      </c>
      <c r="D432" s="13" t="s">
        <v>949</v>
      </c>
      <c r="E432" s="14">
        <v>46126</v>
      </c>
      <c r="F432" s="15" t="s">
        <v>6</v>
      </c>
      <c r="G432" s="15" t="s">
        <v>48</v>
      </c>
      <c r="H432" s="11"/>
    </row>
    <row r="433" spans="1:8" x14ac:dyDescent="0.35">
      <c r="A433" s="11" t="s">
        <v>856</v>
      </c>
      <c r="B433" s="12">
        <v>5679</v>
      </c>
      <c r="C433" s="11" t="s">
        <v>864</v>
      </c>
      <c r="D433" s="13" t="s">
        <v>868</v>
      </c>
      <c r="E433" s="14">
        <v>46127</v>
      </c>
      <c r="F433" s="15" t="s">
        <v>6</v>
      </c>
      <c r="G433" s="15" t="s">
        <v>48</v>
      </c>
      <c r="H433" s="11"/>
    </row>
    <row r="434" spans="1:8" x14ac:dyDescent="0.35">
      <c r="A434" s="11" t="s">
        <v>856</v>
      </c>
      <c r="B434" s="12">
        <v>5260</v>
      </c>
      <c r="C434" s="11" t="s">
        <v>865</v>
      </c>
      <c r="D434" s="13" t="s">
        <v>869</v>
      </c>
      <c r="E434" s="14">
        <v>46127</v>
      </c>
      <c r="F434" s="15" t="s">
        <v>12</v>
      </c>
      <c r="G434" s="15" t="s">
        <v>48</v>
      </c>
      <c r="H434" s="11"/>
    </row>
    <row r="435" spans="1:8" x14ac:dyDescent="0.35">
      <c r="A435" s="11" t="s">
        <v>856</v>
      </c>
      <c r="B435" s="12">
        <v>5680</v>
      </c>
      <c r="C435" s="11" t="s">
        <v>866</v>
      </c>
      <c r="D435" s="13" t="s">
        <v>870</v>
      </c>
      <c r="E435" s="14">
        <v>46127</v>
      </c>
      <c r="F435" s="15" t="s">
        <v>6</v>
      </c>
      <c r="G435" s="15" t="s">
        <v>48</v>
      </c>
      <c r="H435" s="11"/>
    </row>
    <row r="436" spans="1:8" x14ac:dyDescent="0.35">
      <c r="A436" s="11" t="s">
        <v>856</v>
      </c>
      <c r="B436" s="12">
        <v>5629</v>
      </c>
      <c r="C436" s="11" t="s">
        <v>867</v>
      </c>
      <c r="D436" s="13" t="s">
        <v>584</v>
      </c>
      <c r="E436" s="14">
        <v>46127</v>
      </c>
      <c r="F436" s="15" t="s">
        <v>12</v>
      </c>
      <c r="G436" s="15" t="s">
        <v>48</v>
      </c>
      <c r="H436" s="11"/>
    </row>
    <row r="437" spans="1:8" x14ac:dyDescent="0.35">
      <c r="A437" s="11" t="s">
        <v>856</v>
      </c>
      <c r="B437" s="12">
        <v>5681</v>
      </c>
      <c r="C437" s="11" t="s">
        <v>871</v>
      </c>
      <c r="D437" s="13" t="s">
        <v>875</v>
      </c>
      <c r="E437" s="14">
        <v>46127</v>
      </c>
      <c r="F437" s="15" t="s">
        <v>6</v>
      </c>
      <c r="G437" s="15" t="s">
        <v>48</v>
      </c>
      <c r="H437" s="11"/>
    </row>
    <row r="438" spans="1:8" x14ac:dyDescent="0.35">
      <c r="A438" s="11" t="s">
        <v>856</v>
      </c>
      <c r="B438" s="12">
        <v>5682</v>
      </c>
      <c r="C438" s="11" t="s">
        <v>872</v>
      </c>
      <c r="D438" s="13" t="s">
        <v>876</v>
      </c>
      <c r="E438" s="14">
        <v>46127</v>
      </c>
      <c r="F438" s="15" t="s">
        <v>6</v>
      </c>
      <c r="G438" s="15" t="s">
        <v>48</v>
      </c>
      <c r="H438" s="11" t="s">
        <v>877</v>
      </c>
    </row>
    <row r="439" spans="1:8" x14ac:dyDescent="0.35">
      <c r="A439" s="11" t="s">
        <v>856</v>
      </c>
      <c r="B439" s="12">
        <v>4413</v>
      </c>
      <c r="C439" s="11" t="s">
        <v>873</v>
      </c>
      <c r="D439" s="13" t="s">
        <v>874</v>
      </c>
      <c r="E439" s="14">
        <v>46127</v>
      </c>
      <c r="F439" s="15" t="s">
        <v>12</v>
      </c>
      <c r="G439" s="15" t="s">
        <v>48</v>
      </c>
      <c r="H439" s="11"/>
    </row>
    <row r="440" spans="1:8" x14ac:dyDescent="0.35">
      <c r="A440" s="11" t="s">
        <v>856</v>
      </c>
      <c r="B440" s="12">
        <v>5683</v>
      </c>
      <c r="C440" s="11" t="s">
        <v>879</v>
      </c>
      <c r="D440" s="13" t="s">
        <v>883</v>
      </c>
      <c r="E440" s="14">
        <v>46127</v>
      </c>
      <c r="F440" s="15" t="s">
        <v>6</v>
      </c>
      <c r="G440" s="15" t="s">
        <v>326</v>
      </c>
      <c r="H440" s="11" t="s">
        <v>897</v>
      </c>
    </row>
    <row r="441" spans="1:8" x14ac:dyDescent="0.35">
      <c r="A441" s="11" t="s">
        <v>856</v>
      </c>
      <c r="B441" s="12">
        <v>5311</v>
      </c>
      <c r="C441" s="11" t="s">
        <v>722</v>
      </c>
      <c r="D441" s="13" t="s">
        <v>884</v>
      </c>
      <c r="E441" s="14">
        <v>46127</v>
      </c>
      <c r="F441" s="15" t="s">
        <v>12</v>
      </c>
      <c r="G441" s="15" t="s">
        <v>48</v>
      </c>
      <c r="H441" s="11"/>
    </row>
    <row r="442" spans="1:8" x14ac:dyDescent="0.35">
      <c r="A442" s="11" t="s">
        <v>856</v>
      </c>
      <c r="B442" s="12">
        <v>5684</v>
      </c>
      <c r="C442" s="11" t="s">
        <v>880</v>
      </c>
      <c r="D442" s="13" t="s">
        <v>885</v>
      </c>
      <c r="E442" s="14">
        <v>46127</v>
      </c>
      <c r="F442" s="15" t="s">
        <v>6</v>
      </c>
      <c r="G442" s="15" t="s">
        <v>48</v>
      </c>
      <c r="H442" s="11"/>
    </row>
    <row r="443" spans="1:8" x14ac:dyDescent="0.35">
      <c r="A443" s="11" t="s">
        <v>856</v>
      </c>
      <c r="B443" s="12">
        <v>5685</v>
      </c>
      <c r="C443" s="11" t="s">
        <v>881</v>
      </c>
      <c r="D443" s="13" t="s">
        <v>886</v>
      </c>
      <c r="E443" s="14">
        <v>46127</v>
      </c>
      <c r="F443" s="15" t="s">
        <v>6</v>
      </c>
      <c r="G443" s="15" t="s">
        <v>48</v>
      </c>
      <c r="H443" s="11"/>
    </row>
    <row r="444" spans="1:8" x14ac:dyDescent="0.35">
      <c r="A444" s="11" t="s">
        <v>856</v>
      </c>
      <c r="B444" s="12">
        <v>5686</v>
      </c>
      <c r="C444" s="11" t="s">
        <v>882</v>
      </c>
      <c r="D444" s="13" t="s">
        <v>887</v>
      </c>
      <c r="E444" s="14">
        <v>46127</v>
      </c>
      <c r="F444" s="15" t="s">
        <v>6</v>
      </c>
      <c r="G444" s="15" t="s">
        <v>80</v>
      </c>
      <c r="H444" s="11"/>
    </row>
    <row r="445" spans="1:8" x14ac:dyDescent="0.35">
      <c r="A445" s="11" t="s">
        <v>856</v>
      </c>
      <c r="B445" s="12">
        <v>5260</v>
      </c>
      <c r="C445" s="11" t="s">
        <v>878</v>
      </c>
      <c r="D445" s="13" t="s">
        <v>869</v>
      </c>
      <c r="E445" s="14">
        <v>46127</v>
      </c>
      <c r="F445" s="15" t="s">
        <v>12</v>
      </c>
      <c r="G445" s="15" t="s">
        <v>80</v>
      </c>
      <c r="H445" s="11"/>
    </row>
    <row r="446" spans="1:8" x14ac:dyDescent="0.35">
      <c r="A446" s="11" t="s">
        <v>889</v>
      </c>
      <c r="B446" s="12">
        <v>2341</v>
      </c>
      <c r="C446" s="11" t="s">
        <v>888</v>
      </c>
      <c r="D446" s="13" t="s">
        <v>890</v>
      </c>
      <c r="E446" s="14">
        <v>46127</v>
      </c>
      <c r="F446" s="15" t="s">
        <v>12</v>
      </c>
      <c r="G446" s="15" t="s">
        <v>80</v>
      </c>
      <c r="H446" s="11"/>
    </row>
    <row r="447" spans="1:8" x14ac:dyDescent="0.35">
      <c r="A447" s="11" t="s">
        <v>711</v>
      </c>
      <c r="B447" s="12">
        <v>640</v>
      </c>
      <c r="C447" s="11" t="s">
        <v>892</v>
      </c>
      <c r="D447" s="13" t="s">
        <v>891</v>
      </c>
      <c r="E447" s="14">
        <v>46127</v>
      </c>
      <c r="F447" s="15" t="s">
        <v>12</v>
      </c>
      <c r="G447" s="15" t="s">
        <v>48</v>
      </c>
      <c r="H447" s="11"/>
    </row>
    <row r="448" spans="1:8" x14ac:dyDescent="0.35">
      <c r="A448" s="11" t="s">
        <v>711</v>
      </c>
      <c r="B448" s="12">
        <v>5405</v>
      </c>
      <c r="C448" s="11" t="s">
        <v>896</v>
      </c>
      <c r="D448" s="13" t="s">
        <v>893</v>
      </c>
      <c r="E448" s="14">
        <v>46127</v>
      </c>
      <c r="F448" s="15" t="s">
        <v>6</v>
      </c>
      <c r="G448" s="15" t="s">
        <v>326</v>
      </c>
      <c r="H448" s="11" t="s">
        <v>900</v>
      </c>
    </row>
    <row r="449" spans="1:8" x14ac:dyDescent="0.35">
      <c r="A449" s="11" t="s">
        <v>711</v>
      </c>
      <c r="B449" s="12">
        <v>5406</v>
      </c>
      <c r="C449" s="11" t="s">
        <v>894</v>
      </c>
      <c r="D449" s="13" t="s">
        <v>895</v>
      </c>
      <c r="E449" s="14">
        <v>46127</v>
      </c>
      <c r="F449" s="15" t="s">
        <v>6</v>
      </c>
      <c r="G449" s="15" t="s">
        <v>48</v>
      </c>
      <c r="H449" s="11"/>
    </row>
    <row r="450" spans="1:8" x14ac:dyDescent="0.35">
      <c r="A450" s="11" t="s">
        <v>70</v>
      </c>
      <c r="B450" s="12">
        <v>1860</v>
      </c>
      <c r="C450" s="11" t="s">
        <v>898</v>
      </c>
      <c r="D450" s="13" t="s">
        <v>899</v>
      </c>
      <c r="E450" s="14">
        <v>46127</v>
      </c>
      <c r="F450" s="15" t="s">
        <v>12</v>
      </c>
      <c r="G450" s="15" t="s">
        <v>48</v>
      </c>
      <c r="H450" s="11"/>
    </row>
    <row r="451" spans="1:8" x14ac:dyDescent="0.35">
      <c r="A451" s="11" t="s">
        <v>821</v>
      </c>
      <c r="B451" s="12">
        <v>920</v>
      </c>
      <c r="C451" s="11" t="s">
        <v>901</v>
      </c>
      <c r="D451" s="13" t="s">
        <v>902</v>
      </c>
      <c r="E451" s="14">
        <v>46127</v>
      </c>
      <c r="F451" s="15" t="s">
        <v>12</v>
      </c>
      <c r="G451" s="15" t="s">
        <v>48</v>
      </c>
      <c r="H451" s="11"/>
    </row>
    <row r="452" spans="1:8" x14ac:dyDescent="0.35">
      <c r="A452" s="11" t="s">
        <v>712</v>
      </c>
      <c r="B452" s="12">
        <v>975</v>
      </c>
      <c r="C452" s="11" t="s">
        <v>903</v>
      </c>
      <c r="D452" s="13" t="s">
        <v>904</v>
      </c>
      <c r="E452" s="14">
        <v>46127</v>
      </c>
      <c r="F452" s="15" t="s">
        <v>12</v>
      </c>
      <c r="G452" s="15" t="s">
        <v>48</v>
      </c>
      <c r="H452" s="11"/>
    </row>
    <row r="453" spans="1:8" x14ac:dyDescent="0.35">
      <c r="A453" s="11" t="s">
        <v>26</v>
      </c>
      <c r="B453" s="12">
        <v>993</v>
      </c>
      <c r="C453" s="11" t="s">
        <v>905</v>
      </c>
      <c r="D453" s="13" t="s">
        <v>906</v>
      </c>
      <c r="E453" s="14">
        <v>46127</v>
      </c>
      <c r="F453" s="15" t="s">
        <v>12</v>
      </c>
      <c r="G453" s="15" t="s">
        <v>48</v>
      </c>
      <c r="H453" s="11"/>
    </row>
    <row r="454" spans="1:8" x14ac:dyDescent="0.35">
      <c r="A454" s="11" t="s">
        <v>821</v>
      </c>
      <c r="B454" s="12">
        <v>2049</v>
      </c>
      <c r="C454" s="11" t="s">
        <v>651</v>
      </c>
      <c r="D454" s="13" t="s">
        <v>652</v>
      </c>
      <c r="E454" s="14">
        <v>46127</v>
      </c>
      <c r="F454" s="15" t="s">
        <v>12</v>
      </c>
      <c r="G454" s="15" t="s">
        <v>48</v>
      </c>
      <c r="H454" s="11"/>
    </row>
    <row r="455" spans="1:8" x14ac:dyDescent="0.35">
      <c r="A455" s="11" t="s">
        <v>821</v>
      </c>
      <c r="B455" s="12">
        <v>5266</v>
      </c>
      <c r="C455" s="11" t="s">
        <v>630</v>
      </c>
      <c r="D455" s="13" t="s">
        <v>631</v>
      </c>
      <c r="E455" s="14">
        <v>46127</v>
      </c>
      <c r="F455" s="15" t="s">
        <v>12</v>
      </c>
      <c r="G455" s="15" t="s">
        <v>48</v>
      </c>
      <c r="H455" s="11"/>
    </row>
    <row r="456" spans="1:8" x14ac:dyDescent="0.35">
      <c r="A456" s="11" t="s">
        <v>856</v>
      </c>
      <c r="B456" s="12">
        <v>5166</v>
      </c>
      <c r="C456" s="11" t="s">
        <v>284</v>
      </c>
      <c r="D456" s="13" t="s">
        <v>285</v>
      </c>
      <c r="E456" s="14">
        <v>46127</v>
      </c>
      <c r="F456" s="15" t="s">
        <v>12</v>
      </c>
      <c r="G456" s="15" t="s">
        <v>48</v>
      </c>
      <c r="H456" s="11"/>
    </row>
    <row r="457" spans="1:8" x14ac:dyDescent="0.35">
      <c r="A457" s="11" t="s">
        <v>856</v>
      </c>
      <c r="B457" s="12">
        <v>4095</v>
      </c>
      <c r="C457" s="11" t="s">
        <v>961</v>
      </c>
      <c r="D457" s="13" t="s">
        <v>957</v>
      </c>
      <c r="E457" s="14">
        <v>46127</v>
      </c>
      <c r="F457" s="15" t="s">
        <v>12</v>
      </c>
      <c r="G457" s="15" t="s">
        <v>48</v>
      </c>
      <c r="H457" s="11"/>
    </row>
    <row r="458" spans="1:8" x14ac:dyDescent="0.35">
      <c r="A458" s="11" t="s">
        <v>70</v>
      </c>
      <c r="B458" s="12">
        <v>3455</v>
      </c>
      <c r="C458" s="11" t="s">
        <v>962</v>
      </c>
      <c r="D458" s="13" t="s">
        <v>958</v>
      </c>
      <c r="E458" s="14">
        <v>46127</v>
      </c>
      <c r="F458" s="15" t="s">
        <v>12</v>
      </c>
      <c r="G458" s="15" t="s">
        <v>48</v>
      </c>
      <c r="H458" s="11"/>
    </row>
    <row r="459" spans="1:8" x14ac:dyDescent="0.35">
      <c r="A459" s="11" t="s">
        <v>101</v>
      </c>
      <c r="B459" s="12">
        <v>5408</v>
      </c>
      <c r="C459" s="11" t="s">
        <v>963</v>
      </c>
      <c r="D459" s="13" t="s">
        <v>959</v>
      </c>
      <c r="E459" s="14">
        <v>46127</v>
      </c>
      <c r="F459" s="15" t="s">
        <v>6</v>
      </c>
      <c r="G459" s="15" t="s">
        <v>48</v>
      </c>
      <c r="H459" s="11"/>
    </row>
    <row r="460" spans="1:8" x14ac:dyDescent="0.35">
      <c r="A460" s="11" t="s">
        <v>101</v>
      </c>
      <c r="B460" s="12">
        <v>5409</v>
      </c>
      <c r="C460" s="11" t="s">
        <v>964</v>
      </c>
      <c r="D460" s="13" t="s">
        <v>960</v>
      </c>
      <c r="E460" s="14">
        <v>46127</v>
      </c>
      <c r="F460" s="15" t="s">
        <v>6</v>
      </c>
      <c r="G460" s="15" t="s">
        <v>52</v>
      </c>
      <c r="H460" s="11" t="s">
        <v>1128</v>
      </c>
    </row>
    <row r="461" spans="1:8" x14ac:dyDescent="0.35">
      <c r="A461" s="11" t="s">
        <v>101</v>
      </c>
      <c r="B461" s="12">
        <v>5674</v>
      </c>
      <c r="C461" s="11" t="s">
        <v>965</v>
      </c>
      <c r="D461" s="13" t="s">
        <v>846</v>
      </c>
      <c r="E461" s="14">
        <v>46127</v>
      </c>
      <c r="F461" s="15" t="s">
        <v>12</v>
      </c>
      <c r="G461" s="15" t="s">
        <v>48</v>
      </c>
      <c r="H461" s="11"/>
    </row>
    <row r="462" spans="1:8" x14ac:dyDescent="0.35">
      <c r="A462" s="11" t="s">
        <v>821</v>
      </c>
      <c r="B462" s="12">
        <v>3253</v>
      </c>
      <c r="C462" s="11" t="s">
        <v>907</v>
      </c>
      <c r="D462" s="13" t="s">
        <v>908</v>
      </c>
      <c r="E462" s="14">
        <v>46128</v>
      </c>
      <c r="F462" s="15" t="s">
        <v>12</v>
      </c>
      <c r="G462" s="15" t="s">
        <v>48</v>
      </c>
      <c r="H462" s="11"/>
    </row>
    <row r="463" spans="1:8" x14ac:dyDescent="0.35">
      <c r="A463" s="11" t="s">
        <v>821</v>
      </c>
      <c r="B463" s="12">
        <v>5687</v>
      </c>
      <c r="C463" s="11" t="s">
        <v>909</v>
      </c>
      <c r="D463" s="13" t="s">
        <v>910</v>
      </c>
      <c r="E463" s="14">
        <v>46128</v>
      </c>
      <c r="F463" s="15" t="s">
        <v>6</v>
      </c>
      <c r="G463" s="15" t="s">
        <v>48</v>
      </c>
      <c r="H463" s="11"/>
    </row>
    <row r="464" spans="1:8" x14ac:dyDescent="0.35">
      <c r="A464" s="11" t="s">
        <v>821</v>
      </c>
      <c r="B464" s="12">
        <v>5688</v>
      </c>
      <c r="C464" s="11" t="s">
        <v>911</v>
      </c>
      <c r="D464" s="13" t="s">
        <v>912</v>
      </c>
      <c r="E464" s="14">
        <v>46128</v>
      </c>
      <c r="F464" s="15" t="s">
        <v>6</v>
      </c>
      <c r="G464" s="15" t="s">
        <v>48</v>
      </c>
      <c r="H464" s="11"/>
    </row>
    <row r="465" spans="1:8" x14ac:dyDescent="0.35">
      <c r="A465" s="11" t="s">
        <v>821</v>
      </c>
      <c r="B465" s="12">
        <v>4084</v>
      </c>
      <c r="C465" s="11" t="s">
        <v>823</v>
      </c>
      <c r="D465" s="13" t="s">
        <v>913</v>
      </c>
      <c r="E465" s="14">
        <v>46128</v>
      </c>
      <c r="F465" s="15" t="s">
        <v>12</v>
      </c>
      <c r="G465" s="15" t="s">
        <v>48</v>
      </c>
      <c r="H465" s="11"/>
    </row>
    <row r="466" spans="1:8" x14ac:dyDescent="0.35">
      <c r="A466" s="11" t="s">
        <v>821</v>
      </c>
      <c r="B466" s="12">
        <v>5253</v>
      </c>
      <c r="C466" s="11" t="s">
        <v>907</v>
      </c>
      <c r="D466" s="13" t="s">
        <v>908</v>
      </c>
      <c r="E466" s="14">
        <v>46128</v>
      </c>
      <c r="F466" s="15" t="s">
        <v>12</v>
      </c>
      <c r="G466" s="15" t="s">
        <v>48</v>
      </c>
      <c r="H466" s="11"/>
    </row>
    <row r="467" spans="1:8" x14ac:dyDescent="0.35">
      <c r="A467" s="11" t="s">
        <v>821</v>
      </c>
      <c r="B467" s="12">
        <v>5689</v>
      </c>
      <c r="C467" s="11" t="s">
        <v>914</v>
      </c>
      <c r="D467" s="13" t="s">
        <v>915</v>
      </c>
      <c r="E467" s="14">
        <v>46128</v>
      </c>
      <c r="F467" s="15" t="s">
        <v>6</v>
      </c>
      <c r="G467" s="15" t="s">
        <v>48</v>
      </c>
      <c r="H467" s="11"/>
    </row>
    <row r="468" spans="1:8" x14ac:dyDescent="0.35">
      <c r="A468" s="11" t="s">
        <v>821</v>
      </c>
      <c r="B468" s="12">
        <v>5690</v>
      </c>
      <c r="C468" s="11" t="s">
        <v>916</v>
      </c>
      <c r="D468" s="13" t="s">
        <v>917</v>
      </c>
      <c r="E468" s="14">
        <v>46128</v>
      </c>
      <c r="F468" s="15" t="s">
        <v>6</v>
      </c>
      <c r="G468" s="15" t="s">
        <v>326</v>
      </c>
      <c r="H468" s="11" t="s">
        <v>900</v>
      </c>
    </row>
    <row r="469" spans="1:8" x14ac:dyDescent="0.35">
      <c r="A469" s="11" t="s">
        <v>821</v>
      </c>
      <c r="B469" s="12">
        <v>5691</v>
      </c>
      <c r="C469" s="11" t="s">
        <v>918</v>
      </c>
      <c r="D469" s="13" t="s">
        <v>919</v>
      </c>
      <c r="E469" s="14">
        <v>46128</v>
      </c>
      <c r="F469" s="15" t="s">
        <v>6</v>
      </c>
      <c r="G469" s="15" t="s">
        <v>48</v>
      </c>
      <c r="H469" s="11"/>
    </row>
    <row r="470" spans="1:8" x14ac:dyDescent="0.35">
      <c r="A470" s="11" t="s">
        <v>821</v>
      </c>
      <c r="B470" s="12">
        <v>5692</v>
      </c>
      <c r="C470" s="11" t="s">
        <v>920</v>
      </c>
      <c r="D470" s="13" t="s">
        <v>921</v>
      </c>
      <c r="E470" s="14">
        <v>46128</v>
      </c>
      <c r="F470" s="15" t="s">
        <v>6</v>
      </c>
      <c r="G470" s="15" t="s">
        <v>48</v>
      </c>
      <c r="H470" s="11"/>
    </row>
    <row r="471" spans="1:8" x14ac:dyDescent="0.35">
      <c r="A471" s="11" t="s">
        <v>821</v>
      </c>
      <c r="B471" s="12">
        <v>5693</v>
      </c>
      <c r="C471" s="11" t="s">
        <v>922</v>
      </c>
      <c r="D471" s="13" t="s">
        <v>923</v>
      </c>
      <c r="E471" s="14">
        <v>46128</v>
      </c>
      <c r="F471" s="15" t="s">
        <v>6</v>
      </c>
      <c r="G471" s="15" t="s">
        <v>48</v>
      </c>
      <c r="H471" s="11"/>
    </row>
    <row r="472" spans="1:8" x14ac:dyDescent="0.35">
      <c r="A472" s="11" t="s">
        <v>821</v>
      </c>
      <c r="B472" s="12">
        <v>5694</v>
      </c>
      <c r="C472" s="11" t="s">
        <v>924</v>
      </c>
      <c r="D472" s="13" t="s">
        <v>925</v>
      </c>
      <c r="E472" s="14">
        <v>46128</v>
      </c>
      <c r="F472" s="15" t="s">
        <v>6</v>
      </c>
      <c r="G472" s="15" t="s">
        <v>326</v>
      </c>
      <c r="H472" s="11" t="s">
        <v>900</v>
      </c>
    </row>
    <row r="473" spans="1:8" x14ac:dyDescent="0.35">
      <c r="A473" s="11" t="s">
        <v>821</v>
      </c>
      <c r="B473" s="12">
        <v>5695</v>
      </c>
      <c r="C473" s="11" t="s">
        <v>926</v>
      </c>
      <c r="D473" s="13" t="s">
        <v>927</v>
      </c>
      <c r="E473" s="14">
        <v>46128</v>
      </c>
      <c r="F473" s="15" t="s">
        <v>6</v>
      </c>
      <c r="G473" s="15" t="s">
        <v>48</v>
      </c>
      <c r="H473" s="11"/>
    </row>
    <row r="474" spans="1:8" x14ac:dyDescent="0.35">
      <c r="A474" s="11" t="s">
        <v>821</v>
      </c>
      <c r="B474" s="12">
        <v>2638</v>
      </c>
      <c r="C474" s="11" t="s">
        <v>928</v>
      </c>
      <c r="D474" s="13" t="s">
        <v>929</v>
      </c>
      <c r="E474" s="14">
        <v>46128</v>
      </c>
      <c r="F474" s="15" t="s">
        <v>12</v>
      </c>
      <c r="G474" s="15" t="s">
        <v>48</v>
      </c>
      <c r="H474" s="11"/>
    </row>
    <row r="475" spans="1:8" x14ac:dyDescent="0.35">
      <c r="A475" s="11" t="s">
        <v>821</v>
      </c>
      <c r="B475" s="12">
        <v>4068</v>
      </c>
      <c r="C475" s="11" t="s">
        <v>930</v>
      </c>
      <c r="D475" s="13" t="s">
        <v>931</v>
      </c>
      <c r="E475" s="14">
        <v>46128</v>
      </c>
      <c r="F475" s="15" t="s">
        <v>12</v>
      </c>
      <c r="G475" s="15" t="s">
        <v>48</v>
      </c>
      <c r="H475" s="11"/>
    </row>
    <row r="476" spans="1:8" x14ac:dyDescent="0.35">
      <c r="A476" s="11" t="s">
        <v>821</v>
      </c>
      <c r="B476" s="12">
        <v>3564</v>
      </c>
      <c r="C476" s="11" t="s">
        <v>932</v>
      </c>
      <c r="D476" s="13" t="s">
        <v>933</v>
      </c>
      <c r="E476" s="14">
        <v>46128</v>
      </c>
      <c r="F476" s="15" t="s">
        <v>12</v>
      </c>
      <c r="G476" s="15" t="s">
        <v>48</v>
      </c>
      <c r="H476" s="11"/>
    </row>
    <row r="477" spans="1:8" x14ac:dyDescent="0.35">
      <c r="A477" s="11" t="s">
        <v>821</v>
      </c>
      <c r="B477" s="12">
        <v>5696</v>
      </c>
      <c r="C477" s="11" t="s">
        <v>934</v>
      </c>
      <c r="D477" s="13" t="s">
        <v>935</v>
      </c>
      <c r="E477" s="14">
        <v>46128</v>
      </c>
      <c r="F477" s="15" t="s">
        <v>6</v>
      </c>
      <c r="G477" s="15" t="s">
        <v>48</v>
      </c>
      <c r="H477" s="11"/>
    </row>
    <row r="478" spans="1:8" x14ac:dyDescent="0.35">
      <c r="A478" s="11" t="s">
        <v>821</v>
      </c>
      <c r="B478" s="12">
        <v>5697</v>
      </c>
      <c r="C478" s="11" t="s">
        <v>936</v>
      </c>
      <c r="D478" s="13" t="s">
        <v>937</v>
      </c>
      <c r="E478" s="14">
        <v>46128</v>
      </c>
      <c r="F478" s="15" t="s">
        <v>6</v>
      </c>
      <c r="G478" s="15" t="s">
        <v>48</v>
      </c>
      <c r="H478" s="11"/>
    </row>
    <row r="479" spans="1:8" x14ac:dyDescent="0.35">
      <c r="A479" s="11" t="s">
        <v>821</v>
      </c>
      <c r="B479" s="12">
        <v>5698</v>
      </c>
      <c r="C479" s="11" t="s">
        <v>938</v>
      </c>
      <c r="D479" s="13" t="s">
        <v>939</v>
      </c>
      <c r="E479" s="14">
        <v>46128</v>
      </c>
      <c r="F479" s="15" t="s">
        <v>6</v>
      </c>
      <c r="G479" s="15" t="s">
        <v>48</v>
      </c>
      <c r="H479" s="11"/>
    </row>
    <row r="480" spans="1:8" x14ac:dyDescent="0.35">
      <c r="A480" s="11" t="s">
        <v>821</v>
      </c>
      <c r="B480" s="12">
        <v>4261</v>
      </c>
      <c r="C480" s="11" t="s">
        <v>940</v>
      </c>
      <c r="D480" s="13" t="s">
        <v>941</v>
      </c>
      <c r="E480" s="14">
        <v>46128</v>
      </c>
      <c r="F480" s="15" t="s">
        <v>12</v>
      </c>
      <c r="G480" s="15" t="s">
        <v>48</v>
      </c>
      <c r="H480" s="11"/>
    </row>
    <row r="481" spans="1:8" x14ac:dyDescent="0.35">
      <c r="A481" s="11" t="s">
        <v>821</v>
      </c>
      <c r="B481" s="12">
        <v>2771</v>
      </c>
      <c r="C481" s="11" t="s">
        <v>942</v>
      </c>
      <c r="D481" s="13" t="s">
        <v>943</v>
      </c>
      <c r="E481" s="14">
        <v>46128</v>
      </c>
      <c r="F481" s="15" t="s">
        <v>12</v>
      </c>
      <c r="G481" s="15" t="s">
        <v>48</v>
      </c>
      <c r="H481" s="11"/>
    </row>
    <row r="482" spans="1:8" x14ac:dyDescent="0.35">
      <c r="A482" s="11" t="s">
        <v>58</v>
      </c>
      <c r="B482" s="12">
        <v>5412</v>
      </c>
      <c r="C482" s="11" t="s">
        <v>966</v>
      </c>
      <c r="D482" s="13" t="s">
        <v>967</v>
      </c>
      <c r="E482" s="14">
        <v>46128</v>
      </c>
      <c r="F482" s="15" t="s">
        <v>12</v>
      </c>
      <c r="G482" s="15" t="s">
        <v>48</v>
      </c>
      <c r="H482" s="11"/>
    </row>
    <row r="483" spans="1:8" x14ac:dyDescent="0.35">
      <c r="A483" s="11" t="s">
        <v>58</v>
      </c>
      <c r="B483" s="12">
        <v>3829</v>
      </c>
      <c r="C483" s="11" t="s">
        <v>969</v>
      </c>
      <c r="D483" s="13" t="s">
        <v>968</v>
      </c>
      <c r="E483" s="14">
        <v>46128</v>
      </c>
      <c r="F483" s="15" t="s">
        <v>12</v>
      </c>
      <c r="G483" s="15" t="s">
        <v>52</v>
      </c>
      <c r="H483" s="11"/>
    </row>
    <row r="484" spans="1:8" x14ac:dyDescent="0.35">
      <c r="A484" s="11" t="s">
        <v>58</v>
      </c>
      <c r="B484" s="12">
        <v>5414</v>
      </c>
      <c r="C484" s="11" t="s">
        <v>970</v>
      </c>
      <c r="D484" s="13" t="s">
        <v>971</v>
      </c>
      <c r="E484" s="14">
        <v>46128</v>
      </c>
      <c r="F484" s="15" t="s">
        <v>6</v>
      </c>
      <c r="G484" s="15" t="s">
        <v>48</v>
      </c>
      <c r="H484" s="11"/>
    </row>
    <row r="485" spans="1:8" x14ac:dyDescent="0.35">
      <c r="A485" s="11" t="s">
        <v>973</v>
      </c>
      <c r="B485" s="12">
        <v>5415</v>
      </c>
      <c r="C485" s="11" t="s">
        <v>974</v>
      </c>
      <c r="D485" s="13" t="s">
        <v>972</v>
      </c>
      <c r="E485" s="14">
        <v>46128</v>
      </c>
      <c r="F485" s="15" t="s">
        <v>6</v>
      </c>
      <c r="G485" s="15" t="s">
        <v>48</v>
      </c>
      <c r="H485" s="11"/>
    </row>
    <row r="486" spans="1:8" x14ac:dyDescent="0.35">
      <c r="A486" s="11" t="s">
        <v>26</v>
      </c>
      <c r="B486" s="12">
        <v>3184</v>
      </c>
      <c r="C486" s="11" t="s">
        <v>975</v>
      </c>
      <c r="D486" s="13" t="s">
        <v>976</v>
      </c>
      <c r="E486" s="14">
        <v>46128</v>
      </c>
      <c r="F486" s="15" t="s">
        <v>12</v>
      </c>
      <c r="G486" s="15" t="s">
        <v>48</v>
      </c>
      <c r="H486" s="11"/>
    </row>
    <row r="487" spans="1:8" x14ac:dyDescent="0.35">
      <c r="A487" s="11" t="s">
        <v>26</v>
      </c>
      <c r="B487" s="12">
        <v>1853</v>
      </c>
      <c r="C487" s="11" t="s">
        <v>978</v>
      </c>
      <c r="D487" s="13" t="s">
        <v>977</v>
      </c>
      <c r="E487" s="14">
        <v>46128</v>
      </c>
      <c r="F487" s="15" t="s">
        <v>12</v>
      </c>
      <c r="G487" s="15" t="s">
        <v>49</v>
      </c>
      <c r="H487" s="11"/>
    </row>
    <row r="488" spans="1:8" x14ac:dyDescent="0.35">
      <c r="A488" s="11" t="s">
        <v>26</v>
      </c>
      <c r="B488" s="12">
        <v>685</v>
      </c>
      <c r="C488" s="11" t="s">
        <v>979</v>
      </c>
      <c r="D488" s="13" t="s">
        <v>980</v>
      </c>
      <c r="E488" s="14">
        <v>46128</v>
      </c>
      <c r="F488" s="15" t="s">
        <v>12</v>
      </c>
      <c r="G488" s="15" t="s">
        <v>48</v>
      </c>
      <c r="H488" s="11"/>
    </row>
    <row r="489" spans="1:8" x14ac:dyDescent="0.35">
      <c r="A489" s="11" t="s">
        <v>76</v>
      </c>
      <c r="B489" s="12">
        <v>3438</v>
      </c>
      <c r="C489" s="11" t="s">
        <v>981</v>
      </c>
      <c r="D489" s="13" t="s">
        <v>982</v>
      </c>
      <c r="E489" s="14">
        <v>46128</v>
      </c>
      <c r="F489" s="15" t="s">
        <v>12</v>
      </c>
      <c r="G489" s="15" t="s">
        <v>48</v>
      </c>
      <c r="H489" s="11"/>
    </row>
    <row r="490" spans="1:8" x14ac:dyDescent="0.35">
      <c r="A490" s="11" t="s">
        <v>659</v>
      </c>
      <c r="B490" s="12">
        <v>5699</v>
      </c>
      <c r="C490" s="11" t="s">
        <v>983</v>
      </c>
      <c r="D490" s="13" t="s">
        <v>988</v>
      </c>
      <c r="E490" s="14">
        <v>46129</v>
      </c>
      <c r="F490" s="15" t="s">
        <v>6</v>
      </c>
      <c r="G490" s="15" t="s">
        <v>326</v>
      </c>
      <c r="H490" s="11" t="s">
        <v>1017</v>
      </c>
    </row>
    <row r="491" spans="1:8" x14ac:dyDescent="0.35">
      <c r="A491" s="11" t="s">
        <v>659</v>
      </c>
      <c r="B491" s="12">
        <v>5700</v>
      </c>
      <c r="C491" s="11" t="s">
        <v>984</v>
      </c>
      <c r="D491" s="13" t="s">
        <v>987</v>
      </c>
      <c r="E491" s="14">
        <v>46129</v>
      </c>
      <c r="F491" s="15" t="s">
        <v>6</v>
      </c>
      <c r="G491" s="15" t="s">
        <v>48</v>
      </c>
      <c r="H491" s="11"/>
    </row>
    <row r="492" spans="1:8" x14ac:dyDescent="0.35">
      <c r="A492" s="11" t="s">
        <v>659</v>
      </c>
      <c r="B492" s="12">
        <v>5701</v>
      </c>
      <c r="C492" s="11" t="s">
        <v>985</v>
      </c>
      <c r="D492" s="13" t="s">
        <v>986</v>
      </c>
      <c r="E492" s="14">
        <v>46129</v>
      </c>
      <c r="F492" s="15" t="s">
        <v>6</v>
      </c>
      <c r="G492" s="15" t="s">
        <v>48</v>
      </c>
      <c r="H492" s="11"/>
    </row>
    <row r="493" spans="1:8" x14ac:dyDescent="0.35">
      <c r="A493" s="11" t="s">
        <v>659</v>
      </c>
      <c r="B493" s="12">
        <v>5702</v>
      </c>
      <c r="C493" s="11" t="s">
        <v>989</v>
      </c>
      <c r="D493" s="13" t="s">
        <v>996</v>
      </c>
      <c r="E493" s="14">
        <v>46129</v>
      </c>
      <c r="F493" s="15" t="s">
        <v>6</v>
      </c>
      <c r="G493" s="15" t="s">
        <v>48</v>
      </c>
      <c r="H493" s="11"/>
    </row>
    <row r="494" spans="1:8" x14ac:dyDescent="0.35">
      <c r="A494" s="11" t="s">
        <v>659</v>
      </c>
      <c r="B494" s="12">
        <v>5703</v>
      </c>
      <c r="C494" s="11" t="s">
        <v>990</v>
      </c>
      <c r="D494" s="13" t="s">
        <v>995</v>
      </c>
      <c r="E494" s="14">
        <v>46129</v>
      </c>
      <c r="F494" s="15" t="s">
        <v>6</v>
      </c>
      <c r="G494" s="15" t="s">
        <v>326</v>
      </c>
      <c r="H494" s="11" t="s">
        <v>900</v>
      </c>
    </row>
    <row r="495" spans="1:8" x14ac:dyDescent="0.35">
      <c r="A495" s="11" t="s">
        <v>659</v>
      </c>
      <c r="B495" s="12">
        <v>5704</v>
      </c>
      <c r="C495" s="11" t="s">
        <v>991</v>
      </c>
      <c r="D495" s="13" t="s">
        <v>994</v>
      </c>
      <c r="E495" s="14">
        <v>46129</v>
      </c>
      <c r="F495" s="15" t="s">
        <v>6</v>
      </c>
      <c r="G495" s="15" t="s">
        <v>326</v>
      </c>
      <c r="H495" s="11" t="s">
        <v>900</v>
      </c>
    </row>
    <row r="496" spans="1:8" x14ac:dyDescent="0.35">
      <c r="A496" s="11" t="s">
        <v>659</v>
      </c>
      <c r="B496" s="12">
        <v>5705</v>
      </c>
      <c r="C496" s="11" t="s">
        <v>992</v>
      </c>
      <c r="D496" s="13" t="s">
        <v>993</v>
      </c>
      <c r="E496" s="14">
        <v>46129</v>
      </c>
      <c r="F496" s="15" t="s">
        <v>6</v>
      </c>
      <c r="G496" s="15" t="s">
        <v>48</v>
      </c>
      <c r="H496" s="11"/>
    </row>
    <row r="497" spans="1:8" x14ac:dyDescent="0.35">
      <c r="A497" s="11" t="s">
        <v>659</v>
      </c>
      <c r="B497" s="12">
        <v>5706</v>
      </c>
      <c r="C497" s="11" t="s">
        <v>997</v>
      </c>
      <c r="D497" s="13" t="s">
        <v>1001</v>
      </c>
      <c r="E497" s="14">
        <v>46129</v>
      </c>
      <c r="F497" s="15" t="s">
        <v>6</v>
      </c>
      <c r="G497" s="15" t="s">
        <v>48</v>
      </c>
      <c r="H497" s="11"/>
    </row>
    <row r="498" spans="1:8" x14ac:dyDescent="0.35">
      <c r="A498" s="11" t="s">
        <v>659</v>
      </c>
      <c r="B498" s="12">
        <v>5707</v>
      </c>
      <c r="C498" s="11" t="s">
        <v>998</v>
      </c>
      <c r="D498" s="13" t="s">
        <v>1002</v>
      </c>
      <c r="E498" s="14">
        <v>46129</v>
      </c>
      <c r="F498" s="15" t="s">
        <v>6</v>
      </c>
      <c r="G498" s="15" t="s">
        <v>326</v>
      </c>
      <c r="H498" s="11" t="s">
        <v>900</v>
      </c>
    </row>
    <row r="499" spans="1:8" x14ac:dyDescent="0.35">
      <c r="A499" s="11" t="s">
        <v>659</v>
      </c>
      <c r="B499" s="12">
        <v>5708</v>
      </c>
      <c r="C499" s="11" t="s">
        <v>999</v>
      </c>
      <c r="D499" s="13" t="s">
        <v>1003</v>
      </c>
      <c r="E499" s="14">
        <v>46129</v>
      </c>
      <c r="F499" s="15" t="s">
        <v>6</v>
      </c>
      <c r="G499" s="15" t="s">
        <v>48</v>
      </c>
      <c r="H499" s="11"/>
    </row>
    <row r="500" spans="1:8" x14ac:dyDescent="0.35">
      <c r="A500" s="11" t="s">
        <v>659</v>
      </c>
      <c r="B500" s="12">
        <v>5709</v>
      </c>
      <c r="C500" s="11" t="s">
        <v>1000</v>
      </c>
      <c r="D500" s="13" t="s">
        <v>1004</v>
      </c>
      <c r="E500" s="14">
        <v>46129</v>
      </c>
      <c r="F500" s="15" t="s">
        <v>6</v>
      </c>
      <c r="G500" s="15" t="s">
        <v>48</v>
      </c>
      <c r="H500" s="11"/>
    </row>
    <row r="501" spans="1:8" x14ac:dyDescent="0.35">
      <c r="A501" s="11" t="s">
        <v>273</v>
      </c>
      <c r="B501" s="12">
        <v>4534</v>
      </c>
      <c r="C501" s="11" t="s">
        <v>1005</v>
      </c>
      <c r="D501" s="13" t="s">
        <v>1006</v>
      </c>
      <c r="E501" s="14">
        <v>46129</v>
      </c>
      <c r="F501" s="15" t="s">
        <v>12</v>
      </c>
      <c r="G501" s="15" t="s">
        <v>49</v>
      </c>
      <c r="H501" s="11" t="s">
        <v>1122</v>
      </c>
    </row>
    <row r="502" spans="1:8" x14ac:dyDescent="0.35">
      <c r="A502" s="11" t="s">
        <v>273</v>
      </c>
      <c r="B502" s="12">
        <v>2135</v>
      </c>
      <c r="C502" s="11" t="s">
        <v>1008</v>
      </c>
      <c r="D502" s="13" t="s">
        <v>1007</v>
      </c>
      <c r="E502" s="14">
        <v>46129</v>
      </c>
      <c r="F502" s="15" t="s">
        <v>12</v>
      </c>
      <c r="G502" s="15" t="s">
        <v>48</v>
      </c>
      <c r="H502" s="11"/>
    </row>
    <row r="503" spans="1:8" x14ac:dyDescent="0.35">
      <c r="A503" s="11" t="s">
        <v>273</v>
      </c>
      <c r="B503" s="12">
        <v>4223</v>
      </c>
      <c r="C503" s="11" t="s">
        <v>1009</v>
      </c>
      <c r="D503" s="13" t="s">
        <v>1010</v>
      </c>
      <c r="E503" s="14">
        <v>46129</v>
      </c>
      <c r="F503" s="15" t="s">
        <v>12</v>
      </c>
      <c r="G503" s="15" t="s">
        <v>48</v>
      </c>
      <c r="H503" s="11"/>
    </row>
    <row r="504" spans="1:8" x14ac:dyDescent="0.35">
      <c r="A504" s="11" t="s">
        <v>273</v>
      </c>
      <c r="B504" s="12">
        <v>3743</v>
      </c>
      <c r="C504" s="11" t="s">
        <v>1011</v>
      </c>
      <c r="D504" s="13" t="s">
        <v>1012</v>
      </c>
      <c r="E504" s="14">
        <v>46129</v>
      </c>
      <c r="F504" s="15" t="s">
        <v>6</v>
      </c>
      <c r="G504" s="15" t="s">
        <v>48</v>
      </c>
      <c r="H504" s="11"/>
    </row>
    <row r="505" spans="1:8" x14ac:dyDescent="0.35">
      <c r="A505" s="11" t="s">
        <v>273</v>
      </c>
      <c r="B505" s="12">
        <v>5425</v>
      </c>
      <c r="C505" s="11" t="s">
        <v>1013</v>
      </c>
      <c r="D505" s="13" t="s">
        <v>1014</v>
      </c>
      <c r="E505" s="14">
        <v>46129</v>
      </c>
      <c r="F505" s="15" t="s">
        <v>6</v>
      </c>
      <c r="G505" s="15" t="s">
        <v>48</v>
      </c>
      <c r="H505" s="11"/>
    </row>
    <row r="506" spans="1:8" x14ac:dyDescent="0.35">
      <c r="A506" s="11" t="s">
        <v>273</v>
      </c>
      <c r="B506" s="12">
        <v>5426</v>
      </c>
      <c r="C506" s="11" t="s">
        <v>1016</v>
      </c>
      <c r="D506" s="13" t="s">
        <v>1015</v>
      </c>
      <c r="E506" s="14">
        <v>46129</v>
      </c>
      <c r="F506" s="15" t="s">
        <v>6</v>
      </c>
      <c r="G506" s="15" t="s">
        <v>48</v>
      </c>
      <c r="H506" s="11"/>
    </row>
    <row r="507" spans="1:8" x14ac:dyDescent="0.35">
      <c r="A507" s="11" t="s">
        <v>1019</v>
      </c>
      <c r="B507" s="12">
        <v>3403</v>
      </c>
      <c r="C507" s="11" t="s">
        <v>1020</v>
      </c>
      <c r="D507" s="13" t="s">
        <v>1018</v>
      </c>
      <c r="E507" s="14">
        <v>46129</v>
      </c>
      <c r="F507" s="15" t="s">
        <v>12</v>
      </c>
      <c r="G507" s="15" t="s">
        <v>48</v>
      </c>
      <c r="H507" s="11"/>
    </row>
    <row r="508" spans="1:8" x14ac:dyDescent="0.35">
      <c r="A508" s="11" t="s">
        <v>1019</v>
      </c>
      <c r="B508" s="12">
        <v>5427</v>
      </c>
      <c r="C508" s="11" t="s">
        <v>1022</v>
      </c>
      <c r="D508" s="13" t="s">
        <v>1021</v>
      </c>
      <c r="E508" s="14">
        <v>46129</v>
      </c>
      <c r="F508" s="15" t="s">
        <v>6</v>
      </c>
      <c r="G508" s="15" t="s">
        <v>48</v>
      </c>
      <c r="H508" s="11"/>
    </row>
    <row r="509" spans="1:8" x14ac:dyDescent="0.35">
      <c r="A509" s="11" t="s">
        <v>364</v>
      </c>
      <c r="B509" s="12">
        <v>5436</v>
      </c>
      <c r="C509" s="11" t="s">
        <v>1023</v>
      </c>
      <c r="D509" s="13" t="s">
        <v>1024</v>
      </c>
      <c r="E509" s="14">
        <v>46132</v>
      </c>
      <c r="F509" s="15" t="s">
        <v>12</v>
      </c>
      <c r="G509" s="15" t="s">
        <v>48</v>
      </c>
      <c r="H509" s="11"/>
    </row>
    <row r="510" spans="1:8" x14ac:dyDescent="0.35">
      <c r="A510" s="11" t="s">
        <v>58</v>
      </c>
      <c r="B510" s="12">
        <v>4069</v>
      </c>
      <c r="C510" s="11" t="s">
        <v>1026</v>
      </c>
      <c r="D510" s="13" t="s">
        <v>1025</v>
      </c>
      <c r="E510" s="14">
        <v>46132</v>
      </c>
      <c r="F510" s="15" t="s">
        <v>12</v>
      </c>
      <c r="G510" s="15" t="s">
        <v>48</v>
      </c>
      <c r="H510" s="11"/>
    </row>
    <row r="511" spans="1:8" x14ac:dyDescent="0.35">
      <c r="A511" s="11" t="s">
        <v>63</v>
      </c>
      <c r="B511" s="12">
        <v>4069</v>
      </c>
      <c r="C511" s="11" t="s">
        <v>1026</v>
      </c>
      <c r="D511" s="13" t="s">
        <v>1025</v>
      </c>
      <c r="E511" s="14">
        <v>46132</v>
      </c>
      <c r="F511" s="15" t="s">
        <v>12</v>
      </c>
      <c r="G511" s="15" t="s">
        <v>48</v>
      </c>
      <c r="H511" s="11"/>
    </row>
    <row r="512" spans="1:8" x14ac:dyDescent="0.35">
      <c r="A512" s="11" t="s">
        <v>72</v>
      </c>
      <c r="B512" s="12">
        <v>2170</v>
      </c>
      <c r="C512" s="11" t="s">
        <v>1027</v>
      </c>
      <c r="D512" s="13" t="s">
        <v>620</v>
      </c>
      <c r="E512" s="14">
        <v>46132</v>
      </c>
      <c r="F512" s="15" t="s">
        <v>12</v>
      </c>
      <c r="G512" s="15" t="s">
        <v>48</v>
      </c>
      <c r="H512" s="11"/>
    </row>
    <row r="513" spans="1:8" x14ac:dyDescent="0.35">
      <c r="A513" s="11" t="s">
        <v>1198</v>
      </c>
      <c r="B513" s="12">
        <v>5265</v>
      </c>
      <c r="C513" s="11" t="s">
        <v>628</v>
      </c>
      <c r="D513" s="13" t="s">
        <v>629</v>
      </c>
      <c r="E513" s="14">
        <v>46132</v>
      </c>
      <c r="F513" s="15" t="s">
        <v>12</v>
      </c>
      <c r="G513" s="15" t="s">
        <v>48</v>
      </c>
      <c r="H513" s="11"/>
    </row>
    <row r="514" spans="1:8" x14ac:dyDescent="0.35">
      <c r="A514" s="11" t="s">
        <v>1198</v>
      </c>
      <c r="B514" s="12">
        <v>5713</v>
      </c>
      <c r="C514" s="11" t="s">
        <v>1028</v>
      </c>
      <c r="D514" s="13" t="s">
        <v>1030</v>
      </c>
      <c r="E514" s="14">
        <v>46132</v>
      </c>
      <c r="F514" s="15" t="s">
        <v>6</v>
      </c>
      <c r="G514" s="15" t="s">
        <v>48</v>
      </c>
      <c r="H514" s="11"/>
    </row>
    <row r="515" spans="1:8" x14ac:dyDescent="0.35">
      <c r="A515" s="11" t="s">
        <v>1198</v>
      </c>
      <c r="B515" s="12">
        <v>5330</v>
      </c>
      <c r="C515" s="11" t="s">
        <v>1029</v>
      </c>
      <c r="D515" s="13" t="s">
        <v>1031</v>
      </c>
      <c r="E515" s="14">
        <v>46132</v>
      </c>
      <c r="F515" s="15" t="s">
        <v>12</v>
      </c>
      <c r="G515" s="15" t="s">
        <v>48</v>
      </c>
      <c r="H515" s="11"/>
    </row>
    <row r="516" spans="1:8" x14ac:dyDescent="0.35">
      <c r="A516" s="11" t="s">
        <v>1198</v>
      </c>
      <c r="B516" s="12">
        <v>5710</v>
      </c>
      <c r="C516" s="11" t="s">
        <v>1034</v>
      </c>
      <c r="D516" s="13" t="s">
        <v>1037</v>
      </c>
      <c r="E516" s="14">
        <v>46132</v>
      </c>
      <c r="F516" s="15" t="s">
        <v>6</v>
      </c>
      <c r="G516" s="15" t="s">
        <v>53</v>
      </c>
      <c r="H516" s="11"/>
    </row>
    <row r="517" spans="1:8" x14ac:dyDescent="0.35">
      <c r="A517" s="11" t="s">
        <v>1198</v>
      </c>
      <c r="B517" s="12">
        <v>5712</v>
      </c>
      <c r="C517" s="11" t="s">
        <v>1035</v>
      </c>
      <c r="D517" s="13" t="s">
        <v>1038</v>
      </c>
      <c r="E517" s="14">
        <v>46132</v>
      </c>
      <c r="F517" s="15" t="s">
        <v>6</v>
      </c>
      <c r="G517" s="15" t="s">
        <v>47</v>
      </c>
      <c r="H517" s="11"/>
    </row>
    <row r="518" spans="1:8" x14ac:dyDescent="0.35">
      <c r="A518" s="11" t="s">
        <v>1198</v>
      </c>
      <c r="B518" s="12">
        <v>5711</v>
      </c>
      <c r="C518" s="11" t="s">
        <v>1036</v>
      </c>
      <c r="D518" s="13" t="s">
        <v>1039</v>
      </c>
      <c r="E518" s="14">
        <v>46132</v>
      </c>
      <c r="F518" s="15" t="s">
        <v>12</v>
      </c>
      <c r="G518" s="15" t="s">
        <v>47</v>
      </c>
      <c r="H518" s="11"/>
    </row>
    <row r="519" spans="1:8" x14ac:dyDescent="0.35">
      <c r="A519" s="11" t="s">
        <v>63</v>
      </c>
      <c r="B519" s="12">
        <v>3487</v>
      </c>
      <c r="C519" s="11" t="s">
        <v>1033</v>
      </c>
      <c r="D519" s="13" t="s">
        <v>1032</v>
      </c>
      <c r="E519" s="14">
        <v>46132</v>
      </c>
      <c r="F519" s="15" t="s">
        <v>12</v>
      </c>
      <c r="G519" s="15" t="s">
        <v>48</v>
      </c>
      <c r="H519" s="11"/>
    </row>
    <row r="520" spans="1:8" x14ac:dyDescent="0.35">
      <c r="A520" s="11" t="s">
        <v>551</v>
      </c>
      <c r="B520" s="12">
        <v>5260</v>
      </c>
      <c r="C520" s="11" t="s">
        <v>878</v>
      </c>
      <c r="D520" s="13" t="s">
        <v>869</v>
      </c>
      <c r="E520" s="14">
        <v>46132</v>
      </c>
      <c r="F520" s="15" t="s">
        <v>12</v>
      </c>
      <c r="G520" s="15" t="s">
        <v>53</v>
      </c>
      <c r="H520" s="11"/>
    </row>
    <row r="521" spans="1:8" x14ac:dyDescent="0.35">
      <c r="A521" s="11" t="s">
        <v>4</v>
      </c>
      <c r="B521" s="12">
        <v>1762</v>
      </c>
      <c r="C521" s="11" t="s">
        <v>1040</v>
      </c>
      <c r="D521" s="13" t="s">
        <v>1041</v>
      </c>
      <c r="E521" s="14">
        <v>46132</v>
      </c>
      <c r="F521" s="15" t="s">
        <v>12</v>
      </c>
      <c r="G521" s="15" t="s">
        <v>48</v>
      </c>
      <c r="H521" s="11"/>
    </row>
    <row r="522" spans="1:8" x14ac:dyDescent="0.35">
      <c r="A522" s="11" t="s">
        <v>856</v>
      </c>
      <c r="B522" s="12">
        <v>3812</v>
      </c>
      <c r="C522" s="11" t="s">
        <v>1042</v>
      </c>
      <c r="D522" s="13" t="s">
        <v>1043</v>
      </c>
      <c r="E522" s="14">
        <v>46132</v>
      </c>
      <c r="F522" s="15" t="s">
        <v>12</v>
      </c>
      <c r="G522" s="15" t="s">
        <v>48</v>
      </c>
      <c r="H522" s="11"/>
    </row>
    <row r="523" spans="1:8" x14ac:dyDescent="0.35">
      <c r="A523" s="11" t="s">
        <v>856</v>
      </c>
      <c r="B523" s="12">
        <v>2632</v>
      </c>
      <c r="C523" s="11" t="s">
        <v>1045</v>
      </c>
      <c r="D523" s="13" t="s">
        <v>1044</v>
      </c>
      <c r="E523" s="14">
        <v>46132</v>
      </c>
      <c r="F523" s="15" t="s">
        <v>12</v>
      </c>
      <c r="G523" s="15" t="s">
        <v>48</v>
      </c>
      <c r="H523" s="11"/>
    </row>
    <row r="524" spans="1:8" x14ac:dyDescent="0.35">
      <c r="A524" s="11" t="s">
        <v>856</v>
      </c>
      <c r="B524" s="12">
        <v>1577</v>
      </c>
      <c r="C524" s="11" t="s">
        <v>1046</v>
      </c>
      <c r="D524" s="13" t="s">
        <v>1047</v>
      </c>
      <c r="E524" s="14">
        <v>46132</v>
      </c>
      <c r="F524" s="15" t="s">
        <v>12</v>
      </c>
      <c r="G524" s="15" t="s">
        <v>53</v>
      </c>
      <c r="H524" s="11"/>
    </row>
    <row r="525" spans="1:8" x14ac:dyDescent="0.35">
      <c r="A525" s="11" t="s">
        <v>856</v>
      </c>
      <c r="B525" s="12">
        <v>5437</v>
      </c>
      <c r="C525" s="11" t="s">
        <v>1048</v>
      </c>
      <c r="D525" s="13" t="s">
        <v>1049</v>
      </c>
      <c r="E525" s="14">
        <v>46132</v>
      </c>
      <c r="F525" s="15" t="s">
        <v>6</v>
      </c>
      <c r="G525" s="15" t="s">
        <v>48</v>
      </c>
      <c r="H525" s="11"/>
    </row>
    <row r="526" spans="1:8" x14ac:dyDescent="0.35">
      <c r="A526" s="11" t="s">
        <v>4</v>
      </c>
      <c r="B526" s="12">
        <v>884</v>
      </c>
      <c r="C526" s="11" t="s">
        <v>1050</v>
      </c>
      <c r="D526" s="13" t="s">
        <v>1051</v>
      </c>
      <c r="E526" s="14">
        <v>46132</v>
      </c>
      <c r="F526" s="15" t="s">
        <v>12</v>
      </c>
      <c r="G526" s="15" t="s">
        <v>48</v>
      </c>
      <c r="H526" s="11"/>
    </row>
    <row r="527" spans="1:8" x14ac:dyDescent="0.35">
      <c r="A527" s="11" t="s">
        <v>712</v>
      </c>
      <c r="B527" s="12">
        <v>908</v>
      </c>
      <c r="C527" s="11" t="s">
        <v>1052</v>
      </c>
      <c r="D527" s="13" t="s">
        <v>1053</v>
      </c>
      <c r="E527" s="14">
        <v>46132</v>
      </c>
      <c r="F527" s="15" t="s">
        <v>12</v>
      </c>
      <c r="G527" s="15" t="s">
        <v>48</v>
      </c>
      <c r="H527" s="11"/>
    </row>
    <row r="528" spans="1:8" x14ac:dyDescent="0.35">
      <c r="A528" s="11" t="s">
        <v>63</v>
      </c>
      <c r="B528" s="12">
        <v>920</v>
      </c>
      <c r="C528" s="11" t="s">
        <v>901</v>
      </c>
      <c r="D528" s="13" t="s">
        <v>902</v>
      </c>
      <c r="E528" s="14">
        <v>46132</v>
      </c>
      <c r="F528" s="15" t="s">
        <v>12</v>
      </c>
      <c r="G528" s="15" t="s">
        <v>48</v>
      </c>
      <c r="H528" s="11"/>
    </row>
    <row r="529" spans="1:8" x14ac:dyDescent="0.35">
      <c r="A529" s="11" t="s">
        <v>56</v>
      </c>
      <c r="B529" s="12">
        <v>920</v>
      </c>
      <c r="C529" s="11" t="s">
        <v>901</v>
      </c>
      <c r="D529" s="13" t="s">
        <v>902</v>
      </c>
      <c r="E529" s="14">
        <v>46132</v>
      </c>
      <c r="F529" s="15" t="s">
        <v>12</v>
      </c>
      <c r="G529" s="15" t="s">
        <v>48</v>
      </c>
      <c r="H529" s="11"/>
    </row>
    <row r="530" spans="1:8" x14ac:dyDescent="0.35">
      <c r="A530" s="11" t="s">
        <v>1054</v>
      </c>
      <c r="B530" s="12">
        <v>5714</v>
      </c>
      <c r="C530" s="11" t="s">
        <v>1055</v>
      </c>
      <c r="D530" s="13" t="s">
        <v>1063</v>
      </c>
      <c r="E530" s="14">
        <v>46133</v>
      </c>
      <c r="F530" s="15" t="s">
        <v>6</v>
      </c>
      <c r="G530" s="15" t="s">
        <v>48</v>
      </c>
      <c r="H530" s="11"/>
    </row>
    <row r="531" spans="1:8" x14ac:dyDescent="0.35">
      <c r="A531" s="11" t="s">
        <v>1054</v>
      </c>
      <c r="B531" s="12">
        <v>5716</v>
      </c>
      <c r="C531" s="11" t="s">
        <v>1056</v>
      </c>
      <c r="D531" s="13" t="s">
        <v>1064</v>
      </c>
      <c r="E531" s="14">
        <v>46133</v>
      </c>
      <c r="F531" s="15" t="s">
        <v>6</v>
      </c>
      <c r="G531" s="15" t="s">
        <v>48</v>
      </c>
      <c r="H531" s="11"/>
    </row>
    <row r="532" spans="1:8" x14ac:dyDescent="0.35">
      <c r="A532" s="11" t="s">
        <v>1054</v>
      </c>
      <c r="B532" s="12">
        <v>5717</v>
      </c>
      <c r="C532" s="11" t="s">
        <v>1057</v>
      </c>
      <c r="D532" s="13" t="s">
        <v>1062</v>
      </c>
      <c r="E532" s="14">
        <v>46133</v>
      </c>
      <c r="F532" s="15" t="s">
        <v>6</v>
      </c>
      <c r="G532" s="15" t="s">
        <v>48</v>
      </c>
      <c r="H532" s="11"/>
    </row>
    <row r="533" spans="1:8" x14ac:dyDescent="0.35">
      <c r="A533" s="11" t="s">
        <v>1054</v>
      </c>
      <c r="B533" s="12">
        <v>5718</v>
      </c>
      <c r="C533" s="11" t="s">
        <v>1058</v>
      </c>
      <c r="D533" s="13" t="s">
        <v>1061</v>
      </c>
      <c r="E533" s="14">
        <v>46133</v>
      </c>
      <c r="F533" s="15" t="s">
        <v>6</v>
      </c>
      <c r="G533" s="15" t="s">
        <v>53</v>
      </c>
      <c r="H533" s="11"/>
    </row>
    <row r="534" spans="1:8" x14ac:dyDescent="0.35">
      <c r="A534" s="11" t="s">
        <v>1054</v>
      </c>
      <c r="B534" s="12">
        <v>5715</v>
      </c>
      <c r="C534" s="11" t="s">
        <v>1059</v>
      </c>
      <c r="D534" s="13" t="s">
        <v>1065</v>
      </c>
      <c r="E534" s="14">
        <v>46133</v>
      </c>
      <c r="F534" s="15" t="s">
        <v>6</v>
      </c>
      <c r="G534" s="15" t="s">
        <v>48</v>
      </c>
      <c r="H534" s="11"/>
    </row>
    <row r="535" spans="1:8" x14ac:dyDescent="0.35">
      <c r="A535" s="11" t="s">
        <v>1054</v>
      </c>
      <c r="B535" s="12">
        <v>5719</v>
      </c>
      <c r="C535" s="11" t="s">
        <v>1060</v>
      </c>
      <c r="D535" s="13" t="s">
        <v>1066</v>
      </c>
      <c r="E535" s="14">
        <v>46133</v>
      </c>
      <c r="F535" s="15" t="s">
        <v>6</v>
      </c>
      <c r="G535" s="15" t="s">
        <v>48</v>
      </c>
      <c r="H535" s="11"/>
    </row>
    <row r="536" spans="1:8" x14ac:dyDescent="0.35">
      <c r="A536" s="11" t="s">
        <v>793</v>
      </c>
      <c r="B536" s="12">
        <v>3378</v>
      </c>
      <c r="C536" s="11" t="s">
        <v>1067</v>
      </c>
      <c r="D536" s="13" t="s">
        <v>801</v>
      </c>
      <c r="E536" s="14">
        <v>46133</v>
      </c>
      <c r="F536" s="15" t="s">
        <v>12</v>
      </c>
      <c r="G536" s="15" t="s">
        <v>48</v>
      </c>
      <c r="H536" s="11"/>
    </row>
    <row r="537" spans="1:8" x14ac:dyDescent="0.35">
      <c r="A537" s="11" t="s">
        <v>793</v>
      </c>
      <c r="B537" s="12">
        <v>5721</v>
      </c>
      <c r="C537" s="11" t="s">
        <v>1068</v>
      </c>
      <c r="D537" s="13" t="s">
        <v>1072</v>
      </c>
      <c r="E537" s="14">
        <v>46133</v>
      </c>
      <c r="F537" s="15" t="s">
        <v>6</v>
      </c>
      <c r="G537" s="15" t="s">
        <v>48</v>
      </c>
      <c r="H537" s="11"/>
    </row>
    <row r="538" spans="1:8" x14ac:dyDescent="0.35">
      <c r="A538" s="11" t="s">
        <v>793</v>
      </c>
      <c r="B538" s="12">
        <v>2266</v>
      </c>
      <c r="C538" s="11" t="s">
        <v>1069</v>
      </c>
      <c r="D538" s="13" t="s">
        <v>1073</v>
      </c>
      <c r="E538" s="14">
        <v>46133</v>
      </c>
      <c r="F538" s="15" t="s">
        <v>12</v>
      </c>
      <c r="G538" s="15" t="s">
        <v>48</v>
      </c>
      <c r="H538" s="11"/>
    </row>
    <row r="539" spans="1:8" x14ac:dyDescent="0.35">
      <c r="A539" s="11" t="s">
        <v>793</v>
      </c>
      <c r="B539" s="12">
        <v>523</v>
      </c>
      <c r="C539" s="11" t="s">
        <v>1070</v>
      </c>
      <c r="D539" s="13" t="s">
        <v>1074</v>
      </c>
      <c r="E539" s="14">
        <v>46133</v>
      </c>
      <c r="F539" s="15" t="s">
        <v>12</v>
      </c>
      <c r="G539" s="15" t="s">
        <v>53</v>
      </c>
      <c r="H539" s="11"/>
    </row>
    <row r="540" spans="1:8" x14ac:dyDescent="0.35">
      <c r="A540" s="11" t="s">
        <v>793</v>
      </c>
      <c r="B540" s="12">
        <v>4495</v>
      </c>
      <c r="C540" s="11" t="s">
        <v>1071</v>
      </c>
      <c r="D540" s="13" t="s">
        <v>1075</v>
      </c>
      <c r="E540" s="14">
        <v>46133</v>
      </c>
      <c r="F540" s="15" t="s">
        <v>12</v>
      </c>
      <c r="G540" s="15" t="s">
        <v>48</v>
      </c>
      <c r="H540" s="11"/>
    </row>
    <row r="541" spans="1:8" x14ac:dyDescent="0.35">
      <c r="A541" s="11" t="s">
        <v>821</v>
      </c>
      <c r="B541" s="12">
        <v>3063</v>
      </c>
      <c r="C541" s="11" t="s">
        <v>1076</v>
      </c>
      <c r="D541" s="13" t="s">
        <v>1077</v>
      </c>
      <c r="E541" s="14">
        <v>46133</v>
      </c>
      <c r="F541" s="15" t="s">
        <v>12</v>
      </c>
      <c r="G541" s="15" t="s">
        <v>48</v>
      </c>
      <c r="H541" s="11"/>
    </row>
    <row r="542" spans="1:8" x14ac:dyDescent="0.35">
      <c r="A542" s="11" t="s">
        <v>821</v>
      </c>
      <c r="B542" s="12">
        <v>4281</v>
      </c>
      <c r="C542" s="11" t="s">
        <v>1078</v>
      </c>
      <c r="D542" s="13" t="s">
        <v>1079</v>
      </c>
      <c r="E542" s="14">
        <v>46133</v>
      </c>
      <c r="F542" s="15" t="s">
        <v>12</v>
      </c>
      <c r="G542" s="15" t="s">
        <v>48</v>
      </c>
      <c r="H542" s="11"/>
    </row>
    <row r="543" spans="1:8" x14ac:dyDescent="0.35">
      <c r="A543" s="11" t="s">
        <v>821</v>
      </c>
      <c r="B543" s="12">
        <v>4032</v>
      </c>
      <c r="C543" s="11" t="s">
        <v>1080</v>
      </c>
      <c r="D543" s="13" t="s">
        <v>1081</v>
      </c>
      <c r="E543" s="14">
        <v>46133</v>
      </c>
      <c r="F543" s="15" t="s">
        <v>12</v>
      </c>
      <c r="G543" s="15" t="s">
        <v>326</v>
      </c>
      <c r="H543" s="11" t="s">
        <v>1090</v>
      </c>
    </row>
    <row r="544" spans="1:8" x14ac:dyDescent="0.35">
      <c r="A544" s="11" t="s">
        <v>821</v>
      </c>
      <c r="B544" s="12">
        <v>4567</v>
      </c>
      <c r="C544" s="11" t="s">
        <v>1083</v>
      </c>
      <c r="D544" s="13" t="s">
        <v>1082</v>
      </c>
      <c r="E544" s="14">
        <v>46133</v>
      </c>
      <c r="F544" s="15" t="s">
        <v>12</v>
      </c>
      <c r="G544" s="15" t="s">
        <v>48</v>
      </c>
      <c r="H544" s="11"/>
    </row>
    <row r="545" spans="1:8" x14ac:dyDescent="0.35">
      <c r="A545" s="11" t="s">
        <v>821</v>
      </c>
      <c r="B545" s="12">
        <v>54</v>
      </c>
      <c r="C545" s="11" t="s">
        <v>1084</v>
      </c>
      <c r="D545" s="13" t="s">
        <v>1085</v>
      </c>
      <c r="E545" s="14">
        <v>46133</v>
      </c>
      <c r="F545" s="15" t="s">
        <v>12</v>
      </c>
      <c r="G545" s="15" t="s">
        <v>48</v>
      </c>
      <c r="H545" s="11"/>
    </row>
    <row r="546" spans="1:8" x14ac:dyDescent="0.35">
      <c r="A546" s="11" t="s">
        <v>821</v>
      </c>
      <c r="B546" s="12">
        <v>1791</v>
      </c>
      <c r="C546" s="11" t="s">
        <v>1087</v>
      </c>
      <c r="D546" s="13" t="s">
        <v>1086</v>
      </c>
      <c r="E546" s="14">
        <v>46133</v>
      </c>
      <c r="F546" s="15" t="s">
        <v>12</v>
      </c>
      <c r="G546" s="15" t="s">
        <v>48</v>
      </c>
      <c r="H546" s="11"/>
    </row>
    <row r="547" spans="1:8" x14ac:dyDescent="0.35">
      <c r="A547" s="11" t="s">
        <v>821</v>
      </c>
      <c r="B547" s="12">
        <v>2814</v>
      </c>
      <c r="C547" s="11" t="s">
        <v>1089</v>
      </c>
      <c r="D547" s="13" t="s">
        <v>1088</v>
      </c>
      <c r="E547" s="14">
        <v>46133</v>
      </c>
      <c r="F547" s="15" t="s">
        <v>12</v>
      </c>
      <c r="G547" s="15" t="s">
        <v>54</v>
      </c>
      <c r="H547" s="11"/>
    </row>
    <row r="548" spans="1:8" x14ac:dyDescent="0.35">
      <c r="A548" s="11" t="s">
        <v>1091</v>
      </c>
      <c r="B548" s="12">
        <v>3678</v>
      </c>
      <c r="C548" s="11" t="s">
        <v>280</v>
      </c>
      <c r="D548" s="13" t="s">
        <v>281</v>
      </c>
      <c r="E548" s="14">
        <v>46134</v>
      </c>
      <c r="F548" s="15" t="s">
        <v>12</v>
      </c>
      <c r="G548" s="15" t="s">
        <v>48</v>
      </c>
      <c r="H548" s="11"/>
    </row>
    <row r="549" spans="1:8" x14ac:dyDescent="0.35">
      <c r="A549" s="11" t="s">
        <v>1091</v>
      </c>
      <c r="B549" s="12">
        <v>2112</v>
      </c>
      <c r="C549" s="11" t="s">
        <v>1092</v>
      </c>
      <c r="D549" s="13" t="s">
        <v>1100</v>
      </c>
      <c r="E549" s="14">
        <v>46134</v>
      </c>
      <c r="F549" s="15" t="s">
        <v>12</v>
      </c>
      <c r="G549" s="15" t="s">
        <v>48</v>
      </c>
      <c r="H549" s="11"/>
    </row>
    <row r="550" spans="1:8" x14ac:dyDescent="0.35">
      <c r="A550" s="11" t="s">
        <v>1091</v>
      </c>
      <c r="B550" s="12">
        <v>5619</v>
      </c>
      <c r="C550" s="11" t="s">
        <v>1093</v>
      </c>
      <c r="D550" s="13" t="s">
        <v>1101</v>
      </c>
      <c r="E550" s="14">
        <v>46134</v>
      </c>
      <c r="F550" s="15" t="s">
        <v>12</v>
      </c>
      <c r="G550" s="15" t="s">
        <v>48</v>
      </c>
      <c r="H550" s="11"/>
    </row>
    <row r="551" spans="1:8" x14ac:dyDescent="0.35">
      <c r="A551" s="11" t="s">
        <v>1091</v>
      </c>
      <c r="B551" s="12">
        <v>5722</v>
      </c>
      <c r="C551" s="11" t="s">
        <v>1094</v>
      </c>
      <c r="D551" s="13" t="s">
        <v>1102</v>
      </c>
      <c r="E551" s="14">
        <v>46134</v>
      </c>
      <c r="F551" s="15" t="s">
        <v>6</v>
      </c>
      <c r="G551" s="15" t="s">
        <v>48</v>
      </c>
      <c r="H551" s="11"/>
    </row>
    <row r="552" spans="1:8" x14ac:dyDescent="0.35">
      <c r="A552" s="11" t="s">
        <v>1091</v>
      </c>
      <c r="B552" s="12">
        <v>4276</v>
      </c>
      <c r="C552" s="11" t="s">
        <v>1095</v>
      </c>
      <c r="D552" s="13" t="s">
        <v>1103</v>
      </c>
      <c r="E552" s="14">
        <v>46134</v>
      </c>
      <c r="F552" s="15" t="s">
        <v>12</v>
      </c>
      <c r="G552" s="15" t="s">
        <v>53</v>
      </c>
      <c r="H552" s="11"/>
    </row>
    <row r="553" spans="1:8" x14ac:dyDescent="0.35">
      <c r="A553" s="11" t="s">
        <v>1091</v>
      </c>
      <c r="B553" s="12">
        <v>4509</v>
      </c>
      <c r="C553" s="11" t="s">
        <v>1096</v>
      </c>
      <c r="D553" s="13" t="s">
        <v>1104</v>
      </c>
      <c r="E553" s="14">
        <v>46134</v>
      </c>
      <c r="F553" s="15" t="s">
        <v>12</v>
      </c>
      <c r="G553" s="15" t="s">
        <v>48</v>
      </c>
      <c r="H553" s="11"/>
    </row>
    <row r="554" spans="1:8" x14ac:dyDescent="0.35">
      <c r="A554" s="11" t="s">
        <v>1091</v>
      </c>
      <c r="B554" s="12">
        <v>5723</v>
      </c>
      <c r="C554" s="11" t="s">
        <v>1097</v>
      </c>
      <c r="D554" s="13" t="s">
        <v>1105</v>
      </c>
      <c r="E554" s="14">
        <v>46134</v>
      </c>
      <c r="F554" s="15" t="s">
        <v>6</v>
      </c>
      <c r="G554" s="15" t="s">
        <v>48</v>
      </c>
      <c r="H554" s="11"/>
    </row>
    <row r="555" spans="1:8" x14ac:dyDescent="0.35">
      <c r="A555" s="11" t="s">
        <v>1091</v>
      </c>
      <c r="B555" s="12">
        <v>5724</v>
      </c>
      <c r="C555" s="11" t="s">
        <v>1098</v>
      </c>
      <c r="D555" s="13" t="s">
        <v>1106</v>
      </c>
      <c r="E555" s="14">
        <v>46134</v>
      </c>
      <c r="F555" s="15" t="s">
        <v>6</v>
      </c>
      <c r="G555" s="15" t="s">
        <v>48</v>
      </c>
      <c r="H555" s="11"/>
    </row>
    <row r="556" spans="1:8" x14ac:dyDescent="0.35">
      <c r="A556" s="11" t="s">
        <v>1091</v>
      </c>
      <c r="B556" s="12">
        <v>4223</v>
      </c>
      <c r="C556" s="11" t="s">
        <v>1009</v>
      </c>
      <c r="D556" s="13" t="s">
        <v>1010</v>
      </c>
      <c r="E556" s="14">
        <v>46134</v>
      </c>
      <c r="F556" s="15" t="s">
        <v>12</v>
      </c>
      <c r="G556" s="15" t="s">
        <v>48</v>
      </c>
      <c r="H556" s="11"/>
    </row>
    <row r="557" spans="1:8" x14ac:dyDescent="0.35">
      <c r="A557" s="11" t="s">
        <v>1091</v>
      </c>
      <c r="B557" s="12">
        <v>4555</v>
      </c>
      <c r="C557" s="11" t="s">
        <v>1099</v>
      </c>
      <c r="D557" s="13" t="s">
        <v>1107</v>
      </c>
      <c r="E557" s="14">
        <v>46134</v>
      </c>
      <c r="F557" s="15" t="s">
        <v>12</v>
      </c>
      <c r="G557" s="15" t="s">
        <v>48</v>
      </c>
      <c r="H557" s="11"/>
    </row>
    <row r="558" spans="1:8" x14ac:dyDescent="0.35">
      <c r="A558" s="11" t="s">
        <v>1091</v>
      </c>
      <c r="B558" s="12">
        <v>5634</v>
      </c>
      <c r="C558" s="11" t="s">
        <v>589</v>
      </c>
      <c r="D558" s="13" t="s">
        <v>596</v>
      </c>
      <c r="E558" s="14">
        <v>46134</v>
      </c>
      <c r="F558" s="15" t="s">
        <v>12</v>
      </c>
      <c r="G558" s="15" t="s">
        <v>48</v>
      </c>
      <c r="H558" s="11"/>
    </row>
    <row r="559" spans="1:8" x14ac:dyDescent="0.35">
      <c r="A559" s="11" t="s">
        <v>1091</v>
      </c>
      <c r="B559" s="12">
        <v>5266</v>
      </c>
      <c r="C559" s="11" t="s">
        <v>1109</v>
      </c>
      <c r="D559" s="13" t="s">
        <v>1108</v>
      </c>
      <c r="E559" s="14">
        <v>46134</v>
      </c>
      <c r="F559" s="15" t="s">
        <v>12</v>
      </c>
      <c r="G559" s="15" t="s">
        <v>48</v>
      </c>
      <c r="H559" s="11"/>
    </row>
    <row r="560" spans="1:8" x14ac:dyDescent="0.35">
      <c r="A560" s="11" t="s">
        <v>1091</v>
      </c>
      <c r="B560" s="12">
        <v>2191</v>
      </c>
      <c r="C560" s="11" t="s">
        <v>1111</v>
      </c>
      <c r="D560" s="13" t="s">
        <v>1110</v>
      </c>
      <c r="E560" s="14">
        <v>46134</v>
      </c>
      <c r="F560" s="15" t="s">
        <v>12</v>
      </c>
      <c r="G560" s="15" t="s">
        <v>326</v>
      </c>
      <c r="H560" s="11"/>
    </row>
    <row r="561" spans="1:8" x14ac:dyDescent="0.35">
      <c r="A561" s="11" t="s">
        <v>1091</v>
      </c>
      <c r="B561" s="12">
        <v>3860</v>
      </c>
      <c r="C561" s="11" t="s">
        <v>1112</v>
      </c>
      <c r="D561" s="13" t="s">
        <v>1113</v>
      </c>
      <c r="E561" s="14">
        <v>46134</v>
      </c>
      <c r="F561" s="15" t="s">
        <v>12</v>
      </c>
      <c r="G561" s="15" t="s">
        <v>80</v>
      </c>
      <c r="H561" s="11"/>
    </row>
    <row r="562" spans="1:8" x14ac:dyDescent="0.35">
      <c r="A562" s="11" t="s">
        <v>1091</v>
      </c>
      <c r="B562" s="12">
        <v>5453</v>
      </c>
      <c r="C562" s="11" t="s">
        <v>1115</v>
      </c>
      <c r="D562" s="13" t="s">
        <v>1114</v>
      </c>
      <c r="E562" s="14">
        <v>46134</v>
      </c>
      <c r="F562" s="15" t="s">
        <v>12</v>
      </c>
      <c r="G562" s="15" t="s">
        <v>48</v>
      </c>
      <c r="H562" s="11"/>
    </row>
    <row r="563" spans="1:8" x14ac:dyDescent="0.35">
      <c r="A563" s="11" t="s">
        <v>1091</v>
      </c>
      <c r="B563" s="12">
        <v>1679</v>
      </c>
      <c r="C563" s="11" t="s">
        <v>356</v>
      </c>
      <c r="D563" s="13" t="s">
        <v>351</v>
      </c>
      <c r="E563" s="14">
        <v>46134</v>
      </c>
      <c r="F563" s="15" t="s">
        <v>12</v>
      </c>
      <c r="G563" s="15" t="s">
        <v>48</v>
      </c>
      <c r="H563" s="11"/>
    </row>
    <row r="564" spans="1:8" x14ac:dyDescent="0.35">
      <c r="A564" s="11" t="s">
        <v>1091</v>
      </c>
      <c r="B564" s="12">
        <v>5325</v>
      </c>
      <c r="C564" s="11" t="s">
        <v>1117</v>
      </c>
      <c r="D564" s="13" t="s">
        <v>1116</v>
      </c>
      <c r="E564" s="14">
        <v>46134</v>
      </c>
      <c r="F564" s="15" t="s">
        <v>12</v>
      </c>
      <c r="G564" s="15" t="s">
        <v>80</v>
      </c>
      <c r="H564" s="11"/>
    </row>
    <row r="565" spans="1:8" x14ac:dyDescent="0.35">
      <c r="A565" s="11" t="s">
        <v>821</v>
      </c>
      <c r="B565" s="12">
        <v>4524</v>
      </c>
      <c r="C565" s="11" t="s">
        <v>1119</v>
      </c>
      <c r="D565" s="13" t="s">
        <v>1118</v>
      </c>
      <c r="E565" s="14">
        <v>46134</v>
      </c>
      <c r="F565" s="15" t="s">
        <v>12</v>
      </c>
      <c r="G565" s="15" t="s">
        <v>48</v>
      </c>
      <c r="H565" s="11"/>
    </row>
    <row r="566" spans="1:8" x14ac:dyDescent="0.35">
      <c r="A566" s="11" t="s">
        <v>821</v>
      </c>
      <c r="B566" s="12">
        <v>686</v>
      </c>
      <c r="C566" s="11" t="s">
        <v>1121</v>
      </c>
      <c r="D566" s="13" t="s">
        <v>1120</v>
      </c>
      <c r="E566" s="14">
        <v>46134</v>
      </c>
      <c r="F566" s="15" t="s">
        <v>12</v>
      </c>
      <c r="G566" s="15" t="s">
        <v>49</v>
      </c>
      <c r="H566" s="11" t="s">
        <v>1127</v>
      </c>
    </row>
    <row r="567" spans="1:8" x14ac:dyDescent="0.35">
      <c r="A567" s="11" t="s">
        <v>973</v>
      </c>
      <c r="B567" s="12" t="s">
        <v>118</v>
      </c>
      <c r="C567" s="11" t="s">
        <v>1123</v>
      </c>
      <c r="D567" s="13" t="s">
        <v>1124</v>
      </c>
      <c r="E567" s="14">
        <v>46134</v>
      </c>
      <c r="F567" s="15" t="s">
        <v>6</v>
      </c>
      <c r="G567" s="15" t="s">
        <v>47</v>
      </c>
      <c r="H567" s="11"/>
    </row>
    <row r="568" spans="1:8" x14ac:dyDescent="0.35">
      <c r="A568" s="11" t="s">
        <v>4</v>
      </c>
      <c r="B568" s="12" t="s">
        <v>118</v>
      </c>
      <c r="C568" s="11" t="s">
        <v>1126</v>
      </c>
      <c r="D568" s="13" t="s">
        <v>1125</v>
      </c>
      <c r="E568" s="14">
        <v>46134</v>
      </c>
      <c r="F568" s="15" t="s">
        <v>6</v>
      </c>
      <c r="G568" s="15" t="s">
        <v>47</v>
      </c>
      <c r="H568" s="11"/>
    </row>
    <row r="569" spans="1:8" x14ac:dyDescent="0.35">
      <c r="A569" s="11" t="s">
        <v>1348</v>
      </c>
      <c r="B569" s="12">
        <v>5390</v>
      </c>
      <c r="C569" s="11" t="s">
        <v>1129</v>
      </c>
      <c r="D569" s="13" t="s">
        <v>1130</v>
      </c>
      <c r="E569" s="14">
        <v>46135</v>
      </c>
      <c r="F569" s="15" t="s">
        <v>12</v>
      </c>
      <c r="G569" s="15" t="s">
        <v>48</v>
      </c>
      <c r="H569" s="11"/>
    </row>
    <row r="570" spans="1:8" x14ac:dyDescent="0.35">
      <c r="A570" s="11" t="s">
        <v>1348</v>
      </c>
      <c r="B570" s="12">
        <v>5461</v>
      </c>
      <c r="C570" s="11" t="s">
        <v>1132</v>
      </c>
      <c r="D570" s="13" t="s">
        <v>1131</v>
      </c>
      <c r="E570" s="14">
        <v>46135</v>
      </c>
      <c r="F570" s="15" t="s">
        <v>6</v>
      </c>
      <c r="G570" s="15" t="s">
        <v>48</v>
      </c>
      <c r="H570" s="11"/>
    </row>
    <row r="571" spans="1:8" x14ac:dyDescent="0.35">
      <c r="A571" s="11" t="s">
        <v>1348</v>
      </c>
      <c r="B571" s="12">
        <v>1272</v>
      </c>
      <c r="C571" s="11" t="s">
        <v>1134</v>
      </c>
      <c r="D571" s="13" t="s">
        <v>1133</v>
      </c>
      <c r="E571" s="14">
        <v>46135</v>
      </c>
      <c r="F571" s="15" t="s">
        <v>12</v>
      </c>
      <c r="G571" s="15" t="s">
        <v>48</v>
      </c>
      <c r="H571" s="11"/>
    </row>
    <row r="572" spans="1:8" x14ac:dyDescent="0.35">
      <c r="A572" s="11" t="s">
        <v>1348</v>
      </c>
      <c r="B572" s="12">
        <v>5200</v>
      </c>
      <c r="C572" s="11" t="s">
        <v>328</v>
      </c>
      <c r="D572" s="13" t="s">
        <v>1135</v>
      </c>
      <c r="E572" s="14">
        <v>46135</v>
      </c>
      <c r="F572" s="15" t="s">
        <v>12</v>
      </c>
      <c r="G572" s="15" t="s">
        <v>48</v>
      </c>
      <c r="H572" s="11"/>
    </row>
    <row r="573" spans="1:8" x14ac:dyDescent="0.35">
      <c r="A573" s="11" t="s">
        <v>1091</v>
      </c>
      <c r="B573" s="12">
        <v>1264</v>
      </c>
      <c r="C573" s="11" t="s">
        <v>333</v>
      </c>
      <c r="D573" s="13" t="s">
        <v>319</v>
      </c>
      <c r="E573" s="14">
        <v>46135</v>
      </c>
      <c r="F573" s="15" t="s">
        <v>12</v>
      </c>
      <c r="G573" s="15" t="s">
        <v>48</v>
      </c>
      <c r="H573" s="11"/>
    </row>
    <row r="574" spans="1:8" x14ac:dyDescent="0.35">
      <c r="A574" s="11" t="s">
        <v>1137</v>
      </c>
      <c r="B574" s="12">
        <v>1156</v>
      </c>
      <c r="C574" s="11" t="s">
        <v>1136</v>
      </c>
      <c r="D574" s="13" t="s">
        <v>1138</v>
      </c>
      <c r="E574" s="14">
        <v>46135</v>
      </c>
      <c r="F574" s="15" t="s">
        <v>12</v>
      </c>
      <c r="G574" s="15" t="s">
        <v>48</v>
      </c>
      <c r="H574" s="11"/>
    </row>
    <row r="575" spans="1:8" x14ac:dyDescent="0.35">
      <c r="A575" s="11" t="s">
        <v>1137</v>
      </c>
      <c r="B575" s="12">
        <v>1103</v>
      </c>
      <c r="C575" s="11" t="s">
        <v>1139</v>
      </c>
      <c r="D575" s="13" t="s">
        <v>1140</v>
      </c>
      <c r="E575" s="14">
        <v>46135</v>
      </c>
      <c r="F575" s="15" t="s">
        <v>12</v>
      </c>
      <c r="G575" s="15" t="s">
        <v>48</v>
      </c>
      <c r="H575" s="11"/>
    </row>
    <row r="576" spans="1:8" x14ac:dyDescent="0.35">
      <c r="A576" s="11" t="s">
        <v>1137</v>
      </c>
      <c r="B576" s="12">
        <v>5465</v>
      </c>
      <c r="C576" s="11" t="s">
        <v>1141</v>
      </c>
      <c r="D576" s="13" t="s">
        <v>1142</v>
      </c>
      <c r="E576" s="14">
        <v>46135</v>
      </c>
      <c r="F576" s="15" t="s">
        <v>6</v>
      </c>
      <c r="G576" s="15" t="s">
        <v>326</v>
      </c>
      <c r="H576" s="11" t="s">
        <v>1152</v>
      </c>
    </row>
    <row r="577" spans="1:8" x14ac:dyDescent="0.35">
      <c r="A577" s="11" t="s">
        <v>1137</v>
      </c>
      <c r="B577" s="12">
        <v>5032</v>
      </c>
      <c r="C577" s="11" t="s">
        <v>1143</v>
      </c>
      <c r="D577" s="13" t="s">
        <v>1144</v>
      </c>
      <c r="E577" s="14">
        <v>46135</v>
      </c>
      <c r="F577" s="15" t="s">
        <v>12</v>
      </c>
      <c r="G577" s="15" t="s">
        <v>48</v>
      </c>
      <c r="H577" s="11"/>
    </row>
    <row r="578" spans="1:8" x14ac:dyDescent="0.35">
      <c r="A578" s="11" t="s">
        <v>1137</v>
      </c>
      <c r="B578" s="12">
        <v>2171</v>
      </c>
      <c r="C578" s="11" t="s">
        <v>1145</v>
      </c>
      <c r="D578" s="13" t="s">
        <v>1146</v>
      </c>
      <c r="E578" s="14">
        <v>46135</v>
      </c>
      <c r="F578" s="15" t="s">
        <v>12</v>
      </c>
      <c r="G578" s="15" t="s">
        <v>326</v>
      </c>
      <c r="H578" s="11" t="s">
        <v>1206</v>
      </c>
    </row>
    <row r="579" spans="1:8" x14ac:dyDescent="0.35">
      <c r="A579" s="11" t="s">
        <v>1148</v>
      </c>
      <c r="B579" s="12">
        <v>5466</v>
      </c>
      <c r="C579" s="11" t="s">
        <v>1147</v>
      </c>
      <c r="D579" s="13" t="s">
        <v>1149</v>
      </c>
      <c r="E579" s="14">
        <v>46135</v>
      </c>
      <c r="F579" s="15" t="s">
        <v>6</v>
      </c>
      <c r="G579" s="15" t="s">
        <v>48</v>
      </c>
      <c r="H579" s="11"/>
    </row>
    <row r="580" spans="1:8" x14ac:dyDescent="0.35">
      <c r="A580" s="11" t="s">
        <v>426</v>
      </c>
      <c r="B580" s="12">
        <v>5467</v>
      </c>
      <c r="C580" s="11" t="s">
        <v>1150</v>
      </c>
      <c r="D580" s="13" t="s">
        <v>1151</v>
      </c>
      <c r="E580" s="14">
        <v>46135</v>
      </c>
      <c r="F580" s="15" t="s">
        <v>6</v>
      </c>
      <c r="G580" s="15" t="s">
        <v>48</v>
      </c>
      <c r="H580" s="11"/>
    </row>
    <row r="581" spans="1:8" x14ac:dyDescent="0.35">
      <c r="A581" s="11" t="s">
        <v>426</v>
      </c>
      <c r="B581" s="12">
        <v>5470</v>
      </c>
      <c r="C581" s="11" t="s">
        <v>1154</v>
      </c>
      <c r="D581" s="13" t="s">
        <v>1153</v>
      </c>
      <c r="E581" s="14">
        <v>46135</v>
      </c>
      <c r="F581" s="15" t="s">
        <v>6</v>
      </c>
      <c r="G581" s="15" t="s">
        <v>48</v>
      </c>
      <c r="H581" s="11"/>
    </row>
    <row r="582" spans="1:8" x14ac:dyDescent="0.35">
      <c r="A582" s="11" t="s">
        <v>426</v>
      </c>
      <c r="B582" s="12">
        <v>5471</v>
      </c>
      <c r="C582" s="11" t="s">
        <v>1155</v>
      </c>
      <c r="D582" s="13" t="s">
        <v>1156</v>
      </c>
      <c r="E582" s="14">
        <v>46135</v>
      </c>
      <c r="F582" s="15" t="s">
        <v>6</v>
      </c>
      <c r="G582" s="15" t="s">
        <v>48</v>
      </c>
      <c r="H582" s="11"/>
    </row>
    <row r="583" spans="1:8" x14ac:dyDescent="0.35">
      <c r="A583" s="11" t="s">
        <v>273</v>
      </c>
      <c r="B583" s="12">
        <v>5728</v>
      </c>
      <c r="C583" s="11" t="s">
        <v>1157</v>
      </c>
      <c r="D583" s="13" t="s">
        <v>1178</v>
      </c>
      <c r="E583" s="14">
        <v>46136</v>
      </c>
      <c r="F583" s="15" t="s">
        <v>6</v>
      </c>
      <c r="G583" s="15" t="s">
        <v>326</v>
      </c>
      <c r="H583" s="11" t="s">
        <v>1234</v>
      </c>
    </row>
    <row r="584" spans="1:8" x14ac:dyDescent="0.35">
      <c r="A584" s="11" t="s">
        <v>273</v>
      </c>
      <c r="B584" s="12">
        <v>5382</v>
      </c>
      <c r="C584" s="11" t="s">
        <v>1158</v>
      </c>
      <c r="D584" s="13" t="s">
        <v>1179</v>
      </c>
      <c r="E584" s="14">
        <v>46136</v>
      </c>
      <c r="F584" s="15" t="s">
        <v>12</v>
      </c>
      <c r="G584" s="15" t="s">
        <v>48</v>
      </c>
      <c r="H584" s="11"/>
    </row>
    <row r="585" spans="1:8" x14ac:dyDescent="0.35">
      <c r="A585" s="11" t="s">
        <v>273</v>
      </c>
      <c r="B585" s="12">
        <v>3674</v>
      </c>
      <c r="C585" s="11" t="s">
        <v>1159</v>
      </c>
      <c r="D585" s="13" t="s">
        <v>1180</v>
      </c>
      <c r="E585" s="14">
        <v>46136</v>
      </c>
      <c r="F585" s="15" t="s">
        <v>12</v>
      </c>
      <c r="G585" s="15" t="s">
        <v>48</v>
      </c>
      <c r="H585" s="11"/>
    </row>
    <row r="586" spans="1:8" x14ac:dyDescent="0.35">
      <c r="A586" s="11" t="s">
        <v>273</v>
      </c>
      <c r="B586" s="12">
        <v>5729</v>
      </c>
      <c r="C586" s="11" t="s">
        <v>1160</v>
      </c>
      <c r="D586" s="13" t="s">
        <v>1181</v>
      </c>
      <c r="E586" s="14">
        <v>46136</v>
      </c>
      <c r="F586" s="15" t="s">
        <v>6</v>
      </c>
      <c r="G586" s="15" t="s">
        <v>48</v>
      </c>
      <c r="H586" s="11"/>
    </row>
    <row r="587" spans="1:8" x14ac:dyDescent="0.35">
      <c r="A587" s="11" t="s">
        <v>273</v>
      </c>
      <c r="B587" s="12">
        <v>5730</v>
      </c>
      <c r="C587" s="11" t="s">
        <v>1161</v>
      </c>
      <c r="D587" s="13" t="s">
        <v>1182</v>
      </c>
      <c r="E587" s="14">
        <v>46136</v>
      </c>
      <c r="F587" s="15" t="s">
        <v>6</v>
      </c>
      <c r="G587" s="15" t="s">
        <v>326</v>
      </c>
      <c r="H587" s="11"/>
    </row>
    <row r="588" spans="1:8" x14ac:dyDescent="0.35">
      <c r="A588" s="11" t="s">
        <v>273</v>
      </c>
      <c r="B588" s="12">
        <v>5731</v>
      </c>
      <c r="C588" s="11" t="s">
        <v>1162</v>
      </c>
      <c r="D588" s="13" t="s">
        <v>1183</v>
      </c>
      <c r="E588" s="14">
        <v>46136</v>
      </c>
      <c r="F588" s="15" t="s">
        <v>6</v>
      </c>
      <c r="G588" s="15" t="s">
        <v>48</v>
      </c>
      <c r="H588" s="11"/>
    </row>
    <row r="589" spans="1:8" x14ac:dyDescent="0.35">
      <c r="A589" s="11" t="s">
        <v>273</v>
      </c>
      <c r="B589" s="12">
        <v>2046</v>
      </c>
      <c r="C589" s="11" t="s">
        <v>655</v>
      </c>
      <c r="D589" s="13" t="s">
        <v>332</v>
      </c>
      <c r="E589" s="14">
        <v>46136</v>
      </c>
      <c r="F589" s="15" t="s">
        <v>12</v>
      </c>
      <c r="G589" s="15" t="s">
        <v>48</v>
      </c>
      <c r="H589" s="11"/>
    </row>
    <row r="590" spans="1:8" x14ac:dyDescent="0.35">
      <c r="A590" s="11" t="s">
        <v>273</v>
      </c>
      <c r="B590" s="12">
        <v>1670</v>
      </c>
      <c r="C590" s="11" t="s">
        <v>1163</v>
      </c>
      <c r="D590" s="13" t="s">
        <v>1184</v>
      </c>
      <c r="E590" s="14">
        <v>46136</v>
      </c>
      <c r="F590" s="15" t="s">
        <v>12</v>
      </c>
      <c r="G590" s="15" t="s">
        <v>48</v>
      </c>
      <c r="H590" s="11"/>
    </row>
    <row r="591" spans="1:8" x14ac:dyDescent="0.35">
      <c r="A591" s="11" t="s">
        <v>273</v>
      </c>
      <c r="B591" s="12">
        <v>1462</v>
      </c>
      <c r="C591" s="11" t="s">
        <v>1164</v>
      </c>
      <c r="D591" s="13" t="s">
        <v>1185</v>
      </c>
      <c r="E591" s="14">
        <v>46136</v>
      </c>
      <c r="F591" s="15" t="s">
        <v>12</v>
      </c>
      <c r="G591" s="15" t="s">
        <v>48</v>
      </c>
      <c r="H591" s="11"/>
    </row>
    <row r="592" spans="1:8" x14ac:dyDescent="0.35">
      <c r="A592" s="11" t="s">
        <v>273</v>
      </c>
      <c r="B592" s="12">
        <v>5732</v>
      </c>
      <c r="C592" s="11" t="s">
        <v>1165</v>
      </c>
      <c r="D592" s="13" t="s">
        <v>1186</v>
      </c>
      <c r="E592" s="14">
        <v>46136</v>
      </c>
      <c r="F592" s="15" t="s">
        <v>6</v>
      </c>
      <c r="G592" s="15" t="s">
        <v>48</v>
      </c>
      <c r="H592" s="11"/>
    </row>
    <row r="593" spans="1:8" x14ac:dyDescent="0.35">
      <c r="A593" s="11" t="s">
        <v>273</v>
      </c>
      <c r="B593" s="12">
        <v>5733</v>
      </c>
      <c r="C593" s="11" t="s">
        <v>1166</v>
      </c>
      <c r="D593" s="13" t="s">
        <v>1187</v>
      </c>
      <c r="E593" s="14">
        <v>46136</v>
      </c>
      <c r="F593" s="15" t="s">
        <v>6</v>
      </c>
      <c r="G593" s="15" t="s">
        <v>48</v>
      </c>
      <c r="H593" s="11"/>
    </row>
    <row r="594" spans="1:8" x14ac:dyDescent="0.35">
      <c r="A594" s="11" t="s">
        <v>273</v>
      </c>
      <c r="B594" s="12">
        <v>5734</v>
      </c>
      <c r="C594" s="11" t="s">
        <v>1167</v>
      </c>
      <c r="D594" s="13" t="s">
        <v>1188</v>
      </c>
      <c r="E594" s="14">
        <v>46136</v>
      </c>
      <c r="F594" s="15" t="s">
        <v>6</v>
      </c>
      <c r="G594" s="15" t="s">
        <v>48</v>
      </c>
      <c r="H594" s="11"/>
    </row>
    <row r="595" spans="1:8" x14ac:dyDescent="0.35">
      <c r="A595" s="11" t="s">
        <v>273</v>
      </c>
      <c r="B595" s="12">
        <v>469</v>
      </c>
      <c r="C595" s="11" t="s">
        <v>1168</v>
      </c>
      <c r="D595" s="13" t="s">
        <v>1189</v>
      </c>
      <c r="E595" s="14">
        <v>46136</v>
      </c>
      <c r="F595" s="15" t="s">
        <v>12</v>
      </c>
      <c r="G595" s="15" t="s">
        <v>48</v>
      </c>
      <c r="H595" s="11"/>
    </row>
    <row r="596" spans="1:8" x14ac:dyDescent="0.35">
      <c r="A596" s="11" t="s">
        <v>273</v>
      </c>
      <c r="B596" s="12">
        <v>5735</v>
      </c>
      <c r="C596" s="11" t="s">
        <v>1169</v>
      </c>
      <c r="D596" s="13" t="s">
        <v>1190</v>
      </c>
      <c r="E596" s="14">
        <v>46136</v>
      </c>
      <c r="F596" s="15" t="s">
        <v>6</v>
      </c>
      <c r="G596" s="15" t="s">
        <v>48</v>
      </c>
      <c r="H596" s="11"/>
    </row>
    <row r="597" spans="1:8" x14ac:dyDescent="0.35">
      <c r="A597" s="11" t="s">
        <v>273</v>
      </c>
      <c r="B597" s="12">
        <v>5199</v>
      </c>
      <c r="C597" s="11" t="s">
        <v>1170</v>
      </c>
      <c r="D597" s="13" t="s">
        <v>322</v>
      </c>
      <c r="E597" s="14">
        <v>46136</v>
      </c>
      <c r="F597" s="15" t="s">
        <v>12</v>
      </c>
      <c r="G597" s="15" t="s">
        <v>48</v>
      </c>
      <c r="H597" s="11"/>
    </row>
    <row r="598" spans="1:8" x14ac:dyDescent="0.35">
      <c r="A598" s="11" t="s">
        <v>273</v>
      </c>
      <c r="B598" s="12">
        <v>5736</v>
      </c>
      <c r="C598" s="11" t="s">
        <v>1171</v>
      </c>
      <c r="D598" s="13" t="s">
        <v>1191</v>
      </c>
      <c r="E598" s="14">
        <v>46136</v>
      </c>
      <c r="F598" s="15" t="s">
        <v>6</v>
      </c>
      <c r="G598" s="15" t="s">
        <v>48</v>
      </c>
      <c r="H598" s="11"/>
    </row>
    <row r="599" spans="1:8" x14ac:dyDescent="0.35">
      <c r="A599" s="11" t="s">
        <v>273</v>
      </c>
      <c r="B599" s="12">
        <v>5737</v>
      </c>
      <c r="C599" s="11" t="s">
        <v>1172</v>
      </c>
      <c r="D599" s="13" t="s">
        <v>1192</v>
      </c>
      <c r="E599" s="14">
        <v>46136</v>
      </c>
      <c r="F599" s="15" t="s">
        <v>6</v>
      </c>
      <c r="G599" s="15" t="s">
        <v>48</v>
      </c>
      <c r="H599" s="11"/>
    </row>
    <row r="600" spans="1:8" x14ac:dyDescent="0.35">
      <c r="A600" s="11" t="s">
        <v>273</v>
      </c>
      <c r="B600" s="12">
        <v>5738</v>
      </c>
      <c r="C600" s="11" t="s">
        <v>1173</v>
      </c>
      <c r="D600" s="13" t="s">
        <v>1193</v>
      </c>
      <c r="E600" s="14">
        <v>46136</v>
      </c>
      <c r="F600" s="15" t="s">
        <v>6</v>
      </c>
      <c r="G600" s="15" t="s">
        <v>48</v>
      </c>
      <c r="H600" s="11"/>
    </row>
    <row r="601" spans="1:8" x14ac:dyDescent="0.35">
      <c r="A601" s="11" t="s">
        <v>273</v>
      </c>
      <c r="B601" s="12">
        <v>5739</v>
      </c>
      <c r="C601" s="11" t="s">
        <v>1174</v>
      </c>
      <c r="D601" s="13" t="s">
        <v>1194</v>
      </c>
      <c r="E601" s="14">
        <v>46136</v>
      </c>
      <c r="F601" s="15" t="s">
        <v>6</v>
      </c>
      <c r="G601" s="15" t="s">
        <v>48</v>
      </c>
      <c r="H601" s="11"/>
    </row>
    <row r="602" spans="1:8" x14ac:dyDescent="0.35">
      <c r="A602" s="11" t="s">
        <v>273</v>
      </c>
      <c r="B602" s="12">
        <v>773</v>
      </c>
      <c r="C602" s="11" t="s">
        <v>1175</v>
      </c>
      <c r="D602" s="13" t="s">
        <v>1195</v>
      </c>
      <c r="E602" s="14">
        <v>46136</v>
      </c>
      <c r="F602" s="15" t="s">
        <v>12</v>
      </c>
      <c r="G602" s="15" t="s">
        <v>48</v>
      </c>
      <c r="H602" s="11"/>
    </row>
    <row r="603" spans="1:8" x14ac:dyDescent="0.35">
      <c r="A603" s="11" t="s">
        <v>273</v>
      </c>
      <c r="B603" s="12">
        <v>5740</v>
      </c>
      <c r="C603" s="11" t="s">
        <v>1176</v>
      </c>
      <c r="D603" s="13" t="s">
        <v>1196</v>
      </c>
      <c r="E603" s="14">
        <v>46136</v>
      </c>
      <c r="F603" s="15" t="s">
        <v>6</v>
      </c>
      <c r="G603" s="15" t="s">
        <v>48</v>
      </c>
      <c r="H603" s="11"/>
    </row>
    <row r="604" spans="1:8" x14ac:dyDescent="0.35">
      <c r="A604" s="11" t="s">
        <v>273</v>
      </c>
      <c r="B604" s="12">
        <v>5741</v>
      </c>
      <c r="C604" s="11" t="s">
        <v>1177</v>
      </c>
      <c r="D604" s="13" t="s">
        <v>1197</v>
      </c>
      <c r="E604" s="14">
        <v>46136</v>
      </c>
      <c r="F604" s="15" t="s">
        <v>6</v>
      </c>
      <c r="G604" s="15" t="s">
        <v>48</v>
      </c>
      <c r="H604" s="11"/>
    </row>
    <row r="605" spans="1:8" x14ac:dyDescent="0.35">
      <c r="A605" s="11" t="s">
        <v>1019</v>
      </c>
      <c r="B605" s="12">
        <v>5476</v>
      </c>
      <c r="C605" s="11" t="s">
        <v>1199</v>
      </c>
      <c r="D605" s="13" t="s">
        <v>1200</v>
      </c>
      <c r="E605" s="14">
        <v>46136</v>
      </c>
      <c r="F605" s="15" t="s">
        <v>6</v>
      </c>
      <c r="G605" s="15" t="s">
        <v>326</v>
      </c>
      <c r="H605" s="11" t="s">
        <v>1205</v>
      </c>
    </row>
    <row r="606" spans="1:8" x14ac:dyDescent="0.35">
      <c r="A606" s="11" t="s">
        <v>426</v>
      </c>
      <c r="B606" s="12">
        <v>2292</v>
      </c>
      <c r="C606" s="11" t="s">
        <v>1201</v>
      </c>
      <c r="D606" s="13" t="s">
        <v>1202</v>
      </c>
      <c r="E606" s="14">
        <v>46136</v>
      </c>
      <c r="F606" s="15" t="s">
        <v>12</v>
      </c>
      <c r="G606" s="15" t="s">
        <v>48</v>
      </c>
      <c r="H606" s="11"/>
    </row>
    <row r="607" spans="1:8" x14ac:dyDescent="0.35">
      <c r="A607" s="11" t="s">
        <v>426</v>
      </c>
      <c r="B607" s="12">
        <v>5477</v>
      </c>
      <c r="C607" s="11" t="s">
        <v>1203</v>
      </c>
      <c r="D607" s="13" t="s">
        <v>1204</v>
      </c>
      <c r="E607" s="14">
        <v>46136</v>
      </c>
      <c r="F607" s="15" t="s">
        <v>6</v>
      </c>
      <c r="G607" s="15" t="s">
        <v>48</v>
      </c>
      <c r="H607" s="11"/>
    </row>
    <row r="608" spans="1:8" x14ac:dyDescent="0.35">
      <c r="A608" s="11" t="s">
        <v>251</v>
      </c>
      <c r="B608" s="12">
        <v>5477</v>
      </c>
      <c r="C608" s="11" t="s">
        <v>1203</v>
      </c>
      <c r="D608" s="13" t="s">
        <v>1204</v>
      </c>
      <c r="E608" s="14">
        <v>46136</v>
      </c>
      <c r="F608" s="15" t="s">
        <v>6</v>
      </c>
      <c r="G608" s="15" t="s">
        <v>48</v>
      </c>
      <c r="H608" s="11"/>
    </row>
    <row r="609" spans="1:8" x14ac:dyDescent="0.35">
      <c r="A609" s="11" t="s">
        <v>76</v>
      </c>
      <c r="B609" s="12">
        <v>5477</v>
      </c>
      <c r="C609" s="11" t="s">
        <v>1203</v>
      </c>
      <c r="D609" s="13" t="s">
        <v>1204</v>
      </c>
      <c r="E609" s="14">
        <v>46136</v>
      </c>
      <c r="F609" s="15" t="s">
        <v>6</v>
      </c>
      <c r="G609" s="15" t="s">
        <v>48</v>
      </c>
      <c r="H609" s="11"/>
    </row>
    <row r="610" spans="1:8" x14ac:dyDescent="0.35">
      <c r="A610" s="11" t="s">
        <v>1208</v>
      </c>
      <c r="B610" s="12">
        <v>5479</v>
      </c>
      <c r="C610" s="11" t="s">
        <v>1209</v>
      </c>
      <c r="D610" s="13" t="s">
        <v>1207</v>
      </c>
      <c r="E610" s="14">
        <v>46136</v>
      </c>
      <c r="F610" s="15" t="s">
        <v>6</v>
      </c>
      <c r="G610" s="15" t="s">
        <v>53</v>
      </c>
      <c r="H610" s="11"/>
    </row>
    <row r="611" spans="1:8" x14ac:dyDescent="0.35">
      <c r="A611" s="11" t="s">
        <v>1211</v>
      </c>
      <c r="B611" s="12">
        <v>3130</v>
      </c>
      <c r="C611" s="11" t="s">
        <v>1210</v>
      </c>
      <c r="D611" s="13" t="s">
        <v>1212</v>
      </c>
      <c r="E611" s="14">
        <v>46140</v>
      </c>
      <c r="F611" s="15" t="s">
        <v>12</v>
      </c>
      <c r="G611" s="15" t="s">
        <v>54</v>
      </c>
      <c r="H611" s="11"/>
    </row>
    <row r="612" spans="1:8" x14ac:dyDescent="0.35">
      <c r="A612" s="11" t="s">
        <v>1211</v>
      </c>
      <c r="B612" s="12">
        <v>3484</v>
      </c>
      <c r="C612" s="11" t="s">
        <v>1213</v>
      </c>
      <c r="D612" s="13" t="s">
        <v>1214</v>
      </c>
      <c r="E612" s="14">
        <v>46140</v>
      </c>
      <c r="F612" s="15" t="s">
        <v>12</v>
      </c>
      <c r="G612" s="15" t="s">
        <v>54</v>
      </c>
      <c r="H612" s="11"/>
    </row>
    <row r="613" spans="1:8" x14ac:dyDescent="0.35">
      <c r="A613" s="11" t="s">
        <v>1211</v>
      </c>
      <c r="B613" s="12">
        <v>5745</v>
      </c>
      <c r="C613" s="11" t="s">
        <v>1215</v>
      </c>
      <c r="D613" s="13" t="s">
        <v>1216</v>
      </c>
      <c r="E613" s="14">
        <v>46140</v>
      </c>
      <c r="F613" s="15" t="s">
        <v>6</v>
      </c>
      <c r="G613" s="15" t="s">
        <v>54</v>
      </c>
      <c r="H613" s="11"/>
    </row>
    <row r="614" spans="1:8" x14ac:dyDescent="0.35">
      <c r="A614" s="11" t="s">
        <v>1211</v>
      </c>
      <c r="B614" s="12">
        <v>5746</v>
      </c>
      <c r="C614" s="11" t="s">
        <v>1217</v>
      </c>
      <c r="D614" s="13" t="s">
        <v>1224</v>
      </c>
      <c r="E614" s="14">
        <v>46140</v>
      </c>
      <c r="F614" s="15" t="s">
        <v>6</v>
      </c>
      <c r="G614" s="15" t="s">
        <v>54</v>
      </c>
      <c r="H614" s="11"/>
    </row>
    <row r="615" spans="1:8" x14ac:dyDescent="0.35">
      <c r="A615" s="11" t="s">
        <v>1211</v>
      </c>
      <c r="B615" s="12">
        <v>2831</v>
      </c>
      <c r="C615" s="11" t="s">
        <v>1218</v>
      </c>
      <c r="D615" s="13" t="s">
        <v>1219</v>
      </c>
      <c r="E615" s="14">
        <v>46140</v>
      </c>
      <c r="F615" s="15" t="s">
        <v>12</v>
      </c>
      <c r="G615" s="15" t="s">
        <v>54</v>
      </c>
      <c r="H615" s="11"/>
    </row>
    <row r="616" spans="1:8" x14ac:dyDescent="0.35">
      <c r="A616" s="11" t="s">
        <v>1211</v>
      </c>
      <c r="B616" s="12">
        <v>5747</v>
      </c>
      <c r="C616" s="11" t="s">
        <v>1220</v>
      </c>
      <c r="D616" s="13" t="s">
        <v>1221</v>
      </c>
      <c r="E616" s="14">
        <v>46140</v>
      </c>
      <c r="F616" s="15" t="s">
        <v>6</v>
      </c>
      <c r="G616" s="15" t="s">
        <v>54</v>
      </c>
      <c r="H616" s="11"/>
    </row>
    <row r="617" spans="1:8" x14ac:dyDescent="0.35">
      <c r="A617" s="11" t="s">
        <v>1211</v>
      </c>
      <c r="B617" s="12">
        <v>3456</v>
      </c>
      <c r="C617" s="11" t="s">
        <v>1230</v>
      </c>
      <c r="D617" s="13" t="s">
        <v>1225</v>
      </c>
      <c r="E617" s="14">
        <v>46140</v>
      </c>
      <c r="F617" s="15" t="s">
        <v>12</v>
      </c>
      <c r="G617" s="15" t="s">
        <v>54</v>
      </c>
      <c r="H617" s="11"/>
    </row>
    <row r="618" spans="1:8" x14ac:dyDescent="0.35">
      <c r="A618" s="11" t="s">
        <v>1211</v>
      </c>
      <c r="B618" s="12">
        <v>5748</v>
      </c>
      <c r="C618" s="11" t="s">
        <v>1226</v>
      </c>
      <c r="D618" s="13" t="s">
        <v>1227</v>
      </c>
      <c r="E618" s="14">
        <v>46140</v>
      </c>
      <c r="F618" s="15" t="s">
        <v>6</v>
      </c>
      <c r="G618" s="15" t="s">
        <v>54</v>
      </c>
      <c r="H618" s="11"/>
    </row>
    <row r="619" spans="1:8" x14ac:dyDescent="0.35">
      <c r="A619" s="11" t="s">
        <v>1211</v>
      </c>
      <c r="B619" s="12">
        <v>718</v>
      </c>
      <c r="C619" s="11" t="s">
        <v>164</v>
      </c>
      <c r="D619" s="13" t="s">
        <v>1228</v>
      </c>
      <c r="E619" s="14">
        <v>46140</v>
      </c>
      <c r="F619" s="15" t="s">
        <v>12</v>
      </c>
      <c r="G619" s="15" t="s">
        <v>54</v>
      </c>
      <c r="H619" s="11"/>
    </row>
    <row r="620" spans="1:8" x14ac:dyDescent="0.35">
      <c r="A620" s="11" t="s">
        <v>1211</v>
      </c>
      <c r="B620" s="12">
        <v>5061</v>
      </c>
      <c r="C620" s="11" t="s">
        <v>951</v>
      </c>
      <c r="D620" s="13" t="s">
        <v>1229</v>
      </c>
      <c r="E620" s="14">
        <v>46140</v>
      </c>
      <c r="F620" s="15" t="s">
        <v>12</v>
      </c>
      <c r="G620" s="15" t="s">
        <v>54</v>
      </c>
      <c r="H620" s="11"/>
    </row>
    <row r="621" spans="1:8" x14ac:dyDescent="0.35">
      <c r="A621" s="11" t="s">
        <v>1211</v>
      </c>
      <c r="B621" s="12">
        <v>5480</v>
      </c>
      <c r="C621" s="11" t="s">
        <v>1231</v>
      </c>
      <c r="D621" s="13" t="s">
        <v>1232</v>
      </c>
      <c r="E621" s="14">
        <v>46140</v>
      </c>
      <c r="F621" s="15" t="s">
        <v>6</v>
      </c>
      <c r="G621" s="15" t="s">
        <v>54</v>
      </c>
      <c r="H621" s="11"/>
    </row>
    <row r="622" spans="1:8" x14ac:dyDescent="0.35">
      <c r="A622" s="11" t="s">
        <v>1222</v>
      </c>
      <c r="B622" s="12">
        <v>3667</v>
      </c>
      <c r="C622" s="11" t="s">
        <v>1247</v>
      </c>
      <c r="D622" s="13" t="s">
        <v>1233</v>
      </c>
      <c r="E622" s="14">
        <v>46140</v>
      </c>
      <c r="F622" s="15" t="s">
        <v>12</v>
      </c>
      <c r="G622" s="15" t="s">
        <v>54</v>
      </c>
      <c r="H622" s="11"/>
    </row>
    <row r="623" spans="1:8" x14ac:dyDescent="0.35">
      <c r="A623" s="11" t="s">
        <v>1222</v>
      </c>
      <c r="B623" s="12">
        <v>3634</v>
      </c>
      <c r="C623" s="11" t="s">
        <v>1235</v>
      </c>
      <c r="D623" s="13" t="s">
        <v>1236</v>
      </c>
      <c r="E623" s="14">
        <v>46140</v>
      </c>
      <c r="F623" s="15" t="s">
        <v>12</v>
      </c>
      <c r="G623" s="15" t="s">
        <v>54</v>
      </c>
      <c r="H623" s="11"/>
    </row>
    <row r="624" spans="1:8" x14ac:dyDescent="0.35">
      <c r="A624" s="11" t="s">
        <v>1222</v>
      </c>
      <c r="B624" s="12">
        <v>5054</v>
      </c>
      <c r="C624" s="11" t="s">
        <v>1237</v>
      </c>
      <c r="D624" s="13" t="s">
        <v>1238</v>
      </c>
      <c r="E624" s="14">
        <v>46140</v>
      </c>
      <c r="F624" s="15" t="s">
        <v>12</v>
      </c>
      <c r="G624" s="15" t="s">
        <v>54</v>
      </c>
      <c r="H624" s="11"/>
    </row>
    <row r="625" spans="1:8" x14ac:dyDescent="0.35">
      <c r="A625" s="11" t="s">
        <v>1222</v>
      </c>
      <c r="B625" s="12">
        <v>3874</v>
      </c>
      <c r="C625" s="11" t="s">
        <v>1239</v>
      </c>
      <c r="D625" s="13" t="s">
        <v>1240</v>
      </c>
      <c r="E625" s="14">
        <v>46140</v>
      </c>
      <c r="F625" s="15" t="s">
        <v>12</v>
      </c>
      <c r="G625" s="15" t="s">
        <v>54</v>
      </c>
      <c r="H625" s="11"/>
    </row>
    <row r="626" spans="1:8" x14ac:dyDescent="0.35">
      <c r="A626" s="11" t="s">
        <v>1211</v>
      </c>
      <c r="B626" s="12">
        <v>5484</v>
      </c>
      <c r="C626" s="11" t="s">
        <v>1242</v>
      </c>
      <c r="D626" s="13" t="s">
        <v>1241</v>
      </c>
      <c r="E626" s="14">
        <v>46140</v>
      </c>
      <c r="F626" s="15" t="s">
        <v>6</v>
      </c>
      <c r="G626" s="15" t="s">
        <v>54</v>
      </c>
      <c r="H626" s="11"/>
    </row>
    <row r="627" spans="1:8" x14ac:dyDescent="0.35">
      <c r="A627" s="11" t="s">
        <v>821</v>
      </c>
      <c r="B627" s="12">
        <v>1675</v>
      </c>
      <c r="C627" s="11" t="s">
        <v>1243</v>
      </c>
      <c r="D627" s="13" t="s">
        <v>1244</v>
      </c>
      <c r="E627" s="14">
        <v>46140</v>
      </c>
      <c r="F627" s="15" t="s">
        <v>12</v>
      </c>
      <c r="G627" s="15" t="s">
        <v>54</v>
      </c>
      <c r="H627" s="11"/>
    </row>
    <row r="628" spans="1:8" x14ac:dyDescent="0.35">
      <c r="A628" s="11" t="s">
        <v>1054</v>
      </c>
      <c r="B628" s="12">
        <v>1644</v>
      </c>
      <c r="C628" s="11" t="s">
        <v>1245</v>
      </c>
      <c r="D628" s="13" t="s">
        <v>1246</v>
      </c>
      <c r="E628" s="14">
        <v>46140</v>
      </c>
      <c r="F628" s="15" t="s">
        <v>12</v>
      </c>
      <c r="G628" s="15" t="s">
        <v>54</v>
      </c>
      <c r="H628" s="11"/>
    </row>
    <row r="629" spans="1:8" x14ac:dyDescent="0.35">
      <c r="A629" s="11" t="s">
        <v>1222</v>
      </c>
      <c r="B629" s="12">
        <v>4498</v>
      </c>
      <c r="C629" s="11" t="s">
        <v>1248</v>
      </c>
      <c r="D629" s="13" t="s">
        <v>529</v>
      </c>
      <c r="E629" s="14">
        <v>46141</v>
      </c>
      <c r="F629" s="15" t="s">
        <v>12</v>
      </c>
      <c r="G629" s="15" t="s">
        <v>54</v>
      </c>
      <c r="H629" s="11"/>
    </row>
    <row r="630" spans="1:8" x14ac:dyDescent="0.35">
      <c r="A630" s="11" t="s">
        <v>1222</v>
      </c>
      <c r="B630" s="12">
        <v>679</v>
      </c>
      <c r="C630" s="11" t="s">
        <v>1249</v>
      </c>
      <c r="D630" s="13" t="s">
        <v>531</v>
      </c>
      <c r="E630" s="14">
        <v>46141</v>
      </c>
      <c r="F630" s="15" t="s">
        <v>12</v>
      </c>
      <c r="G630" s="15" t="s">
        <v>54</v>
      </c>
      <c r="H630" s="11"/>
    </row>
    <row r="631" spans="1:8" x14ac:dyDescent="0.35">
      <c r="A631" s="11" t="s">
        <v>1222</v>
      </c>
      <c r="B631" s="12">
        <v>5752</v>
      </c>
      <c r="C631" s="11" t="s">
        <v>1250</v>
      </c>
      <c r="D631" s="13" t="s">
        <v>1251</v>
      </c>
      <c r="E631" s="14">
        <v>46141</v>
      </c>
      <c r="F631" s="15" t="s">
        <v>6</v>
      </c>
      <c r="G631" s="15" t="s">
        <v>54</v>
      </c>
      <c r="H631" s="11"/>
    </row>
    <row r="632" spans="1:8" x14ac:dyDescent="0.35">
      <c r="A632" s="11" t="s">
        <v>1222</v>
      </c>
      <c r="B632" s="12">
        <v>3249</v>
      </c>
      <c r="C632" s="11" t="s">
        <v>30</v>
      </c>
      <c r="D632" s="13" t="s">
        <v>31</v>
      </c>
      <c r="E632" s="14">
        <v>46141</v>
      </c>
      <c r="F632" s="15" t="s">
        <v>12</v>
      </c>
      <c r="G632" s="15" t="s">
        <v>53</v>
      </c>
      <c r="H632" s="11"/>
    </row>
    <row r="633" spans="1:8" x14ac:dyDescent="0.35">
      <c r="A633" s="11" t="s">
        <v>1222</v>
      </c>
      <c r="B633" s="12">
        <v>267</v>
      </c>
      <c r="C633" s="11" t="s">
        <v>1252</v>
      </c>
      <c r="D633" s="13" t="s">
        <v>1253</v>
      </c>
      <c r="E633" s="14">
        <v>46141</v>
      </c>
      <c r="F633" s="15" t="s">
        <v>12</v>
      </c>
      <c r="G633" s="15" t="s">
        <v>54</v>
      </c>
      <c r="H633" s="11"/>
    </row>
    <row r="634" spans="1:8" x14ac:dyDescent="0.35">
      <c r="A634" s="11" t="s">
        <v>1222</v>
      </c>
      <c r="B634" s="12">
        <v>1783</v>
      </c>
      <c r="C634" s="11" t="s">
        <v>567</v>
      </c>
      <c r="D634" s="13" t="s">
        <v>568</v>
      </c>
      <c r="E634" s="14">
        <v>46141</v>
      </c>
      <c r="F634" s="15" t="s">
        <v>12</v>
      </c>
      <c r="G634" s="15" t="s">
        <v>54</v>
      </c>
      <c r="H634" s="11"/>
    </row>
    <row r="635" spans="1:8" x14ac:dyDescent="0.35">
      <c r="A635" s="11" t="s">
        <v>1222</v>
      </c>
      <c r="B635" s="12">
        <v>5629</v>
      </c>
      <c r="C635" s="11" t="s">
        <v>867</v>
      </c>
      <c r="D635" s="13" t="s">
        <v>584</v>
      </c>
      <c r="E635" s="14">
        <v>46141</v>
      </c>
      <c r="F635" s="15" t="s">
        <v>12</v>
      </c>
      <c r="G635" s="15" t="s">
        <v>54</v>
      </c>
      <c r="H635" s="11"/>
    </row>
    <row r="636" spans="1:8" x14ac:dyDescent="0.35">
      <c r="A636" s="11" t="s">
        <v>1222</v>
      </c>
      <c r="B636" s="12">
        <v>4101</v>
      </c>
      <c r="C636" s="11" t="s">
        <v>1254</v>
      </c>
      <c r="D636" s="13" t="s">
        <v>1255</v>
      </c>
      <c r="E636" s="14">
        <v>46141</v>
      </c>
      <c r="F636" s="15" t="s">
        <v>12</v>
      </c>
      <c r="G636" s="15" t="s">
        <v>54</v>
      </c>
      <c r="H636" s="11"/>
    </row>
    <row r="637" spans="1:8" x14ac:dyDescent="0.35">
      <c r="A637" s="11" t="s">
        <v>1222</v>
      </c>
      <c r="B637" s="12">
        <v>5753</v>
      </c>
      <c r="C637" s="11" t="s">
        <v>1256</v>
      </c>
      <c r="D637" s="13" t="s">
        <v>1257</v>
      </c>
      <c r="E637" s="14">
        <v>46141</v>
      </c>
      <c r="F637" s="15" t="s">
        <v>6</v>
      </c>
      <c r="G637" s="15" t="s">
        <v>54</v>
      </c>
      <c r="H637" s="11"/>
    </row>
    <row r="638" spans="1:8" x14ac:dyDescent="0.35">
      <c r="A638" s="11" t="s">
        <v>1222</v>
      </c>
      <c r="B638" s="12">
        <v>387</v>
      </c>
      <c r="C638" s="11" t="s">
        <v>1258</v>
      </c>
      <c r="D638" s="13" t="s">
        <v>1259</v>
      </c>
      <c r="E638" s="14">
        <v>46141</v>
      </c>
      <c r="F638" s="15" t="s">
        <v>12</v>
      </c>
      <c r="G638" s="15" t="s">
        <v>54</v>
      </c>
      <c r="H638" s="11"/>
    </row>
    <row r="639" spans="1:8" x14ac:dyDescent="0.35">
      <c r="A639" s="11" t="s">
        <v>1223</v>
      </c>
      <c r="B639" s="12">
        <v>5490</v>
      </c>
      <c r="C639" s="11" t="s">
        <v>1260</v>
      </c>
      <c r="D639" s="13" t="s">
        <v>1261</v>
      </c>
      <c r="E639" s="14">
        <v>46141</v>
      </c>
      <c r="F639" s="15" t="s">
        <v>6</v>
      </c>
      <c r="G639" s="15" t="s">
        <v>54</v>
      </c>
      <c r="H639" s="11"/>
    </row>
    <row r="640" spans="1:8" x14ac:dyDescent="0.35">
      <c r="A640" s="11" t="s">
        <v>1223</v>
      </c>
      <c r="B640" s="12">
        <v>5491</v>
      </c>
      <c r="C640" s="11" t="s">
        <v>1262</v>
      </c>
      <c r="D640" s="13" t="s">
        <v>1263</v>
      </c>
      <c r="E640" s="14">
        <v>46141</v>
      </c>
      <c r="F640" s="15" t="s">
        <v>6</v>
      </c>
      <c r="G640" s="15" t="s">
        <v>54</v>
      </c>
      <c r="H640" s="11"/>
    </row>
    <row r="641" spans="1:8" x14ac:dyDescent="0.35">
      <c r="A641" s="11" t="s">
        <v>1223</v>
      </c>
      <c r="B641" s="12">
        <v>5613</v>
      </c>
      <c r="C641" s="11" t="s">
        <v>1264</v>
      </c>
      <c r="D641" s="13" t="s">
        <v>530</v>
      </c>
      <c r="E641" s="14">
        <v>46141</v>
      </c>
      <c r="F641" s="15" t="s">
        <v>12</v>
      </c>
      <c r="G641" s="15" t="s">
        <v>54</v>
      </c>
      <c r="H641" s="11"/>
    </row>
    <row r="642" spans="1:8" x14ac:dyDescent="0.35">
      <c r="A642" s="11" t="s">
        <v>1223</v>
      </c>
      <c r="B642" s="12">
        <v>5492</v>
      </c>
      <c r="C642" s="11" t="s">
        <v>1265</v>
      </c>
      <c r="D642" s="13" t="s">
        <v>1266</v>
      </c>
      <c r="E642" s="14">
        <v>46141</v>
      </c>
      <c r="F642" s="15" t="s">
        <v>6</v>
      </c>
      <c r="G642" s="15" t="s">
        <v>54</v>
      </c>
      <c r="H642" s="11"/>
    </row>
    <row r="643" spans="1:8" x14ac:dyDescent="0.35">
      <c r="A643" s="11" t="s">
        <v>1223</v>
      </c>
      <c r="B643" s="12">
        <v>5493</v>
      </c>
      <c r="C643" s="11" t="s">
        <v>1268</v>
      </c>
      <c r="D643" s="13" t="s">
        <v>1267</v>
      </c>
      <c r="E643" s="14">
        <v>46141</v>
      </c>
      <c r="F643" s="15" t="s">
        <v>6</v>
      </c>
      <c r="G643" s="15" t="s">
        <v>54</v>
      </c>
      <c r="H643" s="11"/>
    </row>
    <row r="644" spans="1:8" x14ac:dyDescent="0.35">
      <c r="A644" s="11" t="s">
        <v>1223</v>
      </c>
      <c r="B644" s="12">
        <v>3476</v>
      </c>
      <c r="C644" s="11" t="s">
        <v>1269</v>
      </c>
      <c r="D644" s="13" t="s">
        <v>1278</v>
      </c>
      <c r="E644" s="14">
        <v>46141</v>
      </c>
      <c r="F644" s="15" t="s">
        <v>12</v>
      </c>
      <c r="G644" s="15" t="s">
        <v>54</v>
      </c>
      <c r="H644" s="11"/>
    </row>
    <row r="645" spans="1:8" x14ac:dyDescent="0.35">
      <c r="A645" s="11" t="s">
        <v>1223</v>
      </c>
      <c r="B645" s="12">
        <v>5494</v>
      </c>
      <c r="C645" s="11" t="s">
        <v>1270</v>
      </c>
      <c r="D645" s="13" t="s">
        <v>1271</v>
      </c>
      <c r="E645" s="14">
        <v>46141</v>
      </c>
      <c r="F645" s="15" t="s">
        <v>6</v>
      </c>
      <c r="G645" s="15" t="s">
        <v>54</v>
      </c>
      <c r="H645" s="11"/>
    </row>
    <row r="646" spans="1:8" x14ac:dyDescent="0.35">
      <c r="A646" s="11" t="s">
        <v>1223</v>
      </c>
      <c r="B646" s="12">
        <v>5495</v>
      </c>
      <c r="C646" s="11" t="s">
        <v>1272</v>
      </c>
      <c r="D646" s="13" t="s">
        <v>1273</v>
      </c>
      <c r="E646" s="14">
        <v>46141</v>
      </c>
      <c r="F646" s="15" t="s">
        <v>6</v>
      </c>
      <c r="G646" s="15" t="s">
        <v>54</v>
      </c>
      <c r="H646" s="11"/>
    </row>
    <row r="647" spans="1:8" x14ac:dyDescent="0.35">
      <c r="A647" s="11" t="s">
        <v>1223</v>
      </c>
      <c r="B647" s="12">
        <v>4097</v>
      </c>
      <c r="C647" s="11" t="s">
        <v>1274</v>
      </c>
      <c r="D647" s="13" t="s">
        <v>1275</v>
      </c>
      <c r="E647" s="14">
        <v>46141</v>
      </c>
      <c r="F647" s="15" t="s">
        <v>12</v>
      </c>
      <c r="G647" s="15" t="s">
        <v>54</v>
      </c>
      <c r="H647" s="11"/>
    </row>
    <row r="648" spans="1:8" x14ac:dyDescent="0.35">
      <c r="A648" s="11" t="s">
        <v>1223</v>
      </c>
      <c r="B648" s="12">
        <v>2442</v>
      </c>
      <c r="C648" s="11" t="s">
        <v>1276</v>
      </c>
      <c r="D648" s="13" t="s">
        <v>1277</v>
      </c>
      <c r="E648" s="14">
        <v>46141</v>
      </c>
      <c r="F648" s="15" t="s">
        <v>12</v>
      </c>
      <c r="G648" s="15" t="s">
        <v>54</v>
      </c>
      <c r="H648" s="11"/>
    </row>
    <row r="649" spans="1:8" x14ac:dyDescent="0.35">
      <c r="A649" s="11" t="s">
        <v>1289</v>
      </c>
      <c r="B649" s="12">
        <v>5755</v>
      </c>
      <c r="C649" s="11" t="s">
        <v>1279</v>
      </c>
      <c r="D649" s="13" t="s">
        <v>1280</v>
      </c>
      <c r="E649" s="14">
        <v>46142</v>
      </c>
      <c r="F649" s="15" t="s">
        <v>6</v>
      </c>
      <c r="G649" s="15" t="s">
        <v>54</v>
      </c>
      <c r="H649" s="11"/>
    </row>
    <row r="650" spans="1:8" x14ac:dyDescent="0.35">
      <c r="A650" s="11" t="s">
        <v>1289</v>
      </c>
      <c r="B650" s="12">
        <v>777</v>
      </c>
      <c r="C650" s="11" t="s">
        <v>1281</v>
      </c>
      <c r="D650" s="13" t="s">
        <v>1282</v>
      </c>
      <c r="E650" s="14">
        <v>46142</v>
      </c>
      <c r="F650" s="15" t="s">
        <v>12</v>
      </c>
      <c r="G650" s="15" t="s">
        <v>54</v>
      </c>
      <c r="H650" s="11"/>
    </row>
    <row r="651" spans="1:8" x14ac:dyDescent="0.35">
      <c r="A651" s="11" t="s">
        <v>1289</v>
      </c>
      <c r="B651" s="12">
        <v>5756</v>
      </c>
      <c r="C651" s="11" t="s">
        <v>1283</v>
      </c>
      <c r="D651" s="13" t="s">
        <v>1284</v>
      </c>
      <c r="E651" s="14">
        <v>46142</v>
      </c>
      <c r="F651" s="15" t="s">
        <v>6</v>
      </c>
      <c r="G651" s="15" t="s">
        <v>54</v>
      </c>
      <c r="H651" s="11"/>
    </row>
    <row r="652" spans="1:8" x14ac:dyDescent="0.35">
      <c r="A652" s="11" t="s">
        <v>1289</v>
      </c>
      <c r="B652" s="12">
        <v>5757</v>
      </c>
      <c r="C652" s="11" t="s">
        <v>1285</v>
      </c>
      <c r="D652" s="13" t="s">
        <v>1286</v>
      </c>
      <c r="E652" s="14">
        <v>46142</v>
      </c>
      <c r="F652" s="15" t="s">
        <v>6</v>
      </c>
      <c r="G652" s="15" t="s">
        <v>54</v>
      </c>
      <c r="H652" s="11"/>
    </row>
    <row r="653" spans="1:8" x14ac:dyDescent="0.35">
      <c r="A653" s="11" t="s">
        <v>1289</v>
      </c>
      <c r="B653" s="12">
        <v>5758</v>
      </c>
      <c r="C653" s="11" t="s">
        <v>1287</v>
      </c>
      <c r="D653" s="13" t="s">
        <v>1288</v>
      </c>
      <c r="E653" s="14">
        <v>46142</v>
      </c>
      <c r="F653" s="15" t="s">
        <v>6</v>
      </c>
      <c r="G653" s="15" t="s">
        <v>326</v>
      </c>
      <c r="H653" s="11"/>
    </row>
    <row r="654" spans="1:8" x14ac:dyDescent="0.35">
      <c r="A654" s="11" t="s">
        <v>1289</v>
      </c>
      <c r="B654" s="12">
        <v>5759</v>
      </c>
      <c r="C654" s="11" t="s">
        <v>1290</v>
      </c>
      <c r="D654" s="13" t="s">
        <v>1291</v>
      </c>
      <c r="E654" s="14">
        <v>46142</v>
      </c>
      <c r="F654" s="15" t="s">
        <v>6</v>
      </c>
      <c r="G654" s="15" t="s">
        <v>326</v>
      </c>
      <c r="H654" s="11"/>
    </row>
    <row r="655" spans="1:8" x14ac:dyDescent="0.35">
      <c r="A655" s="11" t="s">
        <v>1289</v>
      </c>
      <c r="B655" s="12">
        <v>5760</v>
      </c>
      <c r="C655" s="11" t="s">
        <v>1098</v>
      </c>
      <c r="D655" s="13" t="s">
        <v>1106</v>
      </c>
      <c r="E655" s="14">
        <v>46142</v>
      </c>
      <c r="F655" s="15" t="s">
        <v>12</v>
      </c>
      <c r="G655" s="15" t="s">
        <v>54</v>
      </c>
      <c r="H655" s="11"/>
    </row>
    <row r="656" spans="1:8" x14ac:dyDescent="0.35">
      <c r="A656" s="11" t="s">
        <v>1289</v>
      </c>
      <c r="B656" s="12">
        <v>5760</v>
      </c>
      <c r="C656" s="11" t="s">
        <v>1292</v>
      </c>
      <c r="D656" s="13" t="s">
        <v>1293</v>
      </c>
      <c r="E656" s="14">
        <v>46142</v>
      </c>
      <c r="F656" s="15" t="s">
        <v>6</v>
      </c>
      <c r="G656" s="15" t="s">
        <v>54</v>
      </c>
      <c r="H656" s="11"/>
    </row>
    <row r="657" spans="1:8" x14ac:dyDescent="0.35">
      <c r="A657" s="11" t="s">
        <v>1289</v>
      </c>
      <c r="B657" s="12">
        <v>5761</v>
      </c>
      <c r="C657" s="11" t="s">
        <v>1294</v>
      </c>
      <c r="D657" s="13" t="s">
        <v>1295</v>
      </c>
      <c r="E657" s="14">
        <v>46142</v>
      </c>
      <c r="F657" s="15" t="s">
        <v>6</v>
      </c>
      <c r="G657" s="15" t="s">
        <v>54</v>
      </c>
      <c r="H657" s="11"/>
    </row>
    <row r="658" spans="1:8" x14ac:dyDescent="0.35">
      <c r="A658" s="11" t="s">
        <v>1289</v>
      </c>
      <c r="B658" s="12">
        <v>3929</v>
      </c>
      <c r="C658" s="11" t="s">
        <v>1296</v>
      </c>
      <c r="D658" s="13" t="s">
        <v>1297</v>
      </c>
      <c r="E658" s="14">
        <v>46142</v>
      </c>
      <c r="F658" s="15" t="s">
        <v>12</v>
      </c>
      <c r="G658" s="15" t="s">
        <v>54</v>
      </c>
      <c r="H658" s="11"/>
    </row>
    <row r="659" spans="1:8" x14ac:dyDescent="0.35">
      <c r="A659" s="11" t="s">
        <v>1289</v>
      </c>
      <c r="B659" s="12">
        <v>3269</v>
      </c>
      <c r="C659" s="11" t="s">
        <v>1298</v>
      </c>
      <c r="D659" s="13" t="s">
        <v>1299</v>
      </c>
      <c r="E659" s="14">
        <v>46142</v>
      </c>
      <c r="F659" s="15" t="s">
        <v>12</v>
      </c>
      <c r="G659" s="15" t="s">
        <v>54</v>
      </c>
      <c r="H659" s="11"/>
    </row>
    <row r="660" spans="1:8" x14ac:dyDescent="0.35">
      <c r="A660" s="11" t="s">
        <v>1289</v>
      </c>
      <c r="B660" s="12">
        <v>2525</v>
      </c>
      <c r="C660" s="11" t="s">
        <v>1300</v>
      </c>
      <c r="D660" s="13" t="s">
        <v>1301</v>
      </c>
      <c r="E660" s="14">
        <v>46142</v>
      </c>
      <c r="F660" s="15" t="s">
        <v>12</v>
      </c>
      <c r="G660" s="15" t="s">
        <v>54</v>
      </c>
      <c r="H660" s="11"/>
    </row>
    <row r="661" spans="1:8" x14ac:dyDescent="0.35">
      <c r="A661" s="11" t="s">
        <v>1289</v>
      </c>
      <c r="B661" s="12">
        <v>5037</v>
      </c>
      <c r="C661" s="11" t="s">
        <v>1302</v>
      </c>
      <c r="D661" s="13" t="s">
        <v>1303</v>
      </c>
      <c r="E661" s="14">
        <v>46142</v>
      </c>
      <c r="F661" s="15" t="s">
        <v>12</v>
      </c>
      <c r="G661" s="15" t="s">
        <v>326</v>
      </c>
      <c r="H661" s="11"/>
    </row>
    <row r="662" spans="1:8" x14ac:dyDescent="0.35">
      <c r="A662" s="11" t="s">
        <v>1289</v>
      </c>
      <c r="B662" s="12">
        <v>253</v>
      </c>
      <c r="C662" s="11" t="s">
        <v>1304</v>
      </c>
      <c r="D662" s="13" t="s">
        <v>1305</v>
      </c>
      <c r="E662" s="14">
        <v>46142</v>
      </c>
      <c r="F662" s="15" t="s">
        <v>12</v>
      </c>
      <c r="G662" s="15" t="s">
        <v>54</v>
      </c>
      <c r="H662" s="11"/>
    </row>
    <row r="663" spans="1:8" x14ac:dyDescent="0.35">
      <c r="A663" s="11" t="s">
        <v>1289</v>
      </c>
      <c r="B663" s="12">
        <v>5762</v>
      </c>
      <c r="C663" s="11" t="s">
        <v>1306</v>
      </c>
      <c r="D663" s="13" t="s">
        <v>1307</v>
      </c>
      <c r="E663" s="14">
        <v>46142</v>
      </c>
      <c r="F663" s="15" t="s">
        <v>6</v>
      </c>
      <c r="G663" s="15" t="s">
        <v>54</v>
      </c>
      <c r="H663" s="11"/>
    </row>
    <row r="664" spans="1:8" x14ac:dyDescent="0.35">
      <c r="A664" s="11" t="s">
        <v>1289</v>
      </c>
      <c r="B664" s="12">
        <v>5754</v>
      </c>
      <c r="C664" s="11" t="s">
        <v>1309</v>
      </c>
      <c r="D664" s="13" t="s">
        <v>1308</v>
      </c>
      <c r="E664" s="14">
        <v>46142</v>
      </c>
      <c r="F664" s="15" t="s">
        <v>6</v>
      </c>
      <c r="G664" s="15" t="s">
        <v>53</v>
      </c>
      <c r="H664" s="11"/>
    </row>
    <row r="665" spans="1:8" x14ac:dyDescent="0.35">
      <c r="A665" s="11" t="s">
        <v>821</v>
      </c>
      <c r="B665" s="12">
        <v>65</v>
      </c>
      <c r="C665" s="11" t="s">
        <v>1310</v>
      </c>
      <c r="D665" s="13" t="s">
        <v>1311</v>
      </c>
      <c r="E665" s="14">
        <v>46142</v>
      </c>
      <c r="F665" s="15" t="s">
        <v>12</v>
      </c>
      <c r="G665" s="15" t="s">
        <v>48</v>
      </c>
      <c r="H665" s="11"/>
    </row>
    <row r="666" spans="1:8" x14ac:dyDescent="0.35">
      <c r="A666" s="11" t="s">
        <v>1312</v>
      </c>
      <c r="B666" s="12">
        <v>5415</v>
      </c>
      <c r="C666" s="11" t="s">
        <v>1313</v>
      </c>
      <c r="D666" s="13" t="s">
        <v>1314</v>
      </c>
      <c r="E666" s="14">
        <v>46142</v>
      </c>
      <c r="F666" s="15" t="s">
        <v>12</v>
      </c>
      <c r="G666" s="15" t="s">
        <v>48</v>
      </c>
      <c r="H666" s="11"/>
    </row>
    <row r="667" spans="1:8" x14ac:dyDescent="0.35">
      <c r="A667" s="11" t="s">
        <v>1312</v>
      </c>
      <c r="B667" s="12">
        <v>2161</v>
      </c>
      <c r="C667" s="11" t="s">
        <v>1315</v>
      </c>
      <c r="D667" s="13" t="s">
        <v>1316</v>
      </c>
      <c r="E667" s="14">
        <v>46142</v>
      </c>
      <c r="F667" s="15" t="s">
        <v>12</v>
      </c>
      <c r="G667" s="15" t="s">
        <v>53</v>
      </c>
      <c r="H667" s="11"/>
    </row>
    <row r="668" spans="1:8" x14ac:dyDescent="0.35">
      <c r="A668" s="11" t="s">
        <v>1312</v>
      </c>
      <c r="B668" s="12">
        <v>3860</v>
      </c>
      <c r="C668" s="11" t="s">
        <v>1317</v>
      </c>
      <c r="D668" s="13" t="s">
        <v>1113</v>
      </c>
      <c r="E668" s="14">
        <v>46142</v>
      </c>
      <c r="F668" s="15" t="s">
        <v>12</v>
      </c>
      <c r="G668" s="15" t="s">
        <v>48</v>
      </c>
      <c r="H668" s="11"/>
    </row>
    <row r="669" spans="1:8" x14ac:dyDescent="0.35">
      <c r="A669" s="11" t="s">
        <v>1312</v>
      </c>
      <c r="B669" s="12">
        <v>5194</v>
      </c>
      <c r="C669" s="11" t="s">
        <v>1318</v>
      </c>
      <c r="D669" s="13" t="s">
        <v>1319</v>
      </c>
      <c r="E669" s="14">
        <v>46142</v>
      </c>
      <c r="F669" s="15" t="s">
        <v>12</v>
      </c>
      <c r="G669" s="15" t="s">
        <v>48</v>
      </c>
      <c r="H669" s="11"/>
    </row>
    <row r="670" spans="1:8" x14ac:dyDescent="0.35">
      <c r="A670" s="11" t="s">
        <v>1312</v>
      </c>
      <c r="B670" s="12">
        <v>423</v>
      </c>
      <c r="C670" s="11" t="s">
        <v>1320</v>
      </c>
      <c r="D670" s="13" t="s">
        <v>1321</v>
      </c>
      <c r="E670" s="14">
        <v>46142</v>
      </c>
      <c r="F670" s="15" t="s">
        <v>12</v>
      </c>
      <c r="G670" s="15" t="s">
        <v>48</v>
      </c>
      <c r="H670" s="11"/>
    </row>
    <row r="671" spans="1:8" ht="14.5" customHeight="1" x14ac:dyDescent="0.35">
      <c r="A671" s="11" t="s">
        <v>1312</v>
      </c>
      <c r="B671" s="12">
        <v>355</v>
      </c>
      <c r="C671" s="11" t="s">
        <v>1322</v>
      </c>
      <c r="D671" s="13" t="s">
        <v>1323</v>
      </c>
      <c r="E671" s="14">
        <v>46142</v>
      </c>
      <c r="F671" s="15" t="s">
        <v>12</v>
      </c>
      <c r="G671" s="15" t="s">
        <v>48</v>
      </c>
      <c r="H671" s="34"/>
    </row>
    <row r="672" spans="1:8" x14ac:dyDescent="0.35">
      <c r="A672" s="11" t="s">
        <v>1312</v>
      </c>
      <c r="B672" s="12">
        <v>3265</v>
      </c>
      <c r="C672" s="11" t="s">
        <v>1324</v>
      </c>
      <c r="D672" s="13" t="s">
        <v>1325</v>
      </c>
      <c r="E672" s="14">
        <v>46142</v>
      </c>
      <c r="F672" s="15" t="s">
        <v>12</v>
      </c>
      <c r="G672" s="15" t="s">
        <v>53</v>
      </c>
      <c r="H672" s="11"/>
    </row>
    <row r="673" spans="1:8" x14ac:dyDescent="0.35">
      <c r="A673" s="11" t="s">
        <v>1312</v>
      </c>
      <c r="B673" s="12">
        <v>3529</v>
      </c>
      <c r="C673" s="11" t="s">
        <v>1326</v>
      </c>
      <c r="D673" s="13" t="s">
        <v>1327</v>
      </c>
      <c r="E673" s="14">
        <v>46142</v>
      </c>
      <c r="F673" s="15" t="s">
        <v>12</v>
      </c>
      <c r="G673" s="15" t="s">
        <v>53</v>
      </c>
      <c r="H673" s="11"/>
    </row>
    <row r="674" spans="1:8" x14ac:dyDescent="0.35">
      <c r="A674" s="11" t="s">
        <v>1312</v>
      </c>
      <c r="B674" s="12">
        <v>2208</v>
      </c>
      <c r="C674" s="11" t="s">
        <v>1328</v>
      </c>
      <c r="D674" s="13" t="s">
        <v>1329</v>
      </c>
      <c r="E674" s="14">
        <v>46142</v>
      </c>
      <c r="F674" s="15" t="s">
        <v>12</v>
      </c>
      <c r="G674" s="15" t="s">
        <v>48</v>
      </c>
      <c r="H674" s="11"/>
    </row>
    <row r="675" spans="1:8" x14ac:dyDescent="0.35">
      <c r="A675" s="11" t="s">
        <v>1312</v>
      </c>
      <c r="B675" s="12">
        <v>4495</v>
      </c>
      <c r="C675" s="11" t="s">
        <v>1071</v>
      </c>
      <c r="D675" s="13" t="s">
        <v>1075</v>
      </c>
      <c r="E675" s="14">
        <v>46142</v>
      </c>
      <c r="F675" s="15" t="s">
        <v>12</v>
      </c>
      <c r="G675" s="15" t="s">
        <v>48</v>
      </c>
      <c r="H675" s="11"/>
    </row>
    <row r="676" spans="1:8" x14ac:dyDescent="0.35">
      <c r="A676" s="11" t="s">
        <v>1312</v>
      </c>
      <c r="B676" s="12">
        <v>3378</v>
      </c>
      <c r="C676" s="11" t="s">
        <v>1067</v>
      </c>
      <c r="D676" s="13" t="s">
        <v>801</v>
      </c>
      <c r="E676" s="14">
        <v>46142</v>
      </c>
      <c r="F676" s="15" t="s">
        <v>12</v>
      </c>
      <c r="G676" s="15" t="s">
        <v>53</v>
      </c>
      <c r="H676" s="11"/>
    </row>
    <row r="677" spans="1:8" x14ac:dyDescent="0.35">
      <c r="A677" s="11"/>
      <c r="B677" s="12"/>
      <c r="C677" s="11"/>
      <c r="D677" s="13"/>
      <c r="E677" s="33"/>
      <c r="F677" s="15"/>
      <c r="G677" s="15"/>
      <c r="H677" s="11"/>
    </row>
  </sheetData>
  <dataValidations count="2">
    <dataValidation type="date" allowBlank="1" showInputMessage="1" showErrorMessage="1" sqref="E2:E1048576" xr:uid="{24A63894-5DCB-47CE-B79E-65026CEDC9D5}">
      <formula1>46023</formula1>
      <formula2>TODAY()</formula2>
    </dataValidation>
    <dataValidation type="list" allowBlank="1" showInputMessage="1" showErrorMessage="1" sqref="F2:F1048576" xr:uid="{A39F2291-60B5-4D5F-BD4B-90CE49AA2375}">
      <formula1>"On DDB,New"</formula1>
    </dataValidation>
  </dataValidations>
  <hyperlinks>
    <hyperlink ref="D13" r:id="rId1" xr:uid="{0FDA2A8C-1E0B-4F38-AF31-BD5810BFE9EF}"/>
    <hyperlink ref="D19" r:id="rId2" xr:uid="{396B0346-9FD4-43CA-B1AE-762B3B659E89}"/>
    <hyperlink ref="D23" r:id="rId3" xr:uid="{FAF0BD9E-69C7-4851-B7F0-9E5CDF88BAC8}"/>
    <hyperlink ref="D37" r:id="rId4" xr:uid="{80E688D2-A335-4640-95E8-AA85C8208CC4}"/>
    <hyperlink ref="D38" r:id="rId5" xr:uid="{DE13B049-84F2-4559-BC01-CD5651B51E4B}"/>
    <hyperlink ref="D49" r:id="rId6" xr:uid="{24AA4D4A-A43D-4898-844A-CBB4FE6CF391}"/>
    <hyperlink ref="D48" r:id="rId7" xr:uid="{293EF582-495B-4597-8168-74C3FDE81A56}"/>
    <hyperlink ref="D47" r:id="rId8" xr:uid="{5CCDDF85-1C49-4540-976F-DB913566979D}"/>
    <hyperlink ref="D46" r:id="rId9" xr:uid="{C84616F5-CBFE-4293-81DC-1EF538FFDE7E}"/>
    <hyperlink ref="D58" r:id="rId10" xr:uid="{17A14711-EB26-4F42-AFDF-143FB2D9B922}"/>
    <hyperlink ref="D57" r:id="rId11" xr:uid="{F0024846-5105-474A-8496-4513322B4611}"/>
    <hyperlink ref="D62" r:id="rId12" xr:uid="{8920BE13-6C9D-4589-8815-C4029B31F7CB}"/>
    <hyperlink ref="D63" r:id="rId13" xr:uid="{59DBCF86-1E50-4E22-BD63-5F41CBC91671}"/>
    <hyperlink ref="D64" r:id="rId14" xr:uid="{F29F4378-8203-43A9-841A-9FE60E999408}"/>
    <hyperlink ref="D94" r:id="rId15" xr:uid="{BDF809BD-47F2-4C9C-8807-3F538E2DAD88}"/>
    <hyperlink ref="D95" r:id="rId16" xr:uid="{3DF8A1FF-E2CC-42DB-8D5F-085B02157C73}"/>
    <hyperlink ref="D96" r:id="rId17" xr:uid="{F9104216-CBD4-4AE6-AEA2-BE2CC91B3F33}"/>
    <hyperlink ref="D97" r:id="rId18" xr:uid="{E40FFEA8-ACD7-404C-9BC7-CF21F5414374}"/>
    <hyperlink ref="D98" r:id="rId19" xr:uid="{944258DC-18B1-443D-8469-D5620EE708C3}"/>
    <hyperlink ref="D99" r:id="rId20" xr:uid="{62235119-0E90-4A32-9EC6-C9F0CCF6DC86}"/>
    <hyperlink ref="D100" r:id="rId21" xr:uid="{3CC1973C-2E77-48FD-8C7F-4E685AE834FA}"/>
    <hyperlink ref="D105" r:id="rId22" xr:uid="{C897D591-8394-4F26-AF42-8F1C12D61A58}"/>
    <hyperlink ref="D102" r:id="rId23" xr:uid="{F0300535-69B6-4E7D-86DC-1C8AFE8B5C60}"/>
    <hyperlink ref="D101" r:id="rId24" xr:uid="{0537A8FC-6FBC-44E2-8E8F-27DF0252D6AF}"/>
    <hyperlink ref="D104" r:id="rId25" xr:uid="{8CA22552-5866-4292-85E0-D8A03EEC54DB}"/>
    <hyperlink ref="D138" r:id="rId26" xr:uid="{D74CC044-11EA-4311-86B1-30E210AFEE3D}"/>
    <hyperlink ref="D143" r:id="rId27" xr:uid="{22517269-D646-46C8-BE27-C85CE61BCC94}"/>
    <hyperlink ref="D142" r:id="rId28" xr:uid="{00EA4843-36D6-4810-A2B2-CA3EAC9BC0D5}"/>
    <hyperlink ref="D140" r:id="rId29" xr:uid="{9AA08FBC-52ED-403E-BB68-3AD87ECAA1F8}"/>
    <hyperlink ref="D139" r:id="rId30" xr:uid="{4D8B46C6-70D3-4087-A139-6EF49688FB09}"/>
    <hyperlink ref="D141" r:id="rId31" xr:uid="{A52EF217-5099-46D3-A6BA-E6F48BB12097}"/>
    <hyperlink ref="D124" r:id="rId32" xr:uid="{48399F58-04D6-4E7A-808B-CE40F363922B}"/>
    <hyperlink ref="D135" r:id="rId33" xr:uid="{46393684-FFCF-4CF0-A392-544DFEFC0E47}"/>
    <hyperlink ref="D166" r:id="rId34" xr:uid="{3557E878-2C63-4016-9201-9304082D5B62}"/>
    <hyperlink ref="D168" r:id="rId35" xr:uid="{EE27F5F3-924D-4C78-BAAC-D48C5081C644}"/>
    <hyperlink ref="D164" r:id="rId36" xr:uid="{50526B89-0BAF-4528-BF43-7042643FCA8E}"/>
    <hyperlink ref="D165" r:id="rId37" xr:uid="{0F511797-EAEB-4905-A938-C64ED0629466}"/>
    <hyperlink ref="D161" r:id="rId38" xr:uid="{E45867AF-43FA-463F-8079-96B45C1F8DAB}"/>
    <hyperlink ref="D163" r:id="rId39" xr:uid="{9AFF98BD-8553-4931-BD53-F5E937483DB5}"/>
    <hyperlink ref="D178" r:id="rId40" xr:uid="{3C4092F2-07CF-480F-9771-C700DF7D3676}"/>
    <hyperlink ref="D201" r:id="rId41" xr:uid="{65FC2C5E-84D8-41E4-94FD-F3D985782355}"/>
    <hyperlink ref="D202" r:id="rId42" xr:uid="{DCE80AD6-4834-48DD-A8D2-6C3F57D771E7}"/>
    <hyperlink ref="D203" r:id="rId43" xr:uid="{38DC0FFA-59A5-4CB7-856F-5048FD986203}"/>
    <hyperlink ref="D204" r:id="rId44" xr:uid="{FD93BC4B-C0AE-44FA-8448-0CA5164F2238}"/>
    <hyperlink ref="D205" r:id="rId45" xr:uid="{CB71B53A-99B4-49D2-AB0F-D43B81A1EA92}"/>
    <hyperlink ref="D206" r:id="rId46" xr:uid="{DFF424FE-70BA-4FE3-BFA3-17E03B70798A}"/>
    <hyperlink ref="D207" r:id="rId47" xr:uid="{3E68EEEE-75B1-4D60-AE69-4406916DC9CD}"/>
    <hyperlink ref="D208" r:id="rId48" xr:uid="{A119282C-1563-4867-9539-09A451D64295}"/>
    <hyperlink ref="D209" r:id="rId49" xr:uid="{A41A57D3-255E-45C0-A76A-7055C50C4224}"/>
    <hyperlink ref="D210" r:id="rId50" xr:uid="{8DA39E0D-4072-4F55-8DCD-9B4DCD98F575}"/>
    <hyperlink ref="D212" r:id="rId51" xr:uid="{1ADB2B80-52EA-4DA5-8D17-9755D7AE54BA}"/>
    <hyperlink ref="D213" r:id="rId52" xr:uid="{BC9D79A5-A287-461F-9D24-3D94E32BBFD9}"/>
    <hyperlink ref="D214" r:id="rId53" xr:uid="{ED6548A2-1E9A-4B03-9682-5599EB325A9D}"/>
    <hyperlink ref="D211" r:id="rId54" xr:uid="{495D89AE-3F21-467D-8DFF-2ED268C3406A}"/>
    <hyperlink ref="D215" r:id="rId55" xr:uid="{5C1873D3-5D0F-499F-9BE5-49E1AD09D370}"/>
    <hyperlink ref="D216" r:id="rId56" xr:uid="{224576DD-4D60-4522-9AE7-F8020D51D201}"/>
    <hyperlink ref="D217" r:id="rId57" xr:uid="{F255AD2A-987F-47C6-877F-65258527EB94}"/>
    <hyperlink ref="D241" r:id="rId58" xr:uid="{99EFB603-ED11-4E63-B8BA-81F09E6EAD97}"/>
    <hyperlink ref="C260" r:id="rId59" display="https://www.pnet.co.za/5/index.cfm?event=directsearchgen4:profile.view&amp;profileID=2431085&amp;positionOnResultlist=2&amp;pageSize=10&amp;tabName=profile" xr:uid="{6322E1C1-178A-4A20-B408-10DD9FD7500A}"/>
    <hyperlink ref="C262" r:id="rId60" display="https://www.pnet.co.za/5/index.cfm?event=directsearchgen4:profile.view&amp;profileID=11222589&amp;positionOnResultlist=3&amp;pageSize=10&amp;tabName=profile" xr:uid="{76148EEB-8835-45E5-AA3D-996847F5EE65}"/>
    <hyperlink ref="D277" r:id="rId61" xr:uid="{AFD33128-CE1B-43C2-85E7-D9D67CAF6302}"/>
    <hyperlink ref="D278" r:id="rId62" xr:uid="{22CA18ED-98D2-4CF8-AE5B-431A7BD385CF}"/>
    <hyperlink ref="D280" r:id="rId63" xr:uid="{AC636C11-CDA9-4831-998C-15E785777EA8}"/>
    <hyperlink ref="D281" r:id="rId64" xr:uid="{0FE6290D-9D93-425A-9193-7685FC776F16}"/>
    <hyperlink ref="D289" r:id="rId65" xr:uid="{0D1F70DE-D2C1-4780-8531-E3E6FDF245EC}"/>
    <hyperlink ref="D290" r:id="rId66" xr:uid="{3AA5E914-4877-4912-AFBD-85C3A48D3A94}"/>
    <hyperlink ref="D291" r:id="rId67" xr:uid="{4A17989D-3A80-4BE0-BD38-24147F9C5360}"/>
    <hyperlink ref="D292" r:id="rId68" xr:uid="{64AECAA3-6627-4784-A910-7BE3FC206D96}"/>
    <hyperlink ref="D293" r:id="rId69" xr:uid="{9492BA81-458B-43AD-B28F-605248C7F968}"/>
    <hyperlink ref="D294" r:id="rId70" xr:uid="{F6BE91E1-D7C3-420A-9BAC-22CB8F0215C8}"/>
    <hyperlink ref="D295" r:id="rId71" xr:uid="{A2D670DE-4355-476D-867B-28D78D3C17F4}"/>
    <hyperlink ref="C274" r:id="rId72" display="https://www.pnet.co.za/5/index.cfm?event=directsearchgen4:profile.view&amp;profileID=33980362&amp;positionOnResultlist=6&amp;pageSize=10&amp;tabName=profile" xr:uid="{2D104039-604C-48FC-80F2-CF7B08105436}"/>
    <hyperlink ref="D325" r:id="rId73" xr:uid="{2C41144B-A988-49D5-B00F-B4C824F15CE3}"/>
    <hyperlink ref="D324" r:id="rId74" xr:uid="{A409622D-1441-4677-8C18-EC8EA226DAEE}"/>
    <hyperlink ref="D323" r:id="rId75" xr:uid="{3474B6B4-D567-430E-B92E-62659EA89720}"/>
    <hyperlink ref="D322" r:id="rId76" xr:uid="{D742464A-EEED-44F4-A578-10F553FFBB92}"/>
    <hyperlink ref="D321" r:id="rId77" xr:uid="{513160BB-E780-405C-844A-08640ED49F21}"/>
    <hyperlink ref="D328" r:id="rId78" xr:uid="{E9C58045-9CF2-4BD6-805B-1D3AE02F7C84}"/>
    <hyperlink ref="D327" r:id="rId79" xr:uid="{13023D1E-1CFD-4852-8839-435B475D5E56}"/>
    <hyperlink ref="D335" r:id="rId80" xr:uid="{0D3B23FC-E5BA-4794-89F0-CA1CFFF66EA6}"/>
    <hyperlink ref="D336" r:id="rId81" xr:uid="{AA10748D-B246-4D65-BF15-18367B3A8EB7}"/>
    <hyperlink ref="D337" r:id="rId82" xr:uid="{C1802273-EB33-47AF-8F7A-8B784AC96BD6}"/>
    <hyperlink ref="D338" r:id="rId83" xr:uid="{8BA60E20-3F1B-4055-A2EA-C0FCBDF00F42}"/>
    <hyperlink ref="D339" r:id="rId84" xr:uid="{53C8C6A4-0D62-42A4-847E-A3901CABCF49}"/>
    <hyperlink ref="D340" r:id="rId85" xr:uid="{D34CB85B-A019-4CB1-BC99-023188995226}"/>
    <hyperlink ref="D342" r:id="rId86" xr:uid="{7F11F1E7-8358-49DD-9432-4776E8DBF531}"/>
    <hyperlink ref="D343" r:id="rId87" xr:uid="{E9C3F392-D8F3-4BA6-9DE1-F460C1186CC0}"/>
    <hyperlink ref="D344" r:id="rId88" xr:uid="{C517DDB8-CBAB-4B10-888E-247D6B8A8466}"/>
    <hyperlink ref="D352" r:id="rId89" xr:uid="{A5B2E4D3-B8B2-4B30-B88F-6B5F2F009058}"/>
    <hyperlink ref="D353" r:id="rId90" xr:uid="{0F25B037-D1E7-47DF-928C-7A6AA2543E9C}"/>
    <hyperlink ref="D354" r:id="rId91" xr:uid="{A13015A0-1E72-4DAE-BFDF-BA8C423B5586}"/>
    <hyperlink ref="D356" r:id="rId92" xr:uid="{9F8E594F-40AF-4C41-94F6-A98A761FDB94}"/>
    <hyperlink ref="D357" r:id="rId93" xr:uid="{CE40AE04-8B79-4C33-AA6F-AB79873E18C6}"/>
    <hyperlink ref="D355" r:id="rId94" xr:uid="{2A80D1BE-1FAE-45CE-B3F6-11CD145478FB}"/>
    <hyperlink ref="D363" r:id="rId95" xr:uid="{53F2EE9F-16D2-4CE2-8FEB-DBB92553AEFB}"/>
    <hyperlink ref="D362" r:id="rId96" xr:uid="{F14CD5BC-6F6B-4BA6-AF19-1A3908688507}"/>
    <hyperlink ref="D360" r:id="rId97" xr:uid="{31DDCF80-CB23-4F2B-8C1C-8E29949C4BB0}"/>
    <hyperlink ref="D359" r:id="rId98" xr:uid="{8DE39F6C-B9C2-45A7-91BD-03815A1D94B0}"/>
    <hyperlink ref="D358" r:id="rId99" xr:uid="{43ABB994-8879-46E0-BD27-93CF7FEF76E5}"/>
    <hyperlink ref="D361" r:id="rId100" xr:uid="{037F5587-D38F-404B-8816-B09F2AC1FE36}"/>
    <hyperlink ref="D368" r:id="rId101" xr:uid="{3B26CCEE-2454-4658-91D4-A3FAECA8139A}"/>
    <hyperlink ref="D369" r:id="rId102" xr:uid="{355C9F05-52FA-4517-A499-E59B790E7306}"/>
    <hyperlink ref="D370" r:id="rId103" xr:uid="{49657A5F-8611-46E4-A7C9-9A1212DCEA6F}"/>
    <hyperlink ref="D371" r:id="rId104" xr:uid="{6038D3DB-613D-40BA-9EA2-496A5C5C3E29}"/>
    <hyperlink ref="D372" r:id="rId105" xr:uid="{D127D756-3B70-461D-94A4-7F3A9D38F547}"/>
    <hyperlink ref="D373" r:id="rId106" xr:uid="{E6848EB2-8BF7-4858-A295-BF2A91179862}"/>
    <hyperlink ref="D374" r:id="rId107" xr:uid="{F5EBD9DF-4C16-4E3E-A215-87AC91A77DFE}"/>
    <hyperlink ref="D392" r:id="rId108" xr:uid="{7D105EC9-F044-441C-9F87-4280A03E4A88}"/>
    <hyperlink ref="D395" r:id="rId109" xr:uid="{4196E32C-1B2E-4BDA-9501-7D91F53E2A89}"/>
    <hyperlink ref="D394" r:id="rId110" xr:uid="{9BB55816-4655-4BB4-A20E-FFDF69571A53}"/>
    <hyperlink ref="D393" r:id="rId111" xr:uid="{38256A7C-F667-4816-A8FD-37301B5828E5}"/>
    <hyperlink ref="D397" r:id="rId112" xr:uid="{19F3A40C-3B76-45FF-8985-28A938A26D89}"/>
    <hyperlink ref="D405" r:id="rId113" xr:uid="{DDC6CF64-DB5E-40B4-BC8E-685CE501A096}"/>
    <hyperlink ref="D408" r:id="rId114" xr:uid="{51555C76-FFF5-4353-A47B-865374CA3074}"/>
    <hyperlink ref="D409" r:id="rId115" xr:uid="{CFB66F1F-E160-4C91-AAA2-8454B481A977}"/>
    <hyperlink ref="D410" r:id="rId116" xr:uid="{79B3D339-8D4A-4D30-AAE9-53268235657E}"/>
    <hyperlink ref="D411" r:id="rId117" xr:uid="{AE91E394-A7C7-4704-9875-184D66738990}"/>
    <hyperlink ref="D412" r:id="rId118" xr:uid="{29C31A8C-5113-4575-BDF2-02E7E817FE05}"/>
    <hyperlink ref="D413" r:id="rId119" xr:uid="{7BB217B5-225A-4B15-B577-6EF23F1BE4D6}"/>
    <hyperlink ref="D414" r:id="rId120" xr:uid="{A7A22DCB-EF6C-45F7-AD3D-4BACB78F6AFA}"/>
    <hyperlink ref="D415" r:id="rId121" xr:uid="{423B80CD-CB0B-41FC-AFD5-61D28A57F187}"/>
    <hyperlink ref="D416" r:id="rId122" xr:uid="{9AF9E724-3CB0-4C2D-9D20-A32F71BE3ACA}"/>
    <hyperlink ref="D417" r:id="rId123" xr:uid="{EEF76083-603A-4375-A768-6DF9B9DD03C8}"/>
    <hyperlink ref="D418" r:id="rId124" xr:uid="{E4F3D095-5F80-48D0-B7EE-2E7456885744}"/>
    <hyperlink ref="D433" r:id="rId125" xr:uid="{5F66DDF5-B801-4F65-92CC-8C284F1C064B}"/>
    <hyperlink ref="D434" r:id="rId126" xr:uid="{756FB9C5-22E5-449F-ACE9-C50AED4DE533}"/>
    <hyperlink ref="D435" r:id="rId127" xr:uid="{F52283C6-9DFC-4459-A656-06950B940E58}"/>
    <hyperlink ref="D436" r:id="rId128" xr:uid="{30013D67-E509-4C5B-95E0-D6259D1602E7}"/>
    <hyperlink ref="D437" r:id="rId129" xr:uid="{CC874461-286C-4D3B-8865-0EA81960C6E9}"/>
    <hyperlink ref="D438" r:id="rId130" xr:uid="{C88BB2B0-3BE5-454B-AD63-0353E9574F83}"/>
    <hyperlink ref="D440" r:id="rId131" xr:uid="{700C655A-79CB-4559-8F38-08C9990E9767}"/>
    <hyperlink ref="D441" r:id="rId132" xr:uid="{10EF535B-6B3E-43AA-A9A2-7F0DB06B3071}"/>
    <hyperlink ref="D442" r:id="rId133" xr:uid="{88C41E15-FBA2-459E-A60E-587A6ECD8452}"/>
    <hyperlink ref="D443" r:id="rId134" xr:uid="{98EE24CB-48B3-453B-B806-F7437D601B99}"/>
    <hyperlink ref="D444" r:id="rId135" xr:uid="{37E32B45-EB9C-400E-B5DA-A789053C286D}"/>
    <hyperlink ref="D462" r:id="rId136" xr:uid="{19BE21CF-B1D0-430D-9743-BF3458C7D8D0}"/>
    <hyperlink ref="D463" r:id="rId137" xr:uid="{2F3626D3-5150-406B-954F-A5610ABFE861}"/>
    <hyperlink ref="D465" r:id="rId138" xr:uid="{0EF0F339-C76A-4AFE-A627-A76811867CF6}"/>
    <hyperlink ref="D466" r:id="rId139" xr:uid="{D593A22A-24C9-4DC3-BA2E-A03481DF9FFA}"/>
    <hyperlink ref="D467" r:id="rId140" xr:uid="{376013FD-7263-477E-95D9-3C3F6D8B914D}"/>
    <hyperlink ref="D468" r:id="rId141" xr:uid="{5A6A0644-8FE5-4ED2-B84E-4C7C1CFA860E}"/>
    <hyperlink ref="D472" r:id="rId142" xr:uid="{59CCDE5B-7856-4EA1-9F2A-D3B11A5C9E10}"/>
    <hyperlink ref="D471" r:id="rId143" xr:uid="{2F9D7D8E-36E0-48D1-B945-194660ACA6FD}"/>
    <hyperlink ref="D474" r:id="rId144" xr:uid="{C2B30B98-7508-45BB-9342-46CEDE5E51AF}"/>
    <hyperlink ref="D481" r:id="rId145" xr:uid="{30AF5E97-BFD0-4604-A787-A5BD01CAD0E9}"/>
    <hyperlink ref="D480" r:id="rId146" xr:uid="{178033B0-581E-45D4-9B44-9E9E20CD7C15}"/>
    <hyperlink ref="D479" r:id="rId147" xr:uid="{AAC0002A-54E9-48FD-B818-68FE2BBA132B}"/>
    <hyperlink ref="D478" r:id="rId148" xr:uid="{FA5C636B-B022-4F93-9A84-D618A52F8152}"/>
    <hyperlink ref="D464" r:id="rId149" xr:uid="{08C87978-9815-4EA8-B6F2-F338D33D8C38}"/>
    <hyperlink ref="D469" r:id="rId150" xr:uid="{81931EEC-E325-44E2-8470-0AACB5F874C0}"/>
    <hyperlink ref="D428" r:id="rId151" xr:uid="{73B15689-F2A1-4B83-84A9-9CEE6F39D8CE}"/>
    <hyperlink ref="D492" r:id="rId152" xr:uid="{3B4561B7-3515-48D1-B4D9-74CE283524E8}"/>
    <hyperlink ref="D491" r:id="rId153" xr:uid="{835C889B-DCD6-430C-92B5-F5529CACF75F}"/>
    <hyperlink ref="D490" r:id="rId154" xr:uid="{30172793-AD96-4AC7-AC81-C9F7FB483045}"/>
    <hyperlink ref="D496" r:id="rId155" xr:uid="{1CC2A283-6230-4084-8834-614C953FD4AE}"/>
    <hyperlink ref="D495" r:id="rId156" xr:uid="{61E6F286-9D95-4214-BCFE-FF2742C2CFAE}"/>
    <hyperlink ref="D494" r:id="rId157" xr:uid="{BD538B28-2E30-441C-A851-DC7E49D9655F}"/>
    <hyperlink ref="D493" r:id="rId158" xr:uid="{0B60FBC5-1B6D-4CBE-9AFD-6402B4FD6B53}"/>
    <hyperlink ref="D497" r:id="rId159" xr:uid="{339B1256-8F07-462B-B5AC-DD55D5D3A422}"/>
    <hyperlink ref="D498" r:id="rId160" xr:uid="{4F23DCE2-506A-4435-9A70-65872DAADEAB}"/>
    <hyperlink ref="D499" r:id="rId161" xr:uid="{3ADD10C7-07B4-485F-B5EE-AC0C2A38065C}"/>
    <hyperlink ref="D500" r:id="rId162" xr:uid="{4B58EB56-F511-4A44-AFBB-2ED658AC24D3}"/>
    <hyperlink ref="C512" r:id="rId163" display="https://www.pnet.co.za/5/index.cfm?event=directsearchgen4:profile.view&amp;profileID=2511202&amp;positionOnResultlist=4&amp;pageSize=10&amp;tabName=profile" xr:uid="{A2030066-A961-44B5-8923-F4DEFC564585}"/>
    <hyperlink ref="D513" r:id="rId164" xr:uid="{A528AD8C-76AC-4FE7-A083-FD22CD7D429B}"/>
    <hyperlink ref="D514" r:id="rId165" xr:uid="{42573BCB-111A-4B8E-8BCC-68F0387FA67E}"/>
    <hyperlink ref="D515" r:id="rId166" xr:uid="{6CE4FF83-C953-4C22-96A0-A77520653F4D}"/>
    <hyperlink ref="D516" r:id="rId167" xr:uid="{D31FC653-363C-4917-BF74-DAB27DAF5C7D}"/>
    <hyperlink ref="D517" r:id="rId168" xr:uid="{BE8D5EEA-A600-45CA-97A3-268433D07F5C}"/>
    <hyperlink ref="D518" r:id="rId169" xr:uid="{5387BE5D-33E1-4E26-A3F8-232550A022E9}"/>
    <hyperlink ref="D533" r:id="rId170" xr:uid="{FE4D8C25-D024-48ED-B924-E60A26FF337E}"/>
    <hyperlink ref="D532" r:id="rId171" xr:uid="{7B438704-3299-4452-927F-1A393B728511}"/>
    <hyperlink ref="D537" r:id="rId172" xr:uid="{755631EA-635E-4759-A23F-CA4D7C4B6C58}"/>
    <hyperlink ref="D565" r:id="rId173" xr:uid="{9AC5F965-5EDD-4EC6-B691-A70C03C18879}"/>
    <hyperlink ref="D567" r:id="rId174" xr:uid="{BC0C4A2B-02C8-4CA2-B3D4-9AC9AECA269B}"/>
    <hyperlink ref="D568" r:id="rId175" xr:uid="{DBA410E6-6B45-480A-976C-A68D4B6F6AEA}"/>
    <hyperlink ref="D583" r:id="rId176" display="mailto:aluwani.matshili@outlook.com" xr:uid="{8D497CC1-639A-452B-8D32-AB9C149723FC}"/>
    <hyperlink ref="D584" r:id="rId177" display="mailto:kommineni.saitej@gmail.com" xr:uid="{5A8E12A8-2EF6-4522-90E9-D4DFB497FB4A}"/>
    <hyperlink ref="D585" r:id="rId178" display="mailto:logonnaidoo0@gmail.com" xr:uid="{54B766B0-B8F3-4FF3-9BDC-81D924B9033B}"/>
    <hyperlink ref="D586" r:id="rId179" display="mailto:small.tshepo@gmail.com" xr:uid="{9A7A5CB3-48D5-41EA-B005-139AC1DB5797}"/>
    <hyperlink ref="D587" r:id="rId180" display="mailto:kevintaylor12121212@gmail.com" xr:uid="{F1C37567-4859-440E-A9C1-3C5E60DCAD34}"/>
    <hyperlink ref="D588" r:id="rId181" display="mailto:tashiel.haryparsat@gmail.com" xr:uid="{052BE881-0A63-4785-86B1-2FA75D9D6287}"/>
    <hyperlink ref="D589" r:id="rId182" display="mailto:Nicholas.Motlhoki@gmail.com" xr:uid="{72B3ADFA-94D7-45DF-B86C-E5F08958B3C0}"/>
    <hyperlink ref="D590" r:id="rId183" display="mailto:negondeni.sonia@gmail.com" xr:uid="{691CA3E5-225C-4F28-AC09-9ADE52C4606E}"/>
    <hyperlink ref="D591" r:id="rId184" display="mailto:vuthlari.baloyi1@gmail.com" xr:uid="{9770286F-AB56-48D2-B812-7CF3D4FE3020}"/>
    <hyperlink ref="D592" r:id="rId185" display="mailto:Langfordm3@gmail.com" xr:uid="{27C7AE0E-EE74-4D9C-9E4A-1FF306FB91F8}"/>
    <hyperlink ref="D593" r:id="rId186" display="mailto:thapelom@mactechit.co.za" xr:uid="{6F5DD7E0-64E5-455A-A435-BBB786DC2974}"/>
    <hyperlink ref="D594" r:id="rId187" display="mailto:hamudave@gmail.com" xr:uid="{8A257CAD-5A9E-4462-8388-D542C3F7B56E}"/>
    <hyperlink ref="D595" r:id="rId188" display="mailto:sam.onikosi@gmail.com" xr:uid="{507860C4-6C48-454D-BEDA-826F38AFFBE9}"/>
    <hyperlink ref="D596" r:id="rId189" display="mailto:raylspada@gmail.com" xr:uid="{863719D2-7EEA-43AE-AF28-1953447FEDB9}"/>
    <hyperlink ref="D597" r:id="rId190" display="mailto:fikilemdiniso2@gmail.com" xr:uid="{23D40118-D5F7-4B48-9D1D-3D55AFCF15F4}"/>
    <hyperlink ref="D598" r:id="rId191" display="mailto:mngunikhulekani@yahoo.com" xr:uid="{99B70477-2947-4471-9529-6B44F7517A54}"/>
    <hyperlink ref="D599" r:id="rId192" display="mailto:psmalefo@gmail.com" xr:uid="{6E7CA32C-0571-4FB0-8270-C50886532FF2}"/>
    <hyperlink ref="D600" r:id="rId193" display="mailto:rmzido@live.com" xr:uid="{725AD86F-7B20-4B4A-BC1A-0DB2FAFBBED5}"/>
    <hyperlink ref="D602" r:id="rId194" display="mailto:maggy.bouwer@gmail.com" xr:uid="{7DD73233-53EA-49DA-AE09-AFF0B644B55D}"/>
    <hyperlink ref="D603" r:id="rId195" display="mailto:danellekok@gmail.com" xr:uid="{941D472A-E6BA-402B-9C5A-65731A44E298}"/>
    <hyperlink ref="D604" r:id="rId196" display="mailto:Jobezama@ymail.com" xr:uid="{D2115031-0CF5-4643-92F5-14ECC796A5DA}"/>
    <hyperlink ref="D601" r:id="rId197" xr:uid="{29CFB8BC-3FB5-45A8-908B-F3BCDB2D31E0}"/>
    <hyperlink ref="D614" r:id="rId198" xr:uid="{2F4AEF4D-DFB0-48C0-AD7C-F29A35FE07CA}"/>
    <hyperlink ref="D630" r:id="rId199" display="mailto:gouthamlinga90@gmail.com" xr:uid="{A9A386FA-072A-4DF1-B629-E5B42B9AF682}"/>
    <hyperlink ref="D631" r:id="rId200" display="mailto:navaneethb2803@gmail.com" xr:uid="{06A07304-BC96-4719-A1F5-F084718B36A7}"/>
    <hyperlink ref="D632" r:id="rId201" xr:uid="{6DB8DE89-B1BC-4401-B17A-92E040277044}"/>
    <hyperlink ref="D629" r:id="rId202" xr:uid="{BD547871-B217-4D51-9AE0-1C89FC2B52C1}"/>
    <hyperlink ref="D633" r:id="rId203" display="mailto:prathyushatalluri98@gmail.com" xr:uid="{B404D54B-AB1D-4E11-BD60-BD1A14E2595F}"/>
    <hyperlink ref="D634" r:id="rId204" display="mailto:tlmabeleng@gmail.com" xr:uid="{7225CC09-4FF0-486B-8B16-724725B8C283}"/>
    <hyperlink ref="D635" r:id="rId205" display="mailto:mafekabs@gmail.com" xr:uid="{956D5848-590B-4794-BF0C-DDA6BF972FA7}"/>
    <hyperlink ref="D636" r:id="rId206" display="mailto:den.saka@gmail.com" xr:uid="{3F76E09E-4489-465E-A724-850124AD290A}"/>
    <hyperlink ref="D637" r:id="rId207" display="mailto:chaukems@gmail.com" xr:uid="{AB794901-CFAD-4B1C-B401-00FBA1D9545B}"/>
    <hyperlink ref="D638" r:id="rId208" xr:uid="{E6A0BBA5-B24B-4924-B4EB-2495911CC41B}"/>
    <hyperlink ref="D649" r:id="rId209" display="mailto:tshepoelifa238@gmail.com" xr:uid="{9709DE15-806C-4E31-B407-16669E9A81BB}"/>
    <hyperlink ref="D650" r:id="rId210" display="mailto:sabelosimelane09@gmail.com" xr:uid="{DA28E82D-78A3-406B-9145-A6D654822CB1}"/>
    <hyperlink ref="D651" r:id="rId211" display="mailto:thendomatshisevhe@gmail.com" xr:uid="{F407253D-B752-494B-A909-1896EAC92644}"/>
    <hyperlink ref="D652" r:id="rId212" display="mailto:mz.karreem@gmail.com" xr:uid="{FCB7D6C7-0DBA-41C4-B664-0DFFF4C0C175}"/>
    <hyperlink ref="D653" r:id="rId213" display="mailto:ignatiahlatshwayo1@gmail.com" xr:uid="{62E5E05B-4519-4790-9F8F-4E2C72EA1B75}"/>
    <hyperlink ref="D655" r:id="rId214" display="mailto:manuelachadreque@gmail.com" xr:uid="{2B5FDAEC-A6EE-4E6E-B4BF-E5937F473574}"/>
    <hyperlink ref="D654" r:id="rId215" xr:uid="{5D28C676-BF65-4C8C-A604-4D22B50AA519}"/>
    <hyperlink ref="D656" r:id="rId216" xr:uid="{A606D3B3-D302-445D-A04D-BB95EA672F4B}"/>
    <hyperlink ref="D657" r:id="rId217" display="mailto:Ramadwa88@gmail.com" xr:uid="{1026B984-BBCA-4B6F-A322-4575A3896190}"/>
    <hyperlink ref="D658" r:id="rId218" display="mailto:kumalosl@hotmail.com" xr:uid="{400C51C5-0904-475B-8CD6-3FD107084FB1}"/>
    <hyperlink ref="D659" r:id="rId219" display="mailto:tebogomokgolela@gmail.com" xr:uid="{1B9763D2-AE52-445F-A422-7680EB2626F8}"/>
    <hyperlink ref="D660" r:id="rId220" display="mailto:chitra.it@gmail.com" xr:uid="{2457AFFB-3C79-4A4D-9CF0-5D3BC537CDD5}"/>
    <hyperlink ref="D661" r:id="rId221" display="mailto:Fortunemogoeng@gmail.com" xr:uid="{4A9CDC74-1B6C-4181-B1B6-11493DB60EC1}"/>
    <hyperlink ref="D662" r:id="rId222" display="mailto:daniel.phohu@gmail.com" xr:uid="{30B2CFEF-5E88-4165-A437-E275EB019DF2}"/>
    <hyperlink ref="D663" r:id="rId223" display="mailto:marilese.leriche@gmail.com" xr:uid="{7AFD434B-EB5B-45D3-8825-52884645E1DA}"/>
  </hyperlinks>
  <pageMargins left="0.23622047244094491" right="0.23622047244094491" top="0.74803149606299213" bottom="0.74803149606299213" header="0.31496062992125984" footer="0.31496062992125984"/>
  <pageSetup paperSize="8" scale="80" fitToHeight="0" orientation="landscape" r:id="rId224"/>
  <tableParts count="1">
    <tablePart r:id="rId225"/>
  </tableParts>
  <extLst>
    <ext xmlns:x14="http://schemas.microsoft.com/office/spreadsheetml/2009/9/main" uri="{CCE6A557-97BC-4b89-ADB6-D9C93CAAB3DF}">
      <x14:dataValidations xmlns:xm="http://schemas.microsoft.com/office/excel/2006/main" count="2">
        <x14:dataValidation type="list" allowBlank="1" showInputMessage="1" showErrorMessage="1" prompt="Please Input the staus of the headhunted candidate." xr:uid="{4A2D2830-53B1-4358-B106-6B18DC25EB6C}">
          <x14:formula1>
            <xm:f>'Status Definitions'!$A:$A</xm:f>
          </x14:formula1>
          <xm:sqref>G2:G1048576</xm:sqref>
        </x14:dataValidation>
        <x14:dataValidation type="list" allowBlank="1" showInputMessage="1" showErrorMessage="1" xr:uid="{F4561EEA-3630-4AA9-BFB6-DE4F1A2E0DB4}">
          <x14:formula1>
            <xm:f>'Job Specs'!$A$2:$A$1048576</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CAE8D-44BA-4AC5-A74E-01DEC5543209}">
  <dimension ref="A1:G245"/>
  <sheetViews>
    <sheetView zoomScale="70" zoomScaleNormal="70" workbookViewId="0">
      <selection activeCell="B5" sqref="B5"/>
    </sheetView>
  </sheetViews>
  <sheetFormatPr defaultRowHeight="14.5" x14ac:dyDescent="0.35"/>
  <cols>
    <col min="1" max="1" width="11.6328125" bestFit="1" customWidth="1"/>
    <col min="2" max="2" width="47.90625" bestFit="1" customWidth="1"/>
    <col min="3" max="3" width="38.90625" bestFit="1" customWidth="1"/>
    <col min="4" max="4" width="66.54296875" bestFit="1" customWidth="1"/>
    <col min="5" max="5" width="66.54296875" customWidth="1"/>
    <col min="6" max="6" width="33.6328125" bestFit="1" customWidth="1"/>
    <col min="7" max="7" width="9.7265625" bestFit="1" customWidth="1"/>
  </cols>
  <sheetData>
    <row r="1" spans="1:7" x14ac:dyDescent="0.35">
      <c r="A1" t="s">
        <v>2012</v>
      </c>
      <c r="B1" t="s">
        <v>1347</v>
      </c>
      <c r="C1" t="s">
        <v>1449</v>
      </c>
      <c r="D1" t="s">
        <v>1450</v>
      </c>
      <c r="E1" t="s">
        <v>1451</v>
      </c>
      <c r="F1" t="s">
        <v>1452</v>
      </c>
      <c r="G1" t="s">
        <v>1453</v>
      </c>
    </row>
    <row r="2" spans="1:7" hidden="1" x14ac:dyDescent="0.35">
      <c r="A2" t="s">
        <v>1454</v>
      </c>
      <c r="B2" t="s">
        <v>1455</v>
      </c>
      <c r="D2" t="s">
        <v>1456</v>
      </c>
      <c r="E2" t="s">
        <v>1457</v>
      </c>
      <c r="G2" t="s">
        <v>1458</v>
      </c>
    </row>
    <row r="3" spans="1:7" hidden="1" x14ac:dyDescent="0.35">
      <c r="A3" t="s">
        <v>1459</v>
      </c>
      <c r="B3" t="s">
        <v>1460</v>
      </c>
      <c r="D3" t="s">
        <v>1461</v>
      </c>
      <c r="E3" t="s">
        <v>1462</v>
      </c>
      <c r="F3" t="s">
        <v>1463</v>
      </c>
      <c r="G3" t="s">
        <v>1458</v>
      </c>
    </row>
    <row r="4" spans="1:7" hidden="1" x14ac:dyDescent="0.35">
      <c r="A4" t="s">
        <v>1464</v>
      </c>
      <c r="B4" t="s">
        <v>1419</v>
      </c>
      <c r="D4" t="s">
        <v>1465</v>
      </c>
      <c r="E4" t="s">
        <v>1466</v>
      </c>
      <c r="F4" t="s">
        <v>1467</v>
      </c>
      <c r="G4" t="s">
        <v>1458</v>
      </c>
    </row>
    <row r="5" spans="1:7" hidden="1" x14ac:dyDescent="0.35">
      <c r="A5" t="s">
        <v>1468</v>
      </c>
      <c r="B5" t="s">
        <v>1469</v>
      </c>
      <c r="D5" t="s">
        <v>1470</v>
      </c>
      <c r="E5" t="s">
        <v>1471</v>
      </c>
      <c r="F5" t="s">
        <v>1472</v>
      </c>
      <c r="G5" t="s">
        <v>1458</v>
      </c>
    </row>
    <row r="6" spans="1:7" hidden="1" x14ac:dyDescent="0.35">
      <c r="A6" t="s">
        <v>1473</v>
      </c>
      <c r="B6" t="s">
        <v>1474</v>
      </c>
      <c r="D6" t="s">
        <v>1475</v>
      </c>
      <c r="E6" t="s">
        <v>1471</v>
      </c>
      <c r="F6" t="s">
        <v>1476</v>
      </c>
      <c r="G6" t="s">
        <v>1458</v>
      </c>
    </row>
    <row r="7" spans="1:7" hidden="1" x14ac:dyDescent="0.35">
      <c r="A7" t="s">
        <v>1477</v>
      </c>
      <c r="B7" t="s">
        <v>1478</v>
      </c>
      <c r="D7" t="s">
        <v>1479</v>
      </c>
      <c r="E7" t="s">
        <v>1471</v>
      </c>
      <c r="F7" t="s">
        <v>1480</v>
      </c>
      <c r="G7" t="s">
        <v>1458</v>
      </c>
    </row>
    <row r="8" spans="1:7" hidden="1" x14ac:dyDescent="0.35">
      <c r="A8" t="s">
        <v>1481</v>
      </c>
      <c r="B8" t="s">
        <v>1482</v>
      </c>
      <c r="D8" t="s">
        <v>1479</v>
      </c>
      <c r="E8" t="s">
        <v>1483</v>
      </c>
      <c r="F8" t="s">
        <v>1484</v>
      </c>
      <c r="G8" t="s">
        <v>1458</v>
      </c>
    </row>
    <row r="9" spans="1:7" hidden="1" x14ac:dyDescent="0.35">
      <c r="A9" t="s">
        <v>1485</v>
      </c>
      <c r="B9" t="s">
        <v>1486</v>
      </c>
      <c r="D9" t="s">
        <v>1470</v>
      </c>
      <c r="E9" t="s">
        <v>1487</v>
      </c>
      <c r="F9" t="s">
        <v>1488</v>
      </c>
      <c r="G9" t="s">
        <v>1458</v>
      </c>
    </row>
    <row r="10" spans="1:7" hidden="1" x14ac:dyDescent="0.35">
      <c r="A10" t="s">
        <v>1489</v>
      </c>
      <c r="B10" t="s">
        <v>1490</v>
      </c>
      <c r="D10" t="s">
        <v>1470</v>
      </c>
      <c r="E10" t="s">
        <v>1487</v>
      </c>
      <c r="F10" t="s">
        <v>1472</v>
      </c>
      <c r="G10" t="s">
        <v>1458</v>
      </c>
    </row>
    <row r="11" spans="1:7" hidden="1" x14ac:dyDescent="0.35">
      <c r="A11" t="s">
        <v>1491</v>
      </c>
      <c r="B11" t="s">
        <v>1492</v>
      </c>
      <c r="D11" t="s">
        <v>1479</v>
      </c>
      <c r="E11" t="s">
        <v>1493</v>
      </c>
      <c r="F11" t="s">
        <v>1494</v>
      </c>
      <c r="G11" t="s">
        <v>1458</v>
      </c>
    </row>
    <row r="12" spans="1:7" hidden="1" x14ac:dyDescent="0.35">
      <c r="A12" t="s">
        <v>1495</v>
      </c>
      <c r="B12" t="s">
        <v>1496</v>
      </c>
      <c r="D12" t="s">
        <v>1479</v>
      </c>
      <c r="E12" t="s">
        <v>1471</v>
      </c>
      <c r="F12" t="s">
        <v>1472</v>
      </c>
      <c r="G12" t="s">
        <v>1458</v>
      </c>
    </row>
    <row r="13" spans="1:7" hidden="1" x14ac:dyDescent="0.35">
      <c r="A13" t="s">
        <v>1497</v>
      </c>
      <c r="B13" t="s">
        <v>1474</v>
      </c>
      <c r="D13" t="s">
        <v>1475</v>
      </c>
      <c r="E13" t="s">
        <v>1498</v>
      </c>
      <c r="F13" t="s">
        <v>1499</v>
      </c>
      <c r="G13" t="s">
        <v>1458</v>
      </c>
    </row>
    <row r="14" spans="1:7" hidden="1" x14ac:dyDescent="0.35">
      <c r="A14" t="s">
        <v>1500</v>
      </c>
      <c r="B14" t="s">
        <v>1501</v>
      </c>
      <c r="D14" t="s">
        <v>1502</v>
      </c>
      <c r="E14" t="s">
        <v>1503</v>
      </c>
      <c r="F14" t="s">
        <v>1504</v>
      </c>
      <c r="G14" t="s">
        <v>1458</v>
      </c>
    </row>
    <row r="15" spans="1:7" hidden="1" x14ac:dyDescent="0.35">
      <c r="A15" t="s">
        <v>1505</v>
      </c>
      <c r="B15" t="s">
        <v>1506</v>
      </c>
      <c r="D15" t="s">
        <v>1502</v>
      </c>
      <c r="E15" t="s">
        <v>1503</v>
      </c>
      <c r="F15" t="s">
        <v>1507</v>
      </c>
      <c r="G15" t="s">
        <v>1458</v>
      </c>
    </row>
    <row r="16" spans="1:7" hidden="1" x14ac:dyDescent="0.35">
      <c r="A16" t="s">
        <v>1508</v>
      </c>
      <c r="B16" t="s">
        <v>1509</v>
      </c>
      <c r="D16" t="s">
        <v>1502</v>
      </c>
      <c r="E16" t="s">
        <v>1503</v>
      </c>
      <c r="F16" t="s">
        <v>1510</v>
      </c>
      <c r="G16" t="s">
        <v>1458</v>
      </c>
    </row>
    <row r="17" spans="1:7" hidden="1" x14ac:dyDescent="0.35">
      <c r="A17" t="s">
        <v>1511</v>
      </c>
      <c r="B17" t="s">
        <v>1512</v>
      </c>
      <c r="D17" t="s">
        <v>1465</v>
      </c>
      <c r="E17" t="s">
        <v>1513</v>
      </c>
      <c r="F17" t="s">
        <v>1514</v>
      </c>
      <c r="G17" t="s">
        <v>1458</v>
      </c>
    </row>
    <row r="18" spans="1:7" hidden="1" x14ac:dyDescent="0.35">
      <c r="A18" t="s">
        <v>1515</v>
      </c>
      <c r="B18" t="s">
        <v>1516</v>
      </c>
      <c r="D18" t="s">
        <v>1465</v>
      </c>
      <c r="E18" t="s">
        <v>1513</v>
      </c>
      <c r="F18" t="s">
        <v>1517</v>
      </c>
      <c r="G18" t="s">
        <v>1458</v>
      </c>
    </row>
    <row r="19" spans="1:7" hidden="1" x14ac:dyDescent="0.35">
      <c r="A19" t="s">
        <v>1518</v>
      </c>
      <c r="B19" t="s">
        <v>1519</v>
      </c>
      <c r="D19" t="s">
        <v>1475</v>
      </c>
      <c r="E19" t="s">
        <v>1520</v>
      </c>
      <c r="F19" t="s">
        <v>1521</v>
      </c>
      <c r="G19" t="s">
        <v>1458</v>
      </c>
    </row>
    <row r="20" spans="1:7" hidden="1" x14ac:dyDescent="0.35">
      <c r="A20" t="s">
        <v>1522</v>
      </c>
      <c r="B20" t="s">
        <v>1523</v>
      </c>
      <c r="D20" t="s">
        <v>1475</v>
      </c>
      <c r="E20" t="s">
        <v>1524</v>
      </c>
      <c r="F20" t="s">
        <v>1472</v>
      </c>
      <c r="G20" t="s">
        <v>1458</v>
      </c>
    </row>
    <row r="21" spans="1:7" hidden="1" x14ac:dyDescent="0.35">
      <c r="A21" t="s">
        <v>1525</v>
      </c>
      <c r="B21" t="s">
        <v>1526</v>
      </c>
      <c r="D21" t="s">
        <v>1475</v>
      </c>
      <c r="E21" t="s">
        <v>1520</v>
      </c>
      <c r="F21" t="s">
        <v>1472</v>
      </c>
      <c r="G21" t="s">
        <v>1458</v>
      </c>
    </row>
    <row r="22" spans="1:7" hidden="1" x14ac:dyDescent="0.35">
      <c r="A22" t="s">
        <v>1527</v>
      </c>
      <c r="B22" t="s">
        <v>1528</v>
      </c>
      <c r="D22" t="s">
        <v>1475</v>
      </c>
      <c r="E22" t="s">
        <v>1529</v>
      </c>
      <c r="F22" t="s">
        <v>1472</v>
      </c>
      <c r="G22" t="s">
        <v>1458</v>
      </c>
    </row>
    <row r="23" spans="1:7" hidden="1" x14ac:dyDescent="0.35">
      <c r="A23" t="s">
        <v>1530</v>
      </c>
      <c r="B23" t="s">
        <v>1531</v>
      </c>
      <c r="D23" t="s">
        <v>1465</v>
      </c>
      <c r="E23" t="s">
        <v>1532</v>
      </c>
      <c r="F23" t="s">
        <v>1472</v>
      </c>
      <c r="G23" t="s">
        <v>1458</v>
      </c>
    </row>
    <row r="24" spans="1:7" hidden="1" x14ac:dyDescent="0.35">
      <c r="A24" t="s">
        <v>1533</v>
      </c>
      <c r="B24" t="s">
        <v>1534</v>
      </c>
      <c r="D24" t="s">
        <v>1479</v>
      </c>
      <c r="E24" t="s">
        <v>1535</v>
      </c>
      <c r="F24" t="s">
        <v>1536</v>
      </c>
      <c r="G24" t="s">
        <v>1458</v>
      </c>
    </row>
    <row r="25" spans="1:7" hidden="1" x14ac:dyDescent="0.35">
      <c r="A25" t="s">
        <v>1537</v>
      </c>
      <c r="B25" t="s">
        <v>1538</v>
      </c>
      <c r="D25" t="s">
        <v>1479</v>
      </c>
      <c r="E25" t="s">
        <v>1483</v>
      </c>
      <c r="F25" t="s">
        <v>1472</v>
      </c>
      <c r="G25" t="s">
        <v>1458</v>
      </c>
    </row>
    <row r="26" spans="1:7" hidden="1" x14ac:dyDescent="0.35">
      <c r="A26" t="s">
        <v>1539</v>
      </c>
      <c r="B26" t="s">
        <v>1378</v>
      </c>
      <c r="D26" t="s">
        <v>1475</v>
      </c>
      <c r="E26" t="s">
        <v>1540</v>
      </c>
      <c r="F26" t="s">
        <v>1541</v>
      </c>
      <c r="G26" t="s">
        <v>1458</v>
      </c>
    </row>
    <row r="27" spans="1:7" hidden="1" x14ac:dyDescent="0.35">
      <c r="A27" t="s">
        <v>1542</v>
      </c>
      <c r="B27" t="s">
        <v>1474</v>
      </c>
      <c r="D27" t="s">
        <v>1472</v>
      </c>
      <c r="E27" t="s">
        <v>1472</v>
      </c>
      <c r="F27" t="s">
        <v>1543</v>
      </c>
      <c r="G27" t="s">
        <v>1458</v>
      </c>
    </row>
    <row r="28" spans="1:7" hidden="1" x14ac:dyDescent="0.35">
      <c r="A28" t="s">
        <v>1544</v>
      </c>
      <c r="B28" t="s">
        <v>1545</v>
      </c>
      <c r="D28" t="s">
        <v>1472</v>
      </c>
      <c r="E28" t="s">
        <v>1487</v>
      </c>
      <c r="F28" t="s">
        <v>1546</v>
      </c>
      <c r="G28" t="s">
        <v>1458</v>
      </c>
    </row>
    <row r="29" spans="1:7" hidden="1" x14ac:dyDescent="0.35">
      <c r="A29" t="s">
        <v>1547</v>
      </c>
      <c r="B29" t="s">
        <v>1548</v>
      </c>
      <c r="D29" t="s">
        <v>1472</v>
      </c>
      <c r="E29" t="s">
        <v>1549</v>
      </c>
      <c r="F29" t="s">
        <v>1550</v>
      </c>
      <c r="G29" t="s">
        <v>1458</v>
      </c>
    </row>
    <row r="30" spans="1:7" hidden="1" x14ac:dyDescent="0.35">
      <c r="A30" t="s">
        <v>1551</v>
      </c>
      <c r="B30" t="s">
        <v>1552</v>
      </c>
      <c r="D30" t="s">
        <v>1553</v>
      </c>
      <c r="E30" t="s">
        <v>1540</v>
      </c>
      <c r="F30" t="s">
        <v>1554</v>
      </c>
      <c r="G30" t="s">
        <v>1458</v>
      </c>
    </row>
    <row r="31" spans="1:7" hidden="1" x14ac:dyDescent="0.35">
      <c r="A31" t="s">
        <v>1555</v>
      </c>
      <c r="B31" t="s">
        <v>1556</v>
      </c>
      <c r="D31" t="s">
        <v>1553</v>
      </c>
      <c r="E31" t="s">
        <v>1540</v>
      </c>
      <c r="F31" t="s">
        <v>1557</v>
      </c>
      <c r="G31" t="s">
        <v>1458</v>
      </c>
    </row>
    <row r="32" spans="1:7" hidden="1" x14ac:dyDescent="0.35">
      <c r="A32" t="s">
        <v>1558</v>
      </c>
      <c r="B32" t="s">
        <v>1559</v>
      </c>
      <c r="D32" t="s">
        <v>1553</v>
      </c>
      <c r="E32" t="s">
        <v>1540</v>
      </c>
      <c r="F32" t="s">
        <v>1560</v>
      </c>
      <c r="G32" t="s">
        <v>1458</v>
      </c>
    </row>
    <row r="33" spans="1:7" hidden="1" x14ac:dyDescent="0.35">
      <c r="A33" t="s">
        <v>1561</v>
      </c>
      <c r="B33" t="s">
        <v>1562</v>
      </c>
      <c r="D33" t="s">
        <v>1465</v>
      </c>
      <c r="E33" t="s">
        <v>1466</v>
      </c>
      <c r="F33" t="s">
        <v>1563</v>
      </c>
      <c r="G33" t="s">
        <v>1458</v>
      </c>
    </row>
    <row r="34" spans="1:7" hidden="1" x14ac:dyDescent="0.35">
      <c r="A34" t="s">
        <v>1564</v>
      </c>
      <c r="B34" t="s">
        <v>1565</v>
      </c>
      <c r="D34" t="s">
        <v>1465</v>
      </c>
      <c r="E34" t="s">
        <v>1566</v>
      </c>
      <c r="F34" t="s">
        <v>1567</v>
      </c>
      <c r="G34" t="s">
        <v>1458</v>
      </c>
    </row>
    <row r="35" spans="1:7" hidden="1" x14ac:dyDescent="0.35">
      <c r="A35" t="s">
        <v>1568</v>
      </c>
      <c r="B35" t="s">
        <v>1569</v>
      </c>
      <c r="D35" t="s">
        <v>1465</v>
      </c>
      <c r="E35" t="s">
        <v>1570</v>
      </c>
      <c r="F35" t="s">
        <v>1571</v>
      </c>
      <c r="G35" t="s">
        <v>1458</v>
      </c>
    </row>
    <row r="36" spans="1:7" hidden="1" x14ac:dyDescent="0.35">
      <c r="A36" t="s">
        <v>1572</v>
      </c>
      <c r="B36" t="s">
        <v>1573</v>
      </c>
      <c r="D36" t="s">
        <v>1553</v>
      </c>
      <c r="E36" t="s">
        <v>1466</v>
      </c>
      <c r="F36" t="s">
        <v>1574</v>
      </c>
      <c r="G36" t="s">
        <v>1458</v>
      </c>
    </row>
    <row r="37" spans="1:7" hidden="1" x14ac:dyDescent="0.35">
      <c r="A37" t="s">
        <v>1505</v>
      </c>
      <c r="B37" t="s">
        <v>1575</v>
      </c>
      <c r="D37" t="s">
        <v>1465</v>
      </c>
      <c r="E37" t="s">
        <v>1466</v>
      </c>
      <c r="F37" t="s">
        <v>1576</v>
      </c>
      <c r="G37" t="s">
        <v>1458</v>
      </c>
    </row>
    <row r="38" spans="1:7" hidden="1" x14ac:dyDescent="0.35">
      <c r="A38" t="s">
        <v>1577</v>
      </c>
      <c r="B38" t="s">
        <v>1578</v>
      </c>
      <c r="D38" t="s">
        <v>1465</v>
      </c>
      <c r="E38" t="s">
        <v>1532</v>
      </c>
      <c r="F38" t="s">
        <v>1579</v>
      </c>
      <c r="G38" t="s">
        <v>1458</v>
      </c>
    </row>
    <row r="39" spans="1:7" hidden="1" x14ac:dyDescent="0.35">
      <c r="A39" t="s">
        <v>1580</v>
      </c>
      <c r="B39" t="s">
        <v>1581</v>
      </c>
      <c r="D39" t="s">
        <v>1465</v>
      </c>
      <c r="E39" t="s">
        <v>1582</v>
      </c>
      <c r="F39" t="s">
        <v>1472</v>
      </c>
      <c r="G39" t="s">
        <v>1458</v>
      </c>
    </row>
    <row r="40" spans="1:7" hidden="1" x14ac:dyDescent="0.35">
      <c r="A40" t="s">
        <v>1583</v>
      </c>
      <c r="B40" t="s">
        <v>1584</v>
      </c>
      <c r="D40" t="s">
        <v>1472</v>
      </c>
      <c r="E40" t="s">
        <v>1466</v>
      </c>
      <c r="F40" t="s">
        <v>1472</v>
      </c>
      <c r="G40" t="s">
        <v>1458</v>
      </c>
    </row>
    <row r="41" spans="1:7" hidden="1" x14ac:dyDescent="0.35">
      <c r="A41" t="s">
        <v>1585</v>
      </c>
      <c r="B41" t="s">
        <v>1586</v>
      </c>
      <c r="D41" t="s">
        <v>1461</v>
      </c>
      <c r="E41" t="s">
        <v>1587</v>
      </c>
      <c r="F41" t="s">
        <v>1588</v>
      </c>
      <c r="G41" t="s">
        <v>1458</v>
      </c>
    </row>
    <row r="42" spans="1:7" hidden="1" x14ac:dyDescent="0.35">
      <c r="A42" t="s">
        <v>1589</v>
      </c>
      <c r="B42" t="s">
        <v>1386</v>
      </c>
      <c r="D42" t="s">
        <v>1461</v>
      </c>
      <c r="E42" t="s">
        <v>1587</v>
      </c>
      <c r="F42" t="s">
        <v>1588</v>
      </c>
      <c r="G42" t="s">
        <v>1458</v>
      </c>
    </row>
    <row r="43" spans="1:7" hidden="1" x14ac:dyDescent="0.35">
      <c r="A43" t="s">
        <v>1590</v>
      </c>
      <c r="B43" t="s">
        <v>1365</v>
      </c>
      <c r="D43" t="s">
        <v>1461</v>
      </c>
      <c r="E43" t="s">
        <v>1487</v>
      </c>
      <c r="F43" t="s">
        <v>1588</v>
      </c>
      <c r="G43" t="s">
        <v>1458</v>
      </c>
    </row>
    <row r="44" spans="1:7" hidden="1" x14ac:dyDescent="0.35">
      <c r="A44" t="s">
        <v>1591</v>
      </c>
      <c r="B44" t="s">
        <v>1592</v>
      </c>
      <c r="D44" t="s">
        <v>1472</v>
      </c>
      <c r="E44" t="s">
        <v>1593</v>
      </c>
      <c r="F44" t="s">
        <v>1594</v>
      </c>
      <c r="G44" t="s">
        <v>1458</v>
      </c>
    </row>
    <row r="45" spans="1:7" hidden="1" x14ac:dyDescent="0.35">
      <c r="A45" t="s">
        <v>1595</v>
      </c>
      <c r="B45" t="s">
        <v>1455</v>
      </c>
      <c r="D45" t="s">
        <v>1461</v>
      </c>
      <c r="E45" t="s">
        <v>1487</v>
      </c>
      <c r="F45" t="s">
        <v>1588</v>
      </c>
      <c r="G45" t="s">
        <v>1458</v>
      </c>
    </row>
    <row r="46" spans="1:7" hidden="1" x14ac:dyDescent="0.35">
      <c r="A46" t="s">
        <v>1596</v>
      </c>
      <c r="B46" t="s">
        <v>1597</v>
      </c>
      <c r="D46" t="s">
        <v>1461</v>
      </c>
      <c r="E46" t="s">
        <v>1566</v>
      </c>
      <c r="F46" t="s">
        <v>1598</v>
      </c>
      <c r="G46" t="s">
        <v>1458</v>
      </c>
    </row>
    <row r="47" spans="1:7" hidden="1" x14ac:dyDescent="0.35">
      <c r="A47" t="s">
        <v>1599</v>
      </c>
      <c r="B47" t="s">
        <v>1424</v>
      </c>
      <c r="D47" t="s">
        <v>1465</v>
      </c>
      <c r="E47" t="s">
        <v>1487</v>
      </c>
      <c r="F47" t="s">
        <v>1472</v>
      </c>
      <c r="G47" t="s">
        <v>1458</v>
      </c>
    </row>
    <row r="48" spans="1:7" hidden="1" x14ac:dyDescent="0.35">
      <c r="A48" t="s">
        <v>1600</v>
      </c>
      <c r="B48" t="s">
        <v>1601</v>
      </c>
      <c r="D48" t="s">
        <v>1479</v>
      </c>
      <c r="E48" t="s">
        <v>1602</v>
      </c>
      <c r="F48" t="s">
        <v>1603</v>
      </c>
      <c r="G48" t="s">
        <v>1458</v>
      </c>
    </row>
    <row r="49" spans="1:7" hidden="1" x14ac:dyDescent="0.35">
      <c r="A49" t="s">
        <v>1604</v>
      </c>
      <c r="B49" t="s">
        <v>1605</v>
      </c>
      <c r="D49" t="s">
        <v>1479</v>
      </c>
      <c r="E49" t="s">
        <v>1602</v>
      </c>
      <c r="F49" t="s">
        <v>1603</v>
      </c>
      <c r="G49" t="s">
        <v>1458</v>
      </c>
    </row>
    <row r="50" spans="1:7" hidden="1" x14ac:dyDescent="0.35">
      <c r="A50" t="s">
        <v>1606</v>
      </c>
      <c r="B50" t="s">
        <v>1607</v>
      </c>
      <c r="D50" t="s">
        <v>1479</v>
      </c>
      <c r="E50" t="s">
        <v>1602</v>
      </c>
      <c r="F50" t="s">
        <v>1603</v>
      </c>
      <c r="G50" t="s">
        <v>1458</v>
      </c>
    </row>
    <row r="51" spans="1:7" hidden="1" x14ac:dyDescent="0.35">
      <c r="A51" t="s">
        <v>1608</v>
      </c>
      <c r="B51" t="s">
        <v>1609</v>
      </c>
      <c r="D51" t="s">
        <v>1479</v>
      </c>
      <c r="E51" t="s">
        <v>1602</v>
      </c>
      <c r="F51" t="s">
        <v>1603</v>
      </c>
      <c r="G51" t="s">
        <v>1458</v>
      </c>
    </row>
    <row r="52" spans="1:7" hidden="1" x14ac:dyDescent="0.35">
      <c r="A52" t="s">
        <v>1610</v>
      </c>
      <c r="B52" t="s">
        <v>1611</v>
      </c>
      <c r="D52" t="s">
        <v>1461</v>
      </c>
      <c r="E52" t="s">
        <v>1487</v>
      </c>
      <c r="F52" t="s">
        <v>1612</v>
      </c>
      <c r="G52" t="s">
        <v>1458</v>
      </c>
    </row>
    <row r="53" spans="1:7" hidden="1" x14ac:dyDescent="0.35">
      <c r="A53" t="s">
        <v>1613</v>
      </c>
      <c r="B53" t="s">
        <v>1614</v>
      </c>
      <c r="D53" t="s">
        <v>1465</v>
      </c>
      <c r="E53" t="s">
        <v>1487</v>
      </c>
      <c r="F53" t="s">
        <v>1615</v>
      </c>
      <c r="G53" t="s">
        <v>1458</v>
      </c>
    </row>
    <row r="54" spans="1:7" hidden="1" x14ac:dyDescent="0.35">
      <c r="A54" t="s">
        <v>1616</v>
      </c>
      <c r="B54" t="s">
        <v>1534</v>
      </c>
      <c r="D54" t="s">
        <v>1465</v>
      </c>
      <c r="E54" t="s">
        <v>1487</v>
      </c>
      <c r="F54" t="s">
        <v>1472</v>
      </c>
      <c r="G54" t="s">
        <v>1458</v>
      </c>
    </row>
    <row r="55" spans="1:7" hidden="1" x14ac:dyDescent="0.35">
      <c r="A55" t="s">
        <v>1617</v>
      </c>
      <c r="B55" t="s">
        <v>1618</v>
      </c>
      <c r="D55" t="s">
        <v>1479</v>
      </c>
      <c r="E55" t="s">
        <v>1471</v>
      </c>
      <c r="F55" t="s">
        <v>1619</v>
      </c>
      <c r="G55" t="s">
        <v>1458</v>
      </c>
    </row>
    <row r="56" spans="1:7" hidden="1" x14ac:dyDescent="0.35">
      <c r="A56" t="s">
        <v>1620</v>
      </c>
      <c r="B56" t="s">
        <v>1621</v>
      </c>
      <c r="D56" t="s">
        <v>1465</v>
      </c>
      <c r="E56" t="s">
        <v>1471</v>
      </c>
      <c r="F56">
        <v>7000</v>
      </c>
      <c r="G56" t="s">
        <v>1458</v>
      </c>
    </row>
    <row r="57" spans="1:7" hidden="1" x14ac:dyDescent="0.35">
      <c r="A57" t="s">
        <v>1622</v>
      </c>
      <c r="B57" t="s">
        <v>1623</v>
      </c>
      <c r="D57" t="s">
        <v>1465</v>
      </c>
      <c r="E57" t="s">
        <v>1624</v>
      </c>
      <c r="F57" t="s">
        <v>1625</v>
      </c>
      <c r="G57" t="s">
        <v>1458</v>
      </c>
    </row>
    <row r="58" spans="1:7" hidden="1" x14ac:dyDescent="0.35">
      <c r="A58" t="s">
        <v>1626</v>
      </c>
      <c r="B58" t="s">
        <v>1627</v>
      </c>
      <c r="D58" t="s">
        <v>1461</v>
      </c>
      <c r="E58" t="s">
        <v>1628</v>
      </c>
      <c r="F58" t="s">
        <v>1472</v>
      </c>
      <c r="G58" t="s">
        <v>1458</v>
      </c>
    </row>
    <row r="59" spans="1:7" hidden="1" x14ac:dyDescent="0.35">
      <c r="A59" t="s">
        <v>1629</v>
      </c>
      <c r="B59" t="s">
        <v>1630</v>
      </c>
      <c r="D59" t="s">
        <v>1465</v>
      </c>
      <c r="E59" t="s">
        <v>1466</v>
      </c>
      <c r="F59" t="s">
        <v>1631</v>
      </c>
      <c r="G59" t="s">
        <v>1458</v>
      </c>
    </row>
    <row r="60" spans="1:7" hidden="1" x14ac:dyDescent="0.35">
      <c r="A60" t="s">
        <v>1632</v>
      </c>
      <c r="B60" t="s">
        <v>1361</v>
      </c>
      <c r="D60" t="s">
        <v>1465</v>
      </c>
      <c r="E60" t="s">
        <v>1487</v>
      </c>
      <c r="F60" t="s">
        <v>1633</v>
      </c>
      <c r="G60" t="s">
        <v>1458</v>
      </c>
    </row>
    <row r="61" spans="1:7" hidden="1" x14ac:dyDescent="0.35">
      <c r="A61" t="s">
        <v>1634</v>
      </c>
      <c r="B61" t="s">
        <v>1635</v>
      </c>
      <c r="D61" t="s">
        <v>1461</v>
      </c>
      <c r="E61" t="s">
        <v>1498</v>
      </c>
      <c r="F61" t="s">
        <v>1472</v>
      </c>
      <c r="G61" t="s">
        <v>1458</v>
      </c>
    </row>
    <row r="62" spans="1:7" hidden="1" x14ac:dyDescent="0.35">
      <c r="A62" t="s">
        <v>1636</v>
      </c>
      <c r="B62" t="s">
        <v>1637</v>
      </c>
      <c r="D62" t="s">
        <v>1461</v>
      </c>
      <c r="E62" t="s">
        <v>1466</v>
      </c>
      <c r="F62" t="s">
        <v>1631</v>
      </c>
      <c r="G62" t="s">
        <v>1458</v>
      </c>
    </row>
    <row r="63" spans="1:7" hidden="1" x14ac:dyDescent="0.35">
      <c r="A63" t="s">
        <v>1638</v>
      </c>
      <c r="B63" t="s">
        <v>1639</v>
      </c>
      <c r="D63" t="s">
        <v>1465</v>
      </c>
      <c r="E63" t="s">
        <v>1487</v>
      </c>
      <c r="F63" t="s">
        <v>1631</v>
      </c>
      <c r="G63" t="s">
        <v>1458</v>
      </c>
    </row>
    <row r="64" spans="1:7" hidden="1" x14ac:dyDescent="0.35">
      <c r="A64" t="s">
        <v>1640</v>
      </c>
      <c r="B64" t="s">
        <v>1641</v>
      </c>
      <c r="D64" t="s">
        <v>1461</v>
      </c>
      <c r="E64" t="s">
        <v>1487</v>
      </c>
      <c r="F64" t="s">
        <v>1472</v>
      </c>
      <c r="G64" t="s">
        <v>1458</v>
      </c>
    </row>
    <row r="65" spans="1:7" hidden="1" x14ac:dyDescent="0.35">
      <c r="A65" t="s">
        <v>1642</v>
      </c>
      <c r="B65" t="s">
        <v>1643</v>
      </c>
      <c r="D65" t="s">
        <v>1465</v>
      </c>
      <c r="E65" t="s">
        <v>1466</v>
      </c>
      <c r="F65" t="s">
        <v>1631</v>
      </c>
      <c r="G65" t="s">
        <v>1458</v>
      </c>
    </row>
    <row r="66" spans="1:7" hidden="1" x14ac:dyDescent="0.35">
      <c r="A66" t="s">
        <v>1644</v>
      </c>
      <c r="B66" t="s">
        <v>1378</v>
      </c>
      <c r="D66" t="s">
        <v>1465</v>
      </c>
      <c r="E66" t="s">
        <v>1487</v>
      </c>
      <c r="F66" t="s">
        <v>1645</v>
      </c>
      <c r="G66" t="s">
        <v>1458</v>
      </c>
    </row>
    <row r="67" spans="1:7" hidden="1" x14ac:dyDescent="0.35">
      <c r="A67" t="s">
        <v>1646</v>
      </c>
      <c r="B67" t="s">
        <v>1647</v>
      </c>
      <c r="D67" t="s">
        <v>1465</v>
      </c>
      <c r="E67" t="s">
        <v>1487</v>
      </c>
      <c r="F67" t="s">
        <v>1648</v>
      </c>
      <c r="G67" t="s">
        <v>1458</v>
      </c>
    </row>
    <row r="68" spans="1:7" hidden="1" x14ac:dyDescent="0.35">
      <c r="A68" t="s">
        <v>1649</v>
      </c>
      <c r="B68" t="s">
        <v>1650</v>
      </c>
      <c r="D68" t="s">
        <v>1461</v>
      </c>
      <c r="E68" t="s">
        <v>1487</v>
      </c>
      <c r="F68" t="s">
        <v>1594</v>
      </c>
      <c r="G68" t="s">
        <v>1458</v>
      </c>
    </row>
    <row r="69" spans="1:7" hidden="1" x14ac:dyDescent="0.35">
      <c r="A69" t="s">
        <v>1651</v>
      </c>
      <c r="B69" t="s">
        <v>1652</v>
      </c>
      <c r="D69" t="s">
        <v>1465</v>
      </c>
      <c r="E69" t="s">
        <v>1653</v>
      </c>
      <c r="F69" t="s">
        <v>1654</v>
      </c>
      <c r="G69" t="s">
        <v>1458</v>
      </c>
    </row>
    <row r="70" spans="1:7" hidden="1" x14ac:dyDescent="0.35">
      <c r="A70" t="s">
        <v>1655</v>
      </c>
      <c r="B70" t="s">
        <v>1656</v>
      </c>
      <c r="D70" t="s">
        <v>1472</v>
      </c>
      <c r="E70" t="s">
        <v>1653</v>
      </c>
      <c r="F70" t="s">
        <v>1594</v>
      </c>
      <c r="G70" t="s">
        <v>1458</v>
      </c>
    </row>
    <row r="71" spans="1:7" hidden="1" x14ac:dyDescent="0.35">
      <c r="A71" t="s">
        <v>1657</v>
      </c>
      <c r="B71" t="s">
        <v>1490</v>
      </c>
      <c r="D71" t="s">
        <v>1472</v>
      </c>
      <c r="E71" t="s">
        <v>1472</v>
      </c>
      <c r="F71" t="s">
        <v>1472</v>
      </c>
      <c r="G71" t="s">
        <v>1458</v>
      </c>
    </row>
    <row r="72" spans="1:7" hidden="1" x14ac:dyDescent="0.35">
      <c r="A72" t="s">
        <v>1658</v>
      </c>
      <c r="B72" t="s">
        <v>1659</v>
      </c>
      <c r="D72" t="s">
        <v>1465</v>
      </c>
      <c r="E72" t="s">
        <v>1487</v>
      </c>
      <c r="F72" t="s">
        <v>1660</v>
      </c>
      <c r="G72" t="s">
        <v>1458</v>
      </c>
    </row>
    <row r="73" spans="1:7" hidden="1" x14ac:dyDescent="0.35">
      <c r="A73" t="s">
        <v>1661</v>
      </c>
      <c r="B73" t="s">
        <v>71</v>
      </c>
      <c r="D73" t="s">
        <v>1465</v>
      </c>
      <c r="E73" t="s">
        <v>1487</v>
      </c>
      <c r="F73" t="s">
        <v>1660</v>
      </c>
      <c r="G73" t="s">
        <v>1458</v>
      </c>
    </row>
    <row r="74" spans="1:7" hidden="1" x14ac:dyDescent="0.35">
      <c r="A74" t="s">
        <v>1662</v>
      </c>
      <c r="B74" t="s">
        <v>1663</v>
      </c>
      <c r="D74" t="s">
        <v>1465</v>
      </c>
      <c r="E74" t="s">
        <v>1487</v>
      </c>
      <c r="F74" t="s">
        <v>1664</v>
      </c>
      <c r="G74" t="s">
        <v>1458</v>
      </c>
    </row>
    <row r="75" spans="1:7" hidden="1" x14ac:dyDescent="0.35">
      <c r="A75" t="s">
        <v>1665</v>
      </c>
      <c r="B75" t="s">
        <v>1361</v>
      </c>
      <c r="D75" t="s">
        <v>1465</v>
      </c>
      <c r="E75" t="s">
        <v>1487</v>
      </c>
      <c r="F75" t="s">
        <v>1660</v>
      </c>
      <c r="G75" t="s">
        <v>1458</v>
      </c>
    </row>
    <row r="76" spans="1:7" hidden="1" x14ac:dyDescent="0.35">
      <c r="A76" t="s">
        <v>1666</v>
      </c>
      <c r="B76" t="s">
        <v>1365</v>
      </c>
      <c r="D76" t="s">
        <v>1461</v>
      </c>
      <c r="E76" t="s">
        <v>1487</v>
      </c>
      <c r="F76" t="s">
        <v>1588</v>
      </c>
      <c r="G76" t="s">
        <v>1458</v>
      </c>
    </row>
    <row r="77" spans="1:7" hidden="1" x14ac:dyDescent="0.35">
      <c r="A77" t="s">
        <v>1667</v>
      </c>
      <c r="B77" t="s">
        <v>1668</v>
      </c>
      <c r="D77" t="s">
        <v>1472</v>
      </c>
      <c r="E77" t="s">
        <v>1587</v>
      </c>
      <c r="F77" t="s">
        <v>1472</v>
      </c>
      <c r="G77" t="s">
        <v>1458</v>
      </c>
    </row>
    <row r="78" spans="1:7" hidden="1" x14ac:dyDescent="0.35">
      <c r="A78" t="s">
        <v>1669</v>
      </c>
      <c r="B78" t="s">
        <v>1670</v>
      </c>
      <c r="D78" t="s">
        <v>1461</v>
      </c>
      <c r="E78" t="s">
        <v>1487</v>
      </c>
      <c r="F78" t="s">
        <v>1472</v>
      </c>
      <c r="G78" t="s">
        <v>1458</v>
      </c>
    </row>
    <row r="79" spans="1:7" hidden="1" x14ac:dyDescent="0.35">
      <c r="A79" t="s">
        <v>1671</v>
      </c>
      <c r="B79" t="s">
        <v>1672</v>
      </c>
      <c r="D79" t="s">
        <v>1673</v>
      </c>
      <c r="E79" t="s">
        <v>1487</v>
      </c>
      <c r="F79" t="s">
        <v>1472</v>
      </c>
      <c r="G79" t="s">
        <v>1458</v>
      </c>
    </row>
    <row r="80" spans="1:7" hidden="1" x14ac:dyDescent="0.35">
      <c r="A80" t="s">
        <v>1674</v>
      </c>
      <c r="B80" t="s">
        <v>1378</v>
      </c>
      <c r="D80" t="s">
        <v>1673</v>
      </c>
      <c r="E80" t="s">
        <v>1487</v>
      </c>
      <c r="F80" t="s">
        <v>1472</v>
      </c>
      <c r="G80" t="s">
        <v>1458</v>
      </c>
    </row>
    <row r="81" spans="1:7" hidden="1" x14ac:dyDescent="0.35">
      <c r="A81" t="s">
        <v>1675</v>
      </c>
      <c r="B81" t="s">
        <v>1676</v>
      </c>
      <c r="D81" t="s">
        <v>1465</v>
      </c>
      <c r="E81" t="s">
        <v>1487</v>
      </c>
      <c r="F81" t="s">
        <v>1472</v>
      </c>
      <c r="G81" t="s">
        <v>1458</v>
      </c>
    </row>
    <row r="82" spans="1:7" hidden="1" x14ac:dyDescent="0.35">
      <c r="A82" t="s">
        <v>1677</v>
      </c>
      <c r="B82" t="s">
        <v>1378</v>
      </c>
      <c r="D82" t="s">
        <v>1461</v>
      </c>
      <c r="E82" t="s">
        <v>1487</v>
      </c>
      <c r="F82" t="s">
        <v>1472</v>
      </c>
      <c r="G82" t="s">
        <v>1458</v>
      </c>
    </row>
    <row r="83" spans="1:7" hidden="1" x14ac:dyDescent="0.35">
      <c r="A83" t="s">
        <v>1678</v>
      </c>
      <c r="B83" t="s">
        <v>1355</v>
      </c>
      <c r="D83" t="s">
        <v>1461</v>
      </c>
      <c r="E83" t="s">
        <v>1487</v>
      </c>
      <c r="F83" t="s">
        <v>1679</v>
      </c>
      <c r="G83" t="s">
        <v>1458</v>
      </c>
    </row>
    <row r="84" spans="1:7" hidden="1" x14ac:dyDescent="0.35">
      <c r="A84" t="s">
        <v>1680</v>
      </c>
      <c r="B84" t="s">
        <v>1361</v>
      </c>
      <c r="D84" t="s">
        <v>1465</v>
      </c>
      <c r="E84" t="s">
        <v>1487</v>
      </c>
      <c r="F84" t="s">
        <v>1588</v>
      </c>
      <c r="G84" t="s">
        <v>1458</v>
      </c>
    </row>
    <row r="85" spans="1:7" hidden="1" x14ac:dyDescent="0.35">
      <c r="A85" t="s">
        <v>1681</v>
      </c>
      <c r="B85" t="s">
        <v>62</v>
      </c>
      <c r="D85" t="s">
        <v>1472</v>
      </c>
      <c r="E85" t="s">
        <v>1682</v>
      </c>
      <c r="F85" t="s">
        <v>1472</v>
      </c>
      <c r="G85" t="s">
        <v>1458</v>
      </c>
    </row>
    <row r="86" spans="1:7" hidden="1" x14ac:dyDescent="0.35">
      <c r="A86" t="s">
        <v>1683</v>
      </c>
      <c r="B86" t="s">
        <v>1684</v>
      </c>
      <c r="D86" t="s">
        <v>1472</v>
      </c>
      <c r="E86" t="s">
        <v>1487</v>
      </c>
      <c r="F86" t="s">
        <v>1625</v>
      </c>
      <c r="G86" t="s">
        <v>1458</v>
      </c>
    </row>
    <row r="87" spans="1:7" hidden="1" x14ac:dyDescent="0.35">
      <c r="A87" t="s">
        <v>1685</v>
      </c>
      <c r="B87" t="s">
        <v>1378</v>
      </c>
      <c r="D87" t="s">
        <v>1461</v>
      </c>
      <c r="E87" t="s">
        <v>1487</v>
      </c>
      <c r="F87" t="s">
        <v>1686</v>
      </c>
      <c r="G87" t="s">
        <v>1458</v>
      </c>
    </row>
    <row r="88" spans="1:7" hidden="1" x14ac:dyDescent="0.35">
      <c r="A88" t="s">
        <v>1687</v>
      </c>
      <c r="B88" t="s">
        <v>1688</v>
      </c>
      <c r="D88" t="s">
        <v>1479</v>
      </c>
      <c r="E88" t="s">
        <v>1472</v>
      </c>
      <c r="F88" t="s">
        <v>1472</v>
      </c>
      <c r="G88" t="s">
        <v>1458</v>
      </c>
    </row>
    <row r="89" spans="1:7" hidden="1" x14ac:dyDescent="0.35">
      <c r="A89" t="s">
        <v>1689</v>
      </c>
      <c r="B89" t="s">
        <v>1690</v>
      </c>
      <c r="D89" t="s">
        <v>1479</v>
      </c>
      <c r="E89" t="s">
        <v>1472</v>
      </c>
      <c r="F89" t="s">
        <v>1472</v>
      </c>
      <c r="G89" t="s">
        <v>1458</v>
      </c>
    </row>
    <row r="90" spans="1:7" hidden="1" x14ac:dyDescent="0.35">
      <c r="A90" t="s">
        <v>1691</v>
      </c>
      <c r="B90" t="s">
        <v>1692</v>
      </c>
      <c r="D90" t="s">
        <v>1465</v>
      </c>
      <c r="E90" t="s">
        <v>1532</v>
      </c>
      <c r="F90" t="s">
        <v>1693</v>
      </c>
      <c r="G90" t="s">
        <v>1458</v>
      </c>
    </row>
    <row r="91" spans="1:7" hidden="1" x14ac:dyDescent="0.35">
      <c r="A91" t="s">
        <v>1694</v>
      </c>
      <c r="B91" t="s">
        <v>1695</v>
      </c>
      <c r="D91" t="s">
        <v>1465</v>
      </c>
      <c r="E91" t="s">
        <v>1466</v>
      </c>
      <c r="F91" t="s">
        <v>1696</v>
      </c>
      <c r="G91" t="s">
        <v>1458</v>
      </c>
    </row>
    <row r="92" spans="1:7" hidden="1" x14ac:dyDescent="0.35">
      <c r="A92" t="s">
        <v>1697</v>
      </c>
      <c r="B92" t="s">
        <v>1695</v>
      </c>
      <c r="D92" t="s">
        <v>1465</v>
      </c>
      <c r="E92" t="s">
        <v>1466</v>
      </c>
      <c r="F92" t="s">
        <v>1698</v>
      </c>
      <c r="G92" t="s">
        <v>1458</v>
      </c>
    </row>
    <row r="93" spans="1:7" hidden="1" x14ac:dyDescent="0.35">
      <c r="A93" t="s">
        <v>1699</v>
      </c>
      <c r="B93" t="s">
        <v>1586</v>
      </c>
      <c r="D93" t="s">
        <v>1461</v>
      </c>
      <c r="E93" t="s">
        <v>1487</v>
      </c>
      <c r="F93" t="s">
        <v>1598</v>
      </c>
      <c r="G93" t="s">
        <v>1458</v>
      </c>
    </row>
    <row r="94" spans="1:7" hidden="1" x14ac:dyDescent="0.35">
      <c r="A94" t="s">
        <v>1700</v>
      </c>
      <c r="B94" t="s">
        <v>1701</v>
      </c>
      <c r="D94" t="s">
        <v>1465</v>
      </c>
      <c r="E94" t="s">
        <v>1702</v>
      </c>
      <c r="F94" t="s">
        <v>1703</v>
      </c>
      <c r="G94" t="s">
        <v>1458</v>
      </c>
    </row>
    <row r="95" spans="1:7" hidden="1" x14ac:dyDescent="0.35">
      <c r="A95" t="s">
        <v>1704</v>
      </c>
      <c r="B95" t="s">
        <v>1705</v>
      </c>
      <c r="D95" t="s">
        <v>1479</v>
      </c>
      <c r="E95" t="s">
        <v>1706</v>
      </c>
      <c r="F95" t="s">
        <v>1472</v>
      </c>
      <c r="G95" t="s">
        <v>1458</v>
      </c>
    </row>
    <row r="96" spans="1:7" hidden="1" x14ac:dyDescent="0.35">
      <c r="A96" t="s">
        <v>1707</v>
      </c>
      <c r="B96" t="s">
        <v>1708</v>
      </c>
      <c r="D96" t="s">
        <v>1709</v>
      </c>
      <c r="E96" t="s">
        <v>1471</v>
      </c>
      <c r="G96" t="s">
        <v>1458</v>
      </c>
    </row>
    <row r="97" spans="1:7" hidden="1" x14ac:dyDescent="0.35">
      <c r="A97" t="s">
        <v>1710</v>
      </c>
      <c r="B97" t="s">
        <v>1711</v>
      </c>
      <c r="D97" t="s">
        <v>1465</v>
      </c>
      <c r="E97" t="s">
        <v>1712</v>
      </c>
      <c r="F97" t="s">
        <v>1472</v>
      </c>
      <c r="G97" t="s">
        <v>1458</v>
      </c>
    </row>
    <row r="98" spans="1:7" hidden="1" x14ac:dyDescent="0.35">
      <c r="A98" t="s">
        <v>1713</v>
      </c>
      <c r="B98" t="s">
        <v>1714</v>
      </c>
      <c r="D98" t="s">
        <v>1465</v>
      </c>
      <c r="E98" t="s">
        <v>1566</v>
      </c>
      <c r="G98" t="s">
        <v>1458</v>
      </c>
    </row>
    <row r="99" spans="1:7" hidden="1" x14ac:dyDescent="0.35">
      <c r="A99" t="s">
        <v>1715</v>
      </c>
      <c r="B99" t="s">
        <v>1716</v>
      </c>
      <c r="D99" t="s">
        <v>1465</v>
      </c>
      <c r="E99" t="s">
        <v>1487</v>
      </c>
      <c r="G99" t="s">
        <v>1458</v>
      </c>
    </row>
    <row r="100" spans="1:7" hidden="1" x14ac:dyDescent="0.35">
      <c r="A100" t="s">
        <v>1616</v>
      </c>
      <c r="B100" t="s">
        <v>1717</v>
      </c>
      <c r="D100" t="s">
        <v>1465</v>
      </c>
      <c r="G100" t="s">
        <v>1458</v>
      </c>
    </row>
    <row r="101" spans="1:7" hidden="1" x14ac:dyDescent="0.35">
      <c r="A101" t="s">
        <v>1718</v>
      </c>
      <c r="B101" t="s">
        <v>1717</v>
      </c>
      <c r="D101" t="s">
        <v>1465</v>
      </c>
      <c r="E101" t="s">
        <v>1487</v>
      </c>
      <c r="G101" t="s">
        <v>1719</v>
      </c>
    </row>
    <row r="102" spans="1:7" hidden="1" x14ac:dyDescent="0.35">
      <c r="A102" t="s">
        <v>1537</v>
      </c>
      <c r="B102" t="s">
        <v>1538</v>
      </c>
      <c r="D102" t="s">
        <v>1479</v>
      </c>
      <c r="E102" t="s">
        <v>1720</v>
      </c>
      <c r="F102" t="s">
        <v>1472</v>
      </c>
      <c r="G102" t="s">
        <v>1719</v>
      </c>
    </row>
    <row r="103" spans="1:7" hidden="1" x14ac:dyDescent="0.35">
      <c r="A103" t="s">
        <v>1721</v>
      </c>
      <c r="B103" t="s">
        <v>1722</v>
      </c>
      <c r="D103" t="s">
        <v>1470</v>
      </c>
      <c r="E103" t="s">
        <v>1471</v>
      </c>
      <c r="F103" t="s">
        <v>1723</v>
      </c>
      <c r="G103" t="s">
        <v>1719</v>
      </c>
    </row>
    <row r="104" spans="1:7" hidden="1" x14ac:dyDescent="0.35">
      <c r="A104" t="s">
        <v>1724</v>
      </c>
      <c r="B104" t="s">
        <v>1725</v>
      </c>
      <c r="D104" t="s">
        <v>1461</v>
      </c>
      <c r="E104" t="s">
        <v>1726</v>
      </c>
      <c r="F104" t="s">
        <v>1727</v>
      </c>
      <c r="G104" t="s">
        <v>1728</v>
      </c>
    </row>
    <row r="105" spans="1:7" hidden="1" x14ac:dyDescent="0.35">
      <c r="A105" t="s">
        <v>1729</v>
      </c>
      <c r="B105" t="s">
        <v>1730</v>
      </c>
      <c r="D105" t="s">
        <v>1465</v>
      </c>
      <c r="E105" t="s">
        <v>1487</v>
      </c>
      <c r="G105" t="s">
        <v>1728</v>
      </c>
    </row>
    <row r="106" spans="1:7" hidden="1" x14ac:dyDescent="0.35">
      <c r="A106" t="s">
        <v>1731</v>
      </c>
      <c r="B106" t="s">
        <v>1732</v>
      </c>
      <c r="D106" t="s">
        <v>1465</v>
      </c>
      <c r="E106" t="s">
        <v>1466</v>
      </c>
      <c r="G106" t="s">
        <v>1458</v>
      </c>
    </row>
    <row r="107" spans="1:7" hidden="1" x14ac:dyDescent="0.35">
      <c r="A107" t="s">
        <v>1733</v>
      </c>
      <c r="B107" t="s">
        <v>1734</v>
      </c>
      <c r="D107" t="s">
        <v>1465</v>
      </c>
      <c r="E107" t="s">
        <v>1487</v>
      </c>
      <c r="G107" t="s">
        <v>1728</v>
      </c>
    </row>
    <row r="108" spans="1:7" hidden="1" x14ac:dyDescent="0.35">
      <c r="A108" t="s">
        <v>1735</v>
      </c>
      <c r="B108" t="s">
        <v>1736</v>
      </c>
      <c r="D108" t="s">
        <v>1465</v>
      </c>
      <c r="E108" t="s">
        <v>1737</v>
      </c>
      <c r="G108" t="s">
        <v>1728</v>
      </c>
    </row>
    <row r="109" spans="1:7" hidden="1" x14ac:dyDescent="0.35">
      <c r="A109" t="s">
        <v>1738</v>
      </c>
      <c r="B109" t="s">
        <v>1739</v>
      </c>
      <c r="D109" t="s">
        <v>1465</v>
      </c>
      <c r="E109" t="s">
        <v>1532</v>
      </c>
      <c r="F109" t="s">
        <v>1598</v>
      </c>
      <c r="G109" t="s">
        <v>1458</v>
      </c>
    </row>
    <row r="110" spans="1:7" hidden="1" x14ac:dyDescent="0.35">
      <c r="A110" t="s">
        <v>1740</v>
      </c>
      <c r="B110" t="s">
        <v>1741</v>
      </c>
      <c r="D110" t="s">
        <v>1465</v>
      </c>
      <c r="E110" t="s">
        <v>1487</v>
      </c>
      <c r="G110" t="s">
        <v>1728</v>
      </c>
    </row>
    <row r="111" spans="1:7" x14ac:dyDescent="0.35">
      <c r="A111" t="s">
        <v>1348</v>
      </c>
      <c r="B111" t="s">
        <v>1349</v>
      </c>
      <c r="D111" t="s">
        <v>1349</v>
      </c>
      <c r="E111" t="s">
        <v>1349</v>
      </c>
      <c r="F111" t="s">
        <v>1349</v>
      </c>
      <c r="G111" t="s">
        <v>1742</v>
      </c>
    </row>
    <row r="112" spans="1:7" x14ac:dyDescent="0.35">
      <c r="A112" t="s">
        <v>1350</v>
      </c>
      <c r="B112" t="s">
        <v>1351</v>
      </c>
      <c r="D112" t="s">
        <v>1743</v>
      </c>
      <c r="E112" t="s">
        <v>1743</v>
      </c>
      <c r="F112" t="s">
        <v>1743</v>
      </c>
      <c r="G112" t="s">
        <v>1742</v>
      </c>
    </row>
    <row r="113" spans="1:7" hidden="1" x14ac:dyDescent="0.35">
      <c r="A113" t="s">
        <v>1744</v>
      </c>
      <c r="B113" t="s">
        <v>1745</v>
      </c>
      <c r="C113" t="s">
        <v>1746</v>
      </c>
      <c r="D113" t="s">
        <v>1479</v>
      </c>
      <c r="E113" t="s">
        <v>1483</v>
      </c>
      <c r="F113" t="s">
        <v>1747</v>
      </c>
      <c r="G113" t="s">
        <v>1728</v>
      </c>
    </row>
    <row r="114" spans="1:7" hidden="1" x14ac:dyDescent="0.35">
      <c r="A114" t="s">
        <v>1748</v>
      </c>
      <c r="B114" t="s">
        <v>1749</v>
      </c>
      <c r="C114" t="s">
        <v>1750</v>
      </c>
      <c r="D114" t="s">
        <v>1751</v>
      </c>
      <c r="E114" t="s">
        <v>1483</v>
      </c>
      <c r="F114" t="s">
        <v>1752</v>
      </c>
      <c r="G114" t="s">
        <v>1458</v>
      </c>
    </row>
    <row r="115" spans="1:7" hidden="1" x14ac:dyDescent="0.35">
      <c r="A115" t="s">
        <v>1753</v>
      </c>
      <c r="B115" t="s">
        <v>1754</v>
      </c>
      <c r="D115" t="s">
        <v>1465</v>
      </c>
      <c r="E115" t="s">
        <v>1487</v>
      </c>
      <c r="F115" t="s">
        <v>1755</v>
      </c>
      <c r="G115" t="s">
        <v>1728</v>
      </c>
    </row>
    <row r="116" spans="1:7" hidden="1" x14ac:dyDescent="0.35">
      <c r="A116" t="s">
        <v>1756</v>
      </c>
      <c r="B116" t="s">
        <v>1757</v>
      </c>
      <c r="C116" t="s">
        <v>1758</v>
      </c>
      <c r="D116" t="s">
        <v>1759</v>
      </c>
      <c r="E116" t="s">
        <v>1466</v>
      </c>
      <c r="F116" t="s">
        <v>1760</v>
      </c>
      <c r="G116" t="s">
        <v>1728</v>
      </c>
    </row>
    <row r="117" spans="1:7" x14ac:dyDescent="0.35">
      <c r="A117" t="s">
        <v>56</v>
      </c>
      <c r="B117" t="s">
        <v>57</v>
      </c>
      <c r="C117" t="s">
        <v>1761</v>
      </c>
      <c r="D117" t="s">
        <v>1461</v>
      </c>
      <c r="E117" t="s">
        <v>1487</v>
      </c>
      <c r="F117" t="s">
        <v>1762</v>
      </c>
      <c r="G117" t="s">
        <v>1742</v>
      </c>
    </row>
    <row r="118" spans="1:7" hidden="1" x14ac:dyDescent="0.35">
      <c r="A118" t="s">
        <v>1763</v>
      </c>
      <c r="B118" t="s">
        <v>1764</v>
      </c>
      <c r="C118" t="s">
        <v>1750</v>
      </c>
      <c r="D118" t="s">
        <v>1465</v>
      </c>
      <c r="E118" t="s">
        <v>1487</v>
      </c>
      <c r="F118" t="s">
        <v>1463</v>
      </c>
      <c r="G118" t="s">
        <v>1458</v>
      </c>
    </row>
    <row r="119" spans="1:7" hidden="1" x14ac:dyDescent="0.35">
      <c r="A119" t="s">
        <v>1765</v>
      </c>
      <c r="B119" t="s">
        <v>1766</v>
      </c>
      <c r="D119" t="s">
        <v>1461</v>
      </c>
      <c r="E119" t="s">
        <v>1466</v>
      </c>
      <c r="F119" t="s">
        <v>1767</v>
      </c>
      <c r="G119" t="s">
        <v>1458</v>
      </c>
    </row>
    <row r="120" spans="1:7" hidden="1" x14ac:dyDescent="0.35">
      <c r="A120" t="s">
        <v>1768</v>
      </c>
      <c r="B120" t="s">
        <v>1516</v>
      </c>
      <c r="C120" t="s">
        <v>1769</v>
      </c>
      <c r="D120" t="s">
        <v>1465</v>
      </c>
      <c r="E120" t="s">
        <v>1487</v>
      </c>
      <c r="F120" t="s">
        <v>1770</v>
      </c>
      <c r="G120" t="s">
        <v>1458</v>
      </c>
    </row>
    <row r="121" spans="1:7" hidden="1" x14ac:dyDescent="0.35">
      <c r="A121" t="s">
        <v>1771</v>
      </c>
      <c r="B121" t="s">
        <v>1772</v>
      </c>
      <c r="C121" t="s">
        <v>1746</v>
      </c>
      <c r="D121" t="s">
        <v>1465</v>
      </c>
      <c r="E121" t="s">
        <v>1487</v>
      </c>
      <c r="F121" t="s">
        <v>1773</v>
      </c>
      <c r="G121" t="s">
        <v>1458</v>
      </c>
    </row>
    <row r="122" spans="1:7" hidden="1" x14ac:dyDescent="0.35">
      <c r="A122" t="s">
        <v>1774</v>
      </c>
      <c r="B122" t="s">
        <v>1725</v>
      </c>
      <c r="C122" t="s">
        <v>1746</v>
      </c>
      <c r="D122" t="s">
        <v>1465</v>
      </c>
      <c r="E122" t="s">
        <v>1487</v>
      </c>
      <c r="F122" t="s">
        <v>1775</v>
      </c>
      <c r="G122" t="s">
        <v>1458</v>
      </c>
    </row>
    <row r="123" spans="1:7" hidden="1" x14ac:dyDescent="0.35">
      <c r="A123" t="s">
        <v>1776</v>
      </c>
      <c r="B123" t="s">
        <v>1777</v>
      </c>
      <c r="C123" t="s">
        <v>1746</v>
      </c>
      <c r="D123" t="s">
        <v>1465</v>
      </c>
      <c r="E123" t="s">
        <v>1487</v>
      </c>
      <c r="F123" t="s">
        <v>1778</v>
      </c>
      <c r="G123" t="s">
        <v>1458</v>
      </c>
    </row>
    <row r="124" spans="1:7" hidden="1" x14ac:dyDescent="0.35">
      <c r="A124" t="s">
        <v>1779</v>
      </c>
      <c r="B124" t="s">
        <v>1780</v>
      </c>
      <c r="C124" t="s">
        <v>1746</v>
      </c>
      <c r="D124" t="s">
        <v>1465</v>
      </c>
      <c r="E124" t="s">
        <v>1487</v>
      </c>
      <c r="F124" t="s">
        <v>1778</v>
      </c>
      <c r="G124" t="s">
        <v>1458</v>
      </c>
    </row>
    <row r="125" spans="1:7" hidden="1" x14ac:dyDescent="0.35">
      <c r="A125" t="s">
        <v>1781</v>
      </c>
      <c r="B125" t="s">
        <v>1782</v>
      </c>
      <c r="C125" t="s">
        <v>1783</v>
      </c>
      <c r="D125" t="s">
        <v>1784</v>
      </c>
      <c r="E125" t="s">
        <v>1785</v>
      </c>
      <c r="F125" t="s">
        <v>1786</v>
      </c>
      <c r="G125" t="s">
        <v>1458</v>
      </c>
    </row>
    <row r="126" spans="1:7" hidden="1" x14ac:dyDescent="0.35">
      <c r="A126" t="s">
        <v>1787</v>
      </c>
      <c r="B126" t="s">
        <v>1788</v>
      </c>
      <c r="C126" t="s">
        <v>1789</v>
      </c>
      <c r="D126" t="s">
        <v>1461</v>
      </c>
      <c r="E126" t="s">
        <v>1457</v>
      </c>
      <c r="F126" t="s">
        <v>1463</v>
      </c>
      <c r="G126" t="s">
        <v>1458</v>
      </c>
    </row>
    <row r="127" spans="1:7" hidden="1" x14ac:dyDescent="0.35">
      <c r="A127" t="s">
        <v>1790</v>
      </c>
      <c r="B127" t="s">
        <v>1421</v>
      </c>
      <c r="C127" t="s">
        <v>1783</v>
      </c>
      <c r="D127" t="s">
        <v>1465</v>
      </c>
      <c r="E127" t="s">
        <v>1791</v>
      </c>
      <c r="F127" t="s">
        <v>1792</v>
      </c>
      <c r="G127" t="s">
        <v>1458</v>
      </c>
    </row>
    <row r="128" spans="1:7" hidden="1" x14ac:dyDescent="0.35">
      <c r="A128" t="s">
        <v>1793</v>
      </c>
      <c r="B128" t="s">
        <v>1794</v>
      </c>
      <c r="C128" t="s">
        <v>1795</v>
      </c>
      <c r="D128" t="s">
        <v>1796</v>
      </c>
      <c r="E128" t="s">
        <v>1566</v>
      </c>
      <c r="G128" t="s">
        <v>1458</v>
      </c>
    </row>
    <row r="129" spans="1:7" hidden="1" x14ac:dyDescent="0.35">
      <c r="A129" t="s">
        <v>1797</v>
      </c>
      <c r="B129" t="s">
        <v>1798</v>
      </c>
      <c r="C129" t="s">
        <v>1795</v>
      </c>
      <c r="D129" t="s">
        <v>1796</v>
      </c>
      <c r="E129" t="s">
        <v>1566</v>
      </c>
      <c r="F129" t="s">
        <v>1799</v>
      </c>
      <c r="G129" t="s">
        <v>1458</v>
      </c>
    </row>
    <row r="130" spans="1:7" hidden="1" x14ac:dyDescent="0.35">
      <c r="A130" t="s">
        <v>1800</v>
      </c>
      <c r="B130" t="s">
        <v>1801</v>
      </c>
      <c r="C130" t="s">
        <v>1795</v>
      </c>
      <c r="D130" t="s">
        <v>1796</v>
      </c>
      <c r="E130" t="s">
        <v>1466</v>
      </c>
      <c r="F130" t="s">
        <v>1802</v>
      </c>
      <c r="G130" t="s">
        <v>1728</v>
      </c>
    </row>
    <row r="131" spans="1:7" hidden="1" x14ac:dyDescent="0.35">
      <c r="A131" t="s">
        <v>1803</v>
      </c>
      <c r="B131" t="s">
        <v>1804</v>
      </c>
      <c r="C131" t="s">
        <v>1805</v>
      </c>
      <c r="D131" t="s">
        <v>1796</v>
      </c>
      <c r="E131" t="s">
        <v>1806</v>
      </c>
      <c r="F131" t="s">
        <v>1807</v>
      </c>
      <c r="G131" t="s">
        <v>1728</v>
      </c>
    </row>
    <row r="132" spans="1:7" hidden="1" x14ac:dyDescent="0.35">
      <c r="A132" t="s">
        <v>1808</v>
      </c>
      <c r="B132" t="s">
        <v>1809</v>
      </c>
      <c r="C132" t="s">
        <v>1795</v>
      </c>
      <c r="D132" t="s">
        <v>1810</v>
      </c>
      <c r="E132" t="s">
        <v>1487</v>
      </c>
      <c r="F132" t="s">
        <v>1811</v>
      </c>
      <c r="G132" t="s">
        <v>1458</v>
      </c>
    </row>
    <row r="133" spans="1:7" hidden="1" x14ac:dyDescent="0.35">
      <c r="A133" t="s">
        <v>1812</v>
      </c>
      <c r="B133" t="s">
        <v>1813</v>
      </c>
      <c r="C133" t="s">
        <v>1814</v>
      </c>
      <c r="D133" t="s">
        <v>1815</v>
      </c>
      <c r="E133" t="s">
        <v>1816</v>
      </c>
      <c r="F133" t="s">
        <v>1817</v>
      </c>
      <c r="G133" t="s">
        <v>1458</v>
      </c>
    </row>
    <row r="134" spans="1:7" hidden="1" x14ac:dyDescent="0.35">
      <c r="A134" t="s">
        <v>1818</v>
      </c>
      <c r="B134" t="s">
        <v>1378</v>
      </c>
      <c r="C134" t="s">
        <v>1819</v>
      </c>
      <c r="D134" t="s">
        <v>1465</v>
      </c>
      <c r="E134" t="s">
        <v>1487</v>
      </c>
      <c r="F134" t="s">
        <v>1820</v>
      </c>
      <c r="G134" t="s">
        <v>1458</v>
      </c>
    </row>
    <row r="135" spans="1:7" hidden="1" x14ac:dyDescent="0.35">
      <c r="A135" t="s">
        <v>1821</v>
      </c>
      <c r="B135" t="s">
        <v>1822</v>
      </c>
      <c r="C135" t="s">
        <v>1823</v>
      </c>
      <c r="D135" t="s">
        <v>1796</v>
      </c>
      <c r="E135" t="s">
        <v>1487</v>
      </c>
      <c r="F135" t="s">
        <v>1598</v>
      </c>
      <c r="G135" t="s">
        <v>1458</v>
      </c>
    </row>
    <row r="136" spans="1:7" hidden="1" x14ac:dyDescent="0.35">
      <c r="A136" t="s">
        <v>1824</v>
      </c>
      <c r="B136" t="s">
        <v>1825</v>
      </c>
      <c r="C136" t="s">
        <v>1826</v>
      </c>
      <c r="D136" t="s">
        <v>1796</v>
      </c>
      <c r="E136" t="s">
        <v>1487</v>
      </c>
      <c r="F136" t="s">
        <v>1612</v>
      </c>
      <c r="G136" t="s">
        <v>1458</v>
      </c>
    </row>
    <row r="137" spans="1:7" hidden="1" x14ac:dyDescent="0.35">
      <c r="A137" t="s">
        <v>1827</v>
      </c>
      <c r="B137" t="s">
        <v>1828</v>
      </c>
      <c r="C137" t="s">
        <v>1829</v>
      </c>
      <c r="D137" t="s">
        <v>1796</v>
      </c>
      <c r="E137" t="s">
        <v>1487</v>
      </c>
      <c r="F137" t="s">
        <v>1830</v>
      </c>
      <c r="G137" t="s">
        <v>1458</v>
      </c>
    </row>
    <row r="138" spans="1:7" hidden="1" x14ac:dyDescent="0.35">
      <c r="A138" t="s">
        <v>1831</v>
      </c>
      <c r="B138" t="s">
        <v>1832</v>
      </c>
      <c r="C138" t="s">
        <v>1833</v>
      </c>
      <c r="D138" t="s">
        <v>1796</v>
      </c>
      <c r="E138" t="s">
        <v>1466</v>
      </c>
      <c r="F138" t="s">
        <v>1834</v>
      </c>
      <c r="G138" t="s">
        <v>1458</v>
      </c>
    </row>
    <row r="139" spans="1:7" hidden="1" x14ac:dyDescent="0.35">
      <c r="A139" t="s">
        <v>1835</v>
      </c>
      <c r="B139" t="s">
        <v>1836</v>
      </c>
      <c r="C139" t="s">
        <v>1833</v>
      </c>
      <c r="D139" t="s">
        <v>1796</v>
      </c>
      <c r="E139" t="s">
        <v>1466</v>
      </c>
      <c r="F139" t="s">
        <v>1476</v>
      </c>
      <c r="G139" t="s">
        <v>1458</v>
      </c>
    </row>
    <row r="140" spans="1:7" hidden="1" x14ac:dyDescent="0.35">
      <c r="A140" t="s">
        <v>1837</v>
      </c>
      <c r="B140" t="s">
        <v>64</v>
      </c>
      <c r="C140" t="s">
        <v>1829</v>
      </c>
      <c r="D140" t="s">
        <v>1461</v>
      </c>
      <c r="E140" t="s">
        <v>1487</v>
      </c>
      <c r="F140" t="s">
        <v>1612</v>
      </c>
      <c r="G140" t="s">
        <v>1458</v>
      </c>
    </row>
    <row r="141" spans="1:7" hidden="1" x14ac:dyDescent="0.35">
      <c r="A141" t="s">
        <v>1838</v>
      </c>
      <c r="B141" t="s">
        <v>1839</v>
      </c>
      <c r="C141" t="s">
        <v>1826</v>
      </c>
      <c r="D141" t="s">
        <v>1461</v>
      </c>
      <c r="E141" t="s">
        <v>1785</v>
      </c>
      <c r="F141" t="s">
        <v>1840</v>
      </c>
      <c r="G141" t="s">
        <v>1458</v>
      </c>
    </row>
    <row r="142" spans="1:7" hidden="1" x14ac:dyDescent="0.35">
      <c r="A142" t="s">
        <v>1841</v>
      </c>
      <c r="B142" t="s">
        <v>1842</v>
      </c>
      <c r="C142" t="s">
        <v>1829</v>
      </c>
      <c r="D142" t="s">
        <v>1796</v>
      </c>
      <c r="E142" t="s">
        <v>1487</v>
      </c>
      <c r="F142" t="s">
        <v>1843</v>
      </c>
      <c r="G142" t="s">
        <v>1458</v>
      </c>
    </row>
    <row r="143" spans="1:7" hidden="1" x14ac:dyDescent="0.35">
      <c r="A143" t="s">
        <v>1844</v>
      </c>
      <c r="B143" t="s">
        <v>1845</v>
      </c>
      <c r="C143" t="s">
        <v>1846</v>
      </c>
      <c r="D143" t="s">
        <v>1810</v>
      </c>
      <c r="E143" t="s">
        <v>1487</v>
      </c>
      <c r="F143" t="s">
        <v>1773</v>
      </c>
      <c r="G143" t="s">
        <v>1458</v>
      </c>
    </row>
    <row r="144" spans="1:7" hidden="1" x14ac:dyDescent="0.35">
      <c r="A144" t="s">
        <v>1847</v>
      </c>
      <c r="B144" t="s">
        <v>1848</v>
      </c>
      <c r="C144" t="s">
        <v>1849</v>
      </c>
      <c r="D144" t="s">
        <v>1815</v>
      </c>
      <c r="E144" t="s">
        <v>1816</v>
      </c>
      <c r="F144" t="s">
        <v>1817</v>
      </c>
      <c r="G144" t="s">
        <v>1458</v>
      </c>
    </row>
    <row r="145" spans="1:7" hidden="1" x14ac:dyDescent="0.35">
      <c r="A145" t="s">
        <v>1850</v>
      </c>
      <c r="B145" t="s">
        <v>1851</v>
      </c>
      <c r="C145" t="s">
        <v>1852</v>
      </c>
      <c r="D145" t="s">
        <v>1810</v>
      </c>
      <c r="E145" t="s">
        <v>1487</v>
      </c>
      <c r="F145" t="s">
        <v>1773</v>
      </c>
      <c r="G145" t="s">
        <v>1458</v>
      </c>
    </row>
    <row r="146" spans="1:7" hidden="1" x14ac:dyDescent="0.35">
      <c r="A146" t="s">
        <v>1853</v>
      </c>
      <c r="B146" t="s">
        <v>1813</v>
      </c>
      <c r="C146" t="s">
        <v>1829</v>
      </c>
      <c r="D146" t="s">
        <v>1810</v>
      </c>
      <c r="E146" t="s">
        <v>1466</v>
      </c>
      <c r="F146" t="s">
        <v>1598</v>
      </c>
      <c r="G146" t="s">
        <v>1458</v>
      </c>
    </row>
    <row r="147" spans="1:7" hidden="1" x14ac:dyDescent="0.35">
      <c r="A147" t="s">
        <v>1854</v>
      </c>
      <c r="B147" t="s">
        <v>1855</v>
      </c>
      <c r="C147" t="s">
        <v>1761</v>
      </c>
      <c r="D147" t="s">
        <v>1810</v>
      </c>
      <c r="E147" t="s">
        <v>1487</v>
      </c>
      <c r="F147" t="s">
        <v>1762</v>
      </c>
      <c r="G147" t="s">
        <v>1458</v>
      </c>
    </row>
    <row r="148" spans="1:7" hidden="1" x14ac:dyDescent="0.35">
      <c r="A148" t="s">
        <v>1856</v>
      </c>
      <c r="B148" t="s">
        <v>1813</v>
      </c>
      <c r="C148" t="s">
        <v>1857</v>
      </c>
      <c r="D148" t="s">
        <v>1810</v>
      </c>
      <c r="E148" t="s">
        <v>1858</v>
      </c>
      <c r="F148" t="s">
        <v>1859</v>
      </c>
      <c r="G148" t="s">
        <v>1458</v>
      </c>
    </row>
    <row r="149" spans="1:7" hidden="1" x14ac:dyDescent="0.35">
      <c r="A149" t="s">
        <v>1860</v>
      </c>
      <c r="B149" t="s">
        <v>1861</v>
      </c>
      <c r="C149" t="s">
        <v>1862</v>
      </c>
      <c r="D149" t="s">
        <v>1810</v>
      </c>
      <c r="E149" t="s">
        <v>1487</v>
      </c>
      <c r="F149" t="s">
        <v>1863</v>
      </c>
      <c r="G149" t="s">
        <v>1728</v>
      </c>
    </row>
    <row r="150" spans="1:7" hidden="1" x14ac:dyDescent="0.35">
      <c r="A150" t="s">
        <v>1864</v>
      </c>
      <c r="B150" t="s">
        <v>1865</v>
      </c>
      <c r="C150" t="s">
        <v>1862</v>
      </c>
      <c r="D150" t="s">
        <v>1465</v>
      </c>
      <c r="E150" t="s">
        <v>1487</v>
      </c>
      <c r="F150" t="s">
        <v>1866</v>
      </c>
      <c r="G150" t="s">
        <v>1458</v>
      </c>
    </row>
    <row r="151" spans="1:7" hidden="1" x14ac:dyDescent="0.35">
      <c r="A151" t="s">
        <v>1867</v>
      </c>
      <c r="B151" t="s">
        <v>1868</v>
      </c>
      <c r="C151" t="s">
        <v>1869</v>
      </c>
      <c r="D151" t="s">
        <v>1870</v>
      </c>
      <c r="E151" t="s">
        <v>1532</v>
      </c>
      <c r="F151" t="s">
        <v>1598</v>
      </c>
      <c r="G151" t="s">
        <v>1458</v>
      </c>
    </row>
    <row r="152" spans="1:7" hidden="1" x14ac:dyDescent="0.35">
      <c r="A152" t="s">
        <v>1871</v>
      </c>
      <c r="B152" t="s">
        <v>1832</v>
      </c>
      <c r="C152" t="s">
        <v>1869</v>
      </c>
      <c r="D152" t="s">
        <v>1870</v>
      </c>
      <c r="E152" t="s">
        <v>1532</v>
      </c>
      <c r="F152" t="s">
        <v>1872</v>
      </c>
      <c r="G152" t="s">
        <v>1458</v>
      </c>
    </row>
    <row r="153" spans="1:7" hidden="1" x14ac:dyDescent="0.35">
      <c r="A153" t="s">
        <v>1873</v>
      </c>
      <c r="B153" t="s">
        <v>1874</v>
      </c>
      <c r="C153" t="s">
        <v>1829</v>
      </c>
      <c r="D153" t="s">
        <v>1870</v>
      </c>
      <c r="E153" t="s">
        <v>1532</v>
      </c>
      <c r="F153" t="s">
        <v>1875</v>
      </c>
      <c r="G153" t="s">
        <v>1728</v>
      </c>
    </row>
    <row r="154" spans="1:7" x14ac:dyDescent="0.35">
      <c r="A154" t="s">
        <v>58</v>
      </c>
      <c r="B154" t="s">
        <v>59</v>
      </c>
      <c r="C154" t="s">
        <v>1846</v>
      </c>
      <c r="D154" t="s">
        <v>1810</v>
      </c>
      <c r="E154" t="s">
        <v>1532</v>
      </c>
      <c r="F154" t="s">
        <v>1598</v>
      </c>
      <c r="G154" t="s">
        <v>1742</v>
      </c>
    </row>
    <row r="155" spans="1:7" hidden="1" x14ac:dyDescent="0.35">
      <c r="A155" t="s">
        <v>1876</v>
      </c>
      <c r="B155" t="s">
        <v>1877</v>
      </c>
      <c r="C155" t="s">
        <v>1829</v>
      </c>
      <c r="D155" t="s">
        <v>1878</v>
      </c>
      <c r="E155" t="s">
        <v>1487</v>
      </c>
      <c r="F155" t="s">
        <v>1598</v>
      </c>
      <c r="G155" t="s">
        <v>1728</v>
      </c>
    </row>
    <row r="156" spans="1:7" hidden="1" x14ac:dyDescent="0.35">
      <c r="A156" t="s">
        <v>1879</v>
      </c>
      <c r="B156" t="s">
        <v>1880</v>
      </c>
      <c r="C156" t="s">
        <v>1829</v>
      </c>
      <c r="D156" t="s">
        <v>1870</v>
      </c>
      <c r="E156" t="s">
        <v>1532</v>
      </c>
      <c r="F156" t="s">
        <v>1866</v>
      </c>
      <c r="G156" t="s">
        <v>1728</v>
      </c>
    </row>
    <row r="157" spans="1:7" hidden="1" x14ac:dyDescent="0.35">
      <c r="A157" t="s">
        <v>1881</v>
      </c>
      <c r="B157" t="s">
        <v>1379</v>
      </c>
      <c r="C157" t="s">
        <v>1882</v>
      </c>
      <c r="D157" t="s">
        <v>1878</v>
      </c>
      <c r="E157" t="s">
        <v>1532</v>
      </c>
      <c r="F157" t="s">
        <v>1883</v>
      </c>
      <c r="G157" t="s">
        <v>1728</v>
      </c>
    </row>
    <row r="158" spans="1:7" hidden="1" x14ac:dyDescent="0.35">
      <c r="A158" t="s">
        <v>1884</v>
      </c>
      <c r="B158" t="s">
        <v>1885</v>
      </c>
      <c r="C158" t="s">
        <v>1886</v>
      </c>
      <c r="D158" t="s">
        <v>1887</v>
      </c>
      <c r="E158" t="s">
        <v>1466</v>
      </c>
      <c r="F158" t="s">
        <v>1888</v>
      </c>
      <c r="G158" t="s">
        <v>1458</v>
      </c>
    </row>
    <row r="159" spans="1:7" hidden="1" x14ac:dyDescent="0.35">
      <c r="A159" t="s">
        <v>1889</v>
      </c>
      <c r="B159" t="s">
        <v>62</v>
      </c>
      <c r="C159" t="s">
        <v>1829</v>
      </c>
      <c r="D159" t="s">
        <v>1810</v>
      </c>
      <c r="E159" t="s">
        <v>1532</v>
      </c>
      <c r="F159" t="s">
        <v>1612</v>
      </c>
      <c r="G159" t="s">
        <v>1458</v>
      </c>
    </row>
    <row r="160" spans="1:7" hidden="1" x14ac:dyDescent="0.35">
      <c r="A160" t="s">
        <v>1890</v>
      </c>
      <c r="B160" t="s">
        <v>1891</v>
      </c>
      <c r="C160" t="s">
        <v>1892</v>
      </c>
      <c r="D160" t="s">
        <v>1465</v>
      </c>
      <c r="E160" t="s">
        <v>1462</v>
      </c>
      <c r="F160" t="s">
        <v>1893</v>
      </c>
      <c r="G160" t="s">
        <v>1728</v>
      </c>
    </row>
    <row r="161" spans="1:7" hidden="1" x14ac:dyDescent="0.35">
      <c r="A161" t="s">
        <v>1894</v>
      </c>
      <c r="B161" t="s">
        <v>1895</v>
      </c>
      <c r="C161" t="s">
        <v>1896</v>
      </c>
      <c r="D161" t="s">
        <v>1465</v>
      </c>
      <c r="E161" t="s">
        <v>1532</v>
      </c>
      <c r="F161" t="s">
        <v>1612</v>
      </c>
      <c r="G161" t="s">
        <v>1458</v>
      </c>
    </row>
    <row r="162" spans="1:7" hidden="1" x14ac:dyDescent="0.35">
      <c r="A162" t="s">
        <v>1897</v>
      </c>
      <c r="B162" t="s">
        <v>62</v>
      </c>
      <c r="C162" t="s">
        <v>1829</v>
      </c>
      <c r="D162" t="s">
        <v>1810</v>
      </c>
      <c r="E162" t="s">
        <v>1532</v>
      </c>
      <c r="F162" t="s">
        <v>1612</v>
      </c>
      <c r="G162" t="s">
        <v>1458</v>
      </c>
    </row>
    <row r="163" spans="1:7" hidden="1" x14ac:dyDescent="0.35">
      <c r="A163" t="s">
        <v>1898</v>
      </c>
      <c r="B163" t="s">
        <v>1899</v>
      </c>
      <c r="C163" t="s">
        <v>1896</v>
      </c>
      <c r="D163" t="s">
        <v>1900</v>
      </c>
      <c r="E163" t="s">
        <v>1901</v>
      </c>
      <c r="F163" t="s">
        <v>1598</v>
      </c>
      <c r="G163" t="s">
        <v>1458</v>
      </c>
    </row>
    <row r="164" spans="1:7" hidden="1" x14ac:dyDescent="0.35">
      <c r="A164" t="s">
        <v>1902</v>
      </c>
      <c r="B164" t="s">
        <v>1903</v>
      </c>
      <c r="C164" t="s">
        <v>1829</v>
      </c>
      <c r="D164" t="s">
        <v>1810</v>
      </c>
      <c r="E164" t="s">
        <v>1901</v>
      </c>
      <c r="F164" t="s">
        <v>1904</v>
      </c>
      <c r="G164" t="s">
        <v>1728</v>
      </c>
    </row>
    <row r="165" spans="1:7" hidden="1" x14ac:dyDescent="0.35">
      <c r="A165" t="s">
        <v>60</v>
      </c>
      <c r="B165" t="s">
        <v>1905</v>
      </c>
      <c r="C165" t="s">
        <v>1857</v>
      </c>
      <c r="D165" t="s">
        <v>1810</v>
      </c>
      <c r="E165" t="s">
        <v>1906</v>
      </c>
      <c r="F165" t="s">
        <v>1888</v>
      </c>
      <c r="G165" t="s">
        <v>1458</v>
      </c>
    </row>
    <row r="166" spans="1:7" hidden="1" x14ac:dyDescent="0.35">
      <c r="A166" t="s">
        <v>1907</v>
      </c>
      <c r="B166" t="s">
        <v>1908</v>
      </c>
      <c r="C166" t="s">
        <v>1896</v>
      </c>
      <c r="D166" t="s">
        <v>1810</v>
      </c>
      <c r="E166" t="s">
        <v>1909</v>
      </c>
      <c r="F166" t="s">
        <v>1910</v>
      </c>
      <c r="G166" t="s">
        <v>1458</v>
      </c>
    </row>
    <row r="167" spans="1:7" hidden="1" x14ac:dyDescent="0.35">
      <c r="A167" t="s">
        <v>61</v>
      </c>
      <c r="B167" t="s">
        <v>1911</v>
      </c>
      <c r="C167" t="s">
        <v>1912</v>
      </c>
      <c r="D167" t="s">
        <v>1479</v>
      </c>
      <c r="E167" t="s">
        <v>1483</v>
      </c>
      <c r="F167" t="s">
        <v>1872</v>
      </c>
      <c r="G167" t="s">
        <v>1458</v>
      </c>
    </row>
    <row r="168" spans="1:7" hidden="1" x14ac:dyDescent="0.35">
      <c r="A168" t="s">
        <v>1913</v>
      </c>
      <c r="B168" t="s">
        <v>1914</v>
      </c>
      <c r="C168" t="s">
        <v>1912</v>
      </c>
      <c r="D168" t="s">
        <v>1810</v>
      </c>
      <c r="E168" t="s">
        <v>1532</v>
      </c>
      <c r="F168" t="s">
        <v>1612</v>
      </c>
      <c r="G168" t="s">
        <v>1458</v>
      </c>
    </row>
    <row r="169" spans="1:7" x14ac:dyDescent="0.35">
      <c r="A169" t="s">
        <v>4</v>
      </c>
      <c r="B169" t="s">
        <v>62</v>
      </c>
      <c r="C169" t="s">
        <v>1829</v>
      </c>
      <c r="D169" t="s">
        <v>1810</v>
      </c>
      <c r="E169" t="s">
        <v>1532</v>
      </c>
      <c r="F169" t="s">
        <v>1915</v>
      </c>
      <c r="G169" t="s">
        <v>1742</v>
      </c>
    </row>
    <row r="170" spans="1:7" x14ac:dyDescent="0.35">
      <c r="A170" t="s">
        <v>63</v>
      </c>
      <c r="B170" t="s">
        <v>64</v>
      </c>
      <c r="C170" t="s">
        <v>1916</v>
      </c>
      <c r="D170" t="s">
        <v>1810</v>
      </c>
      <c r="E170" t="s">
        <v>1532</v>
      </c>
      <c r="F170" t="s">
        <v>1762</v>
      </c>
      <c r="G170" t="s">
        <v>1742</v>
      </c>
    </row>
    <row r="171" spans="1:7" hidden="1" x14ac:dyDescent="0.35">
      <c r="A171" t="s">
        <v>1148</v>
      </c>
      <c r="B171" t="s">
        <v>1917</v>
      </c>
      <c r="C171" t="s">
        <v>1829</v>
      </c>
      <c r="D171" t="s">
        <v>1810</v>
      </c>
      <c r="E171" t="s">
        <v>1532</v>
      </c>
      <c r="F171" t="s">
        <v>1918</v>
      </c>
      <c r="G171" t="s">
        <v>1458</v>
      </c>
    </row>
    <row r="172" spans="1:7" hidden="1" x14ac:dyDescent="0.35">
      <c r="A172" t="s">
        <v>65</v>
      </c>
      <c r="B172" t="s">
        <v>1919</v>
      </c>
      <c r="C172" t="s">
        <v>1746</v>
      </c>
      <c r="D172" t="s">
        <v>1465</v>
      </c>
      <c r="E172" t="s">
        <v>1532</v>
      </c>
      <c r="F172" t="s">
        <v>1773</v>
      </c>
      <c r="G172" t="s">
        <v>1458</v>
      </c>
    </row>
    <row r="173" spans="1:7" hidden="1" x14ac:dyDescent="0.35">
      <c r="A173" t="s">
        <v>1920</v>
      </c>
      <c r="B173" t="s">
        <v>1921</v>
      </c>
      <c r="C173" t="s">
        <v>1922</v>
      </c>
      <c r="D173" t="s">
        <v>1923</v>
      </c>
      <c r="E173" t="s">
        <v>1487</v>
      </c>
      <c r="F173" t="s">
        <v>1773</v>
      </c>
      <c r="G173" t="s">
        <v>1728</v>
      </c>
    </row>
    <row r="174" spans="1:7" hidden="1" x14ac:dyDescent="0.35">
      <c r="A174" t="s">
        <v>1924</v>
      </c>
      <c r="B174" t="s">
        <v>1925</v>
      </c>
      <c r="C174" t="s">
        <v>1926</v>
      </c>
      <c r="D174" t="s">
        <v>1810</v>
      </c>
      <c r="E174" t="s">
        <v>1487</v>
      </c>
      <c r="F174" t="s">
        <v>1588</v>
      </c>
      <c r="G174" t="s">
        <v>1458</v>
      </c>
    </row>
    <row r="175" spans="1:7" x14ac:dyDescent="0.35">
      <c r="A175" t="s">
        <v>66</v>
      </c>
      <c r="B175" t="s">
        <v>67</v>
      </c>
      <c r="C175" t="s">
        <v>1927</v>
      </c>
      <c r="D175" t="s">
        <v>1928</v>
      </c>
      <c r="E175" t="s">
        <v>1532</v>
      </c>
      <c r="F175" t="s">
        <v>1664</v>
      </c>
      <c r="G175" t="s">
        <v>1742</v>
      </c>
    </row>
    <row r="176" spans="1:7" x14ac:dyDescent="0.35">
      <c r="A176" t="s">
        <v>68</v>
      </c>
      <c r="B176" t="s">
        <v>69</v>
      </c>
      <c r="C176" t="s">
        <v>1926</v>
      </c>
      <c r="D176" t="s">
        <v>1928</v>
      </c>
      <c r="E176" t="s">
        <v>1532</v>
      </c>
      <c r="F176" t="s">
        <v>1664</v>
      </c>
      <c r="G176" t="s">
        <v>1742</v>
      </c>
    </row>
    <row r="177" spans="1:7" hidden="1" x14ac:dyDescent="0.35">
      <c r="A177" t="s">
        <v>1929</v>
      </c>
      <c r="B177" t="s">
        <v>1930</v>
      </c>
      <c r="C177" t="s">
        <v>1927</v>
      </c>
      <c r="D177" t="s">
        <v>1928</v>
      </c>
      <c r="E177" t="s">
        <v>1532</v>
      </c>
      <c r="F177" t="s">
        <v>1664</v>
      </c>
      <c r="G177" t="s">
        <v>1458</v>
      </c>
    </row>
    <row r="178" spans="1:7" hidden="1" x14ac:dyDescent="0.35">
      <c r="A178" t="s">
        <v>1931</v>
      </c>
      <c r="B178" t="s">
        <v>1932</v>
      </c>
      <c r="C178" t="s">
        <v>1829</v>
      </c>
      <c r="D178" t="s">
        <v>1933</v>
      </c>
      <c r="E178" t="s">
        <v>1532</v>
      </c>
      <c r="F178" t="s">
        <v>1598</v>
      </c>
      <c r="G178" t="s">
        <v>1728</v>
      </c>
    </row>
    <row r="179" spans="1:7" hidden="1" x14ac:dyDescent="0.35">
      <c r="A179" t="s">
        <v>1934</v>
      </c>
      <c r="B179" t="s">
        <v>1935</v>
      </c>
      <c r="C179" t="s">
        <v>1829</v>
      </c>
      <c r="D179" t="s">
        <v>1933</v>
      </c>
      <c r="E179" t="s">
        <v>1532</v>
      </c>
      <c r="F179" t="s">
        <v>1598</v>
      </c>
      <c r="G179" t="s">
        <v>1728</v>
      </c>
    </row>
    <row r="180" spans="1:7" hidden="1" x14ac:dyDescent="0.35">
      <c r="A180" t="s">
        <v>1936</v>
      </c>
      <c r="B180" t="s">
        <v>1937</v>
      </c>
      <c r="C180" t="s">
        <v>1829</v>
      </c>
      <c r="D180" t="s">
        <v>1933</v>
      </c>
      <c r="E180" t="s">
        <v>1532</v>
      </c>
      <c r="F180" t="s">
        <v>1598</v>
      </c>
      <c r="G180" t="s">
        <v>1728</v>
      </c>
    </row>
    <row r="181" spans="1:7" x14ac:dyDescent="0.35">
      <c r="A181" t="s">
        <v>70</v>
      </c>
      <c r="B181" t="s">
        <v>71</v>
      </c>
      <c r="C181" t="s">
        <v>1829</v>
      </c>
      <c r="D181" t="s">
        <v>1928</v>
      </c>
      <c r="E181" t="s">
        <v>1532</v>
      </c>
      <c r="F181" t="s">
        <v>1463</v>
      </c>
      <c r="G181" t="s">
        <v>1742</v>
      </c>
    </row>
    <row r="182" spans="1:7" hidden="1" x14ac:dyDescent="0.35">
      <c r="A182" t="s">
        <v>1938</v>
      </c>
      <c r="B182" t="s">
        <v>1939</v>
      </c>
      <c r="C182" t="s">
        <v>1940</v>
      </c>
      <c r="D182" t="s">
        <v>1810</v>
      </c>
      <c r="E182" t="s">
        <v>1941</v>
      </c>
      <c r="F182" t="s">
        <v>1942</v>
      </c>
      <c r="G182" t="s">
        <v>1458</v>
      </c>
    </row>
    <row r="183" spans="1:7" hidden="1" x14ac:dyDescent="0.35">
      <c r="A183" t="s">
        <v>1943</v>
      </c>
      <c r="B183" t="s">
        <v>1944</v>
      </c>
      <c r="C183" t="s">
        <v>1945</v>
      </c>
      <c r="D183" t="s">
        <v>1933</v>
      </c>
      <c r="E183" t="s">
        <v>1487</v>
      </c>
      <c r="F183" t="s">
        <v>1463</v>
      </c>
      <c r="G183" t="s">
        <v>1728</v>
      </c>
    </row>
    <row r="184" spans="1:7" x14ac:dyDescent="0.35">
      <c r="A184" t="s">
        <v>72</v>
      </c>
      <c r="B184" t="s">
        <v>73</v>
      </c>
      <c r="C184" t="s">
        <v>1829</v>
      </c>
      <c r="D184" t="s">
        <v>1928</v>
      </c>
      <c r="E184" t="s">
        <v>1487</v>
      </c>
      <c r="F184" t="s">
        <v>1875</v>
      </c>
      <c r="G184" t="s">
        <v>1742</v>
      </c>
    </row>
    <row r="185" spans="1:7" x14ac:dyDescent="0.35">
      <c r="A185" t="s">
        <v>75</v>
      </c>
      <c r="B185" t="s">
        <v>1352</v>
      </c>
      <c r="C185" t="s">
        <v>1789</v>
      </c>
      <c r="D185" t="s">
        <v>1933</v>
      </c>
      <c r="E185" t="s">
        <v>1946</v>
      </c>
      <c r="F185" t="s">
        <v>1463</v>
      </c>
      <c r="G185" t="s">
        <v>1742</v>
      </c>
    </row>
    <row r="186" spans="1:7" hidden="1" x14ac:dyDescent="0.35">
      <c r="A186" t="s">
        <v>1947</v>
      </c>
      <c r="B186" t="s">
        <v>1948</v>
      </c>
      <c r="C186" t="s">
        <v>1746</v>
      </c>
      <c r="D186" t="s">
        <v>1810</v>
      </c>
      <c r="E186" t="s">
        <v>1487</v>
      </c>
      <c r="F186" t="s">
        <v>1949</v>
      </c>
      <c r="G186" t="s">
        <v>1728</v>
      </c>
    </row>
    <row r="187" spans="1:7" hidden="1" x14ac:dyDescent="0.35">
      <c r="A187" t="s">
        <v>74</v>
      </c>
      <c r="B187" t="s">
        <v>1950</v>
      </c>
      <c r="C187" t="s">
        <v>1940</v>
      </c>
      <c r="D187" t="s">
        <v>1810</v>
      </c>
      <c r="E187" t="s">
        <v>1487</v>
      </c>
      <c r="F187" t="s">
        <v>1951</v>
      </c>
      <c r="G187" t="s">
        <v>1458</v>
      </c>
    </row>
    <row r="188" spans="1:7" hidden="1" x14ac:dyDescent="0.35">
      <c r="A188" t="s">
        <v>1952</v>
      </c>
      <c r="B188" t="s">
        <v>1953</v>
      </c>
      <c r="C188" t="s">
        <v>1746</v>
      </c>
      <c r="D188" t="s">
        <v>1810</v>
      </c>
      <c r="E188" t="s">
        <v>1954</v>
      </c>
      <c r="F188" t="s">
        <v>1955</v>
      </c>
      <c r="G188" t="s">
        <v>1458</v>
      </c>
    </row>
    <row r="189" spans="1:7" x14ac:dyDescent="0.35">
      <c r="A189" t="s">
        <v>76</v>
      </c>
      <c r="B189" t="s">
        <v>77</v>
      </c>
      <c r="C189" t="s">
        <v>1829</v>
      </c>
      <c r="D189" t="s">
        <v>1810</v>
      </c>
      <c r="E189" t="s">
        <v>1487</v>
      </c>
      <c r="F189" t="s">
        <v>1956</v>
      </c>
      <c r="G189" t="s">
        <v>1742</v>
      </c>
    </row>
    <row r="190" spans="1:7" x14ac:dyDescent="0.35">
      <c r="A190" t="s">
        <v>26</v>
      </c>
      <c r="B190" t="s">
        <v>78</v>
      </c>
      <c r="C190" t="s">
        <v>1912</v>
      </c>
      <c r="D190" t="s">
        <v>1933</v>
      </c>
      <c r="E190" t="s">
        <v>1487</v>
      </c>
      <c r="F190" t="s">
        <v>1957</v>
      </c>
      <c r="G190" t="s">
        <v>1742</v>
      </c>
    </row>
    <row r="191" spans="1:7" x14ac:dyDescent="0.35">
      <c r="A191" t="s">
        <v>1353</v>
      </c>
      <c r="B191" t="s">
        <v>1354</v>
      </c>
      <c r="C191" t="s">
        <v>1958</v>
      </c>
      <c r="D191" t="s">
        <v>1810</v>
      </c>
      <c r="E191" t="s">
        <v>1487</v>
      </c>
      <c r="F191" t="s">
        <v>1959</v>
      </c>
      <c r="G191" t="s">
        <v>1742</v>
      </c>
    </row>
    <row r="192" spans="1:7" x14ac:dyDescent="0.35">
      <c r="A192" t="s">
        <v>101</v>
      </c>
      <c r="B192" t="s">
        <v>1355</v>
      </c>
      <c r="C192" t="s">
        <v>1912</v>
      </c>
      <c r="D192" t="s">
        <v>1933</v>
      </c>
      <c r="E192" t="s">
        <v>1487</v>
      </c>
      <c r="F192" t="s">
        <v>1957</v>
      </c>
      <c r="G192" t="s">
        <v>1742</v>
      </c>
    </row>
    <row r="193" spans="1:7" x14ac:dyDescent="0.35">
      <c r="A193" t="s">
        <v>82</v>
      </c>
      <c r="B193" t="s">
        <v>1356</v>
      </c>
      <c r="C193" t="s">
        <v>1958</v>
      </c>
      <c r="D193" t="s">
        <v>1933</v>
      </c>
      <c r="E193" t="s">
        <v>1487</v>
      </c>
      <c r="F193" t="s">
        <v>1960</v>
      </c>
      <c r="G193" t="s">
        <v>1742</v>
      </c>
    </row>
    <row r="194" spans="1:7" x14ac:dyDescent="0.35">
      <c r="A194" t="s">
        <v>251</v>
      </c>
      <c r="B194" t="s">
        <v>1357</v>
      </c>
      <c r="C194" t="s">
        <v>1958</v>
      </c>
      <c r="D194" t="s">
        <v>1933</v>
      </c>
      <c r="E194" t="s">
        <v>1487</v>
      </c>
      <c r="F194" t="s">
        <v>1957</v>
      </c>
      <c r="G194" t="s">
        <v>1742</v>
      </c>
    </row>
    <row r="195" spans="1:7" x14ac:dyDescent="0.35">
      <c r="A195" t="s">
        <v>188</v>
      </c>
      <c r="B195" t="s">
        <v>1358</v>
      </c>
      <c r="C195" t="s">
        <v>1958</v>
      </c>
      <c r="D195" t="s">
        <v>1933</v>
      </c>
      <c r="E195" t="s">
        <v>1487</v>
      </c>
      <c r="F195" t="s">
        <v>1957</v>
      </c>
      <c r="G195" t="s">
        <v>1742</v>
      </c>
    </row>
    <row r="196" spans="1:7" x14ac:dyDescent="0.35">
      <c r="A196" t="s">
        <v>241</v>
      </c>
      <c r="B196" t="s">
        <v>1359</v>
      </c>
      <c r="C196" t="s">
        <v>1958</v>
      </c>
      <c r="D196" t="s">
        <v>1933</v>
      </c>
      <c r="E196" t="s">
        <v>1487</v>
      </c>
      <c r="F196" t="s">
        <v>1957</v>
      </c>
      <c r="G196" t="s">
        <v>1742</v>
      </c>
    </row>
    <row r="197" spans="1:7" x14ac:dyDescent="0.35">
      <c r="A197" t="s">
        <v>182</v>
      </c>
      <c r="B197" t="s">
        <v>1360</v>
      </c>
      <c r="C197" t="s">
        <v>1958</v>
      </c>
      <c r="D197" t="s">
        <v>1933</v>
      </c>
      <c r="E197" t="s">
        <v>1487</v>
      </c>
      <c r="F197" t="s">
        <v>1957</v>
      </c>
      <c r="G197" t="s">
        <v>1742</v>
      </c>
    </row>
    <row r="198" spans="1:7" x14ac:dyDescent="0.35">
      <c r="A198" t="s">
        <v>523</v>
      </c>
      <c r="B198" t="s">
        <v>1361</v>
      </c>
      <c r="C198" t="s">
        <v>1958</v>
      </c>
      <c r="D198" t="s">
        <v>1810</v>
      </c>
      <c r="E198" t="s">
        <v>1487</v>
      </c>
      <c r="F198" t="s">
        <v>1961</v>
      </c>
      <c r="G198" t="s">
        <v>1742</v>
      </c>
    </row>
    <row r="199" spans="1:7" x14ac:dyDescent="0.35">
      <c r="A199" t="s">
        <v>805</v>
      </c>
      <c r="B199" t="s">
        <v>1362</v>
      </c>
      <c r="C199" t="s">
        <v>1958</v>
      </c>
      <c r="D199" t="s">
        <v>1810</v>
      </c>
      <c r="E199" t="s">
        <v>1532</v>
      </c>
      <c r="F199" t="s">
        <v>1961</v>
      </c>
      <c r="G199" t="s">
        <v>1742</v>
      </c>
    </row>
    <row r="200" spans="1:7" x14ac:dyDescent="0.35">
      <c r="A200" t="s">
        <v>273</v>
      </c>
      <c r="B200" t="s">
        <v>1363</v>
      </c>
      <c r="C200" t="s">
        <v>1912</v>
      </c>
      <c r="D200" t="s">
        <v>1810</v>
      </c>
      <c r="E200" t="s">
        <v>1532</v>
      </c>
      <c r="F200" t="s">
        <v>1962</v>
      </c>
      <c r="G200" t="s">
        <v>1742</v>
      </c>
    </row>
    <row r="201" spans="1:7" x14ac:dyDescent="0.35">
      <c r="A201" t="s">
        <v>364</v>
      </c>
      <c r="B201" t="s">
        <v>1364</v>
      </c>
      <c r="C201" t="s">
        <v>1958</v>
      </c>
      <c r="D201" t="s">
        <v>1810</v>
      </c>
      <c r="E201" t="s">
        <v>1532</v>
      </c>
      <c r="F201" t="s">
        <v>1664</v>
      </c>
      <c r="G201" t="s">
        <v>1742</v>
      </c>
    </row>
    <row r="202" spans="1:7" x14ac:dyDescent="0.35">
      <c r="A202" t="s">
        <v>426</v>
      </c>
      <c r="B202" t="s">
        <v>1365</v>
      </c>
      <c r="C202" t="s">
        <v>1829</v>
      </c>
      <c r="D202" t="s">
        <v>1810</v>
      </c>
      <c r="E202" t="s">
        <v>1532</v>
      </c>
      <c r="F202" t="s">
        <v>1963</v>
      </c>
      <c r="G202" t="s">
        <v>1742</v>
      </c>
    </row>
    <row r="203" spans="1:7" x14ac:dyDescent="0.35">
      <c r="A203" t="s">
        <v>1366</v>
      </c>
      <c r="B203" t="s">
        <v>1367</v>
      </c>
      <c r="C203" t="s">
        <v>1958</v>
      </c>
      <c r="D203" t="s">
        <v>1810</v>
      </c>
      <c r="E203" t="s">
        <v>1466</v>
      </c>
      <c r="F203" t="s">
        <v>1964</v>
      </c>
      <c r="G203" t="s">
        <v>1742</v>
      </c>
    </row>
    <row r="204" spans="1:7" hidden="1" x14ac:dyDescent="0.35">
      <c r="A204" t="s">
        <v>1965</v>
      </c>
      <c r="B204" t="s">
        <v>1688</v>
      </c>
      <c r="C204" t="s">
        <v>1829</v>
      </c>
      <c r="D204" t="s">
        <v>1933</v>
      </c>
      <c r="E204" t="s">
        <v>1966</v>
      </c>
      <c r="F204" t="s">
        <v>1967</v>
      </c>
      <c r="G204" t="s">
        <v>1458</v>
      </c>
    </row>
    <row r="205" spans="1:7" x14ac:dyDescent="0.35">
      <c r="A205" t="s">
        <v>551</v>
      </c>
      <c r="B205" t="s">
        <v>1368</v>
      </c>
      <c r="C205" t="s">
        <v>1958</v>
      </c>
      <c r="D205" t="s">
        <v>1810</v>
      </c>
      <c r="F205" t="s">
        <v>1964</v>
      </c>
      <c r="G205" t="s">
        <v>1742</v>
      </c>
    </row>
    <row r="206" spans="1:7" x14ac:dyDescent="0.35">
      <c r="A206" t="s">
        <v>659</v>
      </c>
      <c r="B206" t="s">
        <v>1369</v>
      </c>
      <c r="C206" t="s">
        <v>1968</v>
      </c>
      <c r="D206" t="s">
        <v>1810</v>
      </c>
      <c r="E206" t="s">
        <v>1487</v>
      </c>
      <c r="F206" t="s">
        <v>1969</v>
      </c>
      <c r="G206" t="s">
        <v>1742</v>
      </c>
    </row>
    <row r="207" spans="1:7" x14ac:dyDescent="0.35">
      <c r="A207" t="s">
        <v>1370</v>
      </c>
      <c r="B207" t="s">
        <v>1371</v>
      </c>
      <c r="C207" t="s">
        <v>1829</v>
      </c>
      <c r="D207" t="s">
        <v>1970</v>
      </c>
      <c r="E207" t="s">
        <v>1487</v>
      </c>
      <c r="F207" t="s">
        <v>1463</v>
      </c>
      <c r="G207" t="s">
        <v>1742</v>
      </c>
    </row>
    <row r="208" spans="1:7" x14ac:dyDescent="0.35">
      <c r="A208" t="s">
        <v>1372</v>
      </c>
      <c r="B208" t="s">
        <v>1373</v>
      </c>
      <c r="C208" t="s">
        <v>1968</v>
      </c>
      <c r="D208" t="s">
        <v>1970</v>
      </c>
      <c r="E208" t="s">
        <v>1487</v>
      </c>
      <c r="F208" t="s">
        <v>1463</v>
      </c>
      <c r="G208" t="s">
        <v>1742</v>
      </c>
    </row>
    <row r="209" spans="1:7" x14ac:dyDescent="0.35">
      <c r="A209" t="s">
        <v>635</v>
      </c>
      <c r="B209" t="s">
        <v>1374</v>
      </c>
      <c r="C209" t="s">
        <v>1829</v>
      </c>
      <c r="D209" t="s">
        <v>1933</v>
      </c>
      <c r="E209" t="s">
        <v>1487</v>
      </c>
      <c r="F209" t="s">
        <v>1971</v>
      </c>
      <c r="G209" t="s">
        <v>1742</v>
      </c>
    </row>
    <row r="210" spans="1:7" x14ac:dyDescent="0.35">
      <c r="A210" t="s">
        <v>973</v>
      </c>
      <c r="B210" t="s">
        <v>1375</v>
      </c>
      <c r="C210" t="s">
        <v>1972</v>
      </c>
      <c r="D210" t="s">
        <v>1973</v>
      </c>
      <c r="E210" t="s">
        <v>1487</v>
      </c>
      <c r="F210" t="s">
        <v>1974</v>
      </c>
      <c r="G210" t="s">
        <v>1742</v>
      </c>
    </row>
    <row r="211" spans="1:7" x14ac:dyDescent="0.35">
      <c r="A211" t="s">
        <v>712</v>
      </c>
      <c r="B211" t="s">
        <v>1376</v>
      </c>
      <c r="C211" t="s">
        <v>1975</v>
      </c>
      <c r="D211" t="s">
        <v>1810</v>
      </c>
      <c r="E211" t="s">
        <v>1976</v>
      </c>
      <c r="F211" t="s">
        <v>1773</v>
      </c>
      <c r="G211" t="s">
        <v>1742</v>
      </c>
    </row>
    <row r="212" spans="1:7" hidden="1" x14ac:dyDescent="0.35">
      <c r="A212" t="s">
        <v>648</v>
      </c>
      <c r="B212" t="s">
        <v>1977</v>
      </c>
      <c r="C212" t="s">
        <v>1978</v>
      </c>
      <c r="D212" t="s">
        <v>1810</v>
      </c>
      <c r="E212" t="s">
        <v>1466</v>
      </c>
      <c r="F212" t="s">
        <v>1979</v>
      </c>
      <c r="G212" t="s">
        <v>1458</v>
      </c>
    </row>
    <row r="213" spans="1:7" x14ac:dyDescent="0.35">
      <c r="A213" t="s">
        <v>1377</v>
      </c>
      <c r="B213" t="s">
        <v>1378</v>
      </c>
      <c r="C213" t="s">
        <v>1980</v>
      </c>
      <c r="D213" t="s">
        <v>1810</v>
      </c>
      <c r="E213" t="s">
        <v>1487</v>
      </c>
      <c r="F213" t="s">
        <v>1773</v>
      </c>
      <c r="G213" t="s">
        <v>1742</v>
      </c>
    </row>
    <row r="214" spans="1:7" x14ac:dyDescent="0.35">
      <c r="A214" t="s">
        <v>1019</v>
      </c>
      <c r="B214" t="s">
        <v>1379</v>
      </c>
      <c r="C214" t="s">
        <v>1829</v>
      </c>
      <c r="D214" t="s">
        <v>1933</v>
      </c>
      <c r="E214" t="s">
        <v>1981</v>
      </c>
      <c r="F214" t="s">
        <v>1982</v>
      </c>
      <c r="G214" t="s">
        <v>1742</v>
      </c>
    </row>
    <row r="215" spans="1:7" x14ac:dyDescent="0.35">
      <c r="A215" t="s">
        <v>711</v>
      </c>
      <c r="B215" t="s">
        <v>1380</v>
      </c>
      <c r="C215" t="s">
        <v>1983</v>
      </c>
      <c r="D215" t="s">
        <v>1933</v>
      </c>
      <c r="E215" t="s">
        <v>1487</v>
      </c>
      <c r="F215" t="s">
        <v>1984</v>
      </c>
      <c r="G215" t="s">
        <v>1742</v>
      </c>
    </row>
    <row r="216" spans="1:7" x14ac:dyDescent="0.35">
      <c r="A216" t="s">
        <v>752</v>
      </c>
      <c r="B216" t="s">
        <v>1381</v>
      </c>
      <c r="C216" t="s">
        <v>1829</v>
      </c>
      <c r="D216" t="s">
        <v>1810</v>
      </c>
      <c r="E216" t="s">
        <v>1985</v>
      </c>
      <c r="F216" t="s">
        <v>1773</v>
      </c>
      <c r="G216" t="s">
        <v>1742</v>
      </c>
    </row>
    <row r="217" spans="1:7" x14ac:dyDescent="0.35">
      <c r="A217" t="s">
        <v>761</v>
      </c>
      <c r="B217" t="s">
        <v>1382</v>
      </c>
      <c r="C217" t="s">
        <v>1829</v>
      </c>
      <c r="D217" t="s">
        <v>1810</v>
      </c>
      <c r="E217" t="s">
        <v>1985</v>
      </c>
      <c r="F217" t="s">
        <v>1773</v>
      </c>
      <c r="G217" t="s">
        <v>1742</v>
      </c>
    </row>
    <row r="218" spans="1:7" x14ac:dyDescent="0.35">
      <c r="A218" t="s">
        <v>793</v>
      </c>
      <c r="B218" t="s">
        <v>1383</v>
      </c>
      <c r="C218" t="s">
        <v>1892</v>
      </c>
      <c r="D218" t="s">
        <v>1986</v>
      </c>
      <c r="E218" t="s">
        <v>1791</v>
      </c>
      <c r="F218" t="s">
        <v>1773</v>
      </c>
      <c r="G218" t="s">
        <v>1742</v>
      </c>
    </row>
    <row r="219" spans="1:7" x14ac:dyDescent="0.35">
      <c r="A219" t="s">
        <v>1384</v>
      </c>
      <c r="B219" t="s">
        <v>1385</v>
      </c>
      <c r="C219" t="s">
        <v>1987</v>
      </c>
      <c r="D219" t="s">
        <v>1988</v>
      </c>
      <c r="E219" t="s">
        <v>1532</v>
      </c>
      <c r="F219" t="s">
        <v>1773</v>
      </c>
      <c r="G219" t="s">
        <v>1742</v>
      </c>
    </row>
    <row r="220" spans="1:7" x14ac:dyDescent="0.35">
      <c r="A220" t="s">
        <v>821</v>
      </c>
      <c r="B220" t="s">
        <v>1386</v>
      </c>
      <c r="C220" t="s">
        <v>1989</v>
      </c>
      <c r="D220" t="s">
        <v>1990</v>
      </c>
      <c r="E220" t="s">
        <v>1991</v>
      </c>
      <c r="F220" t="s">
        <v>1863</v>
      </c>
      <c r="G220" t="s">
        <v>1742</v>
      </c>
    </row>
    <row r="221" spans="1:7" x14ac:dyDescent="0.35">
      <c r="A221" t="s">
        <v>1387</v>
      </c>
      <c r="B221" t="s">
        <v>1388</v>
      </c>
      <c r="C221" t="s">
        <v>1987</v>
      </c>
      <c r="D221" t="s">
        <v>1988</v>
      </c>
      <c r="E221" t="s">
        <v>1532</v>
      </c>
      <c r="F221" t="s">
        <v>1588</v>
      </c>
      <c r="G221" t="s">
        <v>1742</v>
      </c>
    </row>
    <row r="222" spans="1:7" x14ac:dyDescent="0.35">
      <c r="A222" t="s">
        <v>889</v>
      </c>
      <c r="B222" t="s">
        <v>1389</v>
      </c>
      <c r="C222" t="s">
        <v>1987</v>
      </c>
      <c r="D222" t="s">
        <v>1988</v>
      </c>
      <c r="E222" t="s">
        <v>1532</v>
      </c>
      <c r="F222" t="s">
        <v>1588</v>
      </c>
      <c r="G222" t="s">
        <v>1742</v>
      </c>
    </row>
    <row r="223" spans="1:7" x14ac:dyDescent="0.35">
      <c r="A223" t="s">
        <v>856</v>
      </c>
      <c r="B223" t="s">
        <v>1390</v>
      </c>
      <c r="C223" t="s">
        <v>1987</v>
      </c>
      <c r="D223" t="s">
        <v>1988</v>
      </c>
      <c r="E223" t="s">
        <v>1532</v>
      </c>
      <c r="F223" t="s">
        <v>1960</v>
      </c>
      <c r="G223" t="s">
        <v>1742</v>
      </c>
    </row>
    <row r="224" spans="1:7" x14ac:dyDescent="0.35">
      <c r="A224" t="s">
        <v>1198</v>
      </c>
      <c r="B224" t="s">
        <v>1391</v>
      </c>
      <c r="C224" t="s">
        <v>1472</v>
      </c>
      <c r="D224" t="s">
        <v>1815</v>
      </c>
      <c r="E224" t="s">
        <v>1992</v>
      </c>
      <c r="F224" t="s">
        <v>1463</v>
      </c>
      <c r="G224" t="s">
        <v>1742</v>
      </c>
    </row>
    <row r="225" spans="1:7" x14ac:dyDescent="0.35">
      <c r="A225" t="s">
        <v>1054</v>
      </c>
      <c r="B225" t="s">
        <v>1392</v>
      </c>
      <c r="C225" t="s">
        <v>1993</v>
      </c>
      <c r="D225" t="s">
        <v>1994</v>
      </c>
      <c r="E225" t="s">
        <v>1994</v>
      </c>
      <c r="F225" t="s">
        <v>1463</v>
      </c>
      <c r="G225" t="s">
        <v>1742</v>
      </c>
    </row>
    <row r="226" spans="1:7" x14ac:dyDescent="0.35">
      <c r="A226" t="s">
        <v>1091</v>
      </c>
      <c r="B226" t="s">
        <v>1393</v>
      </c>
      <c r="C226" t="s">
        <v>1995</v>
      </c>
      <c r="D226" t="s">
        <v>1973</v>
      </c>
      <c r="E226" t="s">
        <v>1487</v>
      </c>
      <c r="F226" t="s">
        <v>1996</v>
      </c>
      <c r="G226" t="s">
        <v>1742</v>
      </c>
    </row>
    <row r="227" spans="1:7" x14ac:dyDescent="0.35">
      <c r="A227" t="s">
        <v>1137</v>
      </c>
      <c r="B227" t="s">
        <v>1394</v>
      </c>
      <c r="C227" t="s">
        <v>1995</v>
      </c>
      <c r="D227" t="s">
        <v>1973</v>
      </c>
      <c r="E227" t="s">
        <v>1487</v>
      </c>
      <c r="F227" t="s">
        <v>1996</v>
      </c>
      <c r="G227" t="s">
        <v>1742</v>
      </c>
    </row>
    <row r="228" spans="1:7" x14ac:dyDescent="0.35">
      <c r="A228" t="s">
        <v>1395</v>
      </c>
      <c r="B228" t="s">
        <v>1396</v>
      </c>
      <c r="C228" t="s">
        <v>1997</v>
      </c>
      <c r="D228" t="s">
        <v>1461</v>
      </c>
      <c r="E228" t="s">
        <v>1466</v>
      </c>
      <c r="F228" t="s">
        <v>1998</v>
      </c>
      <c r="G228" t="s">
        <v>1742</v>
      </c>
    </row>
    <row r="229" spans="1:7" x14ac:dyDescent="0.35">
      <c r="A229" t="s">
        <v>1397</v>
      </c>
      <c r="B229" t="s">
        <v>1398</v>
      </c>
      <c r="C229" t="s">
        <v>1995</v>
      </c>
      <c r="D229" t="s">
        <v>1810</v>
      </c>
      <c r="E229" t="s">
        <v>1999</v>
      </c>
      <c r="F229" t="s">
        <v>2000</v>
      </c>
      <c r="G229" t="s">
        <v>1742</v>
      </c>
    </row>
    <row r="230" spans="1:7" x14ac:dyDescent="0.35">
      <c r="A230" t="s">
        <v>1399</v>
      </c>
      <c r="B230" t="s">
        <v>1400</v>
      </c>
      <c r="C230" t="s">
        <v>1995</v>
      </c>
      <c r="D230" t="s">
        <v>1810</v>
      </c>
      <c r="E230" t="s">
        <v>1999</v>
      </c>
      <c r="F230" t="s">
        <v>2001</v>
      </c>
      <c r="G230" t="s">
        <v>1742</v>
      </c>
    </row>
    <row r="231" spans="1:7" x14ac:dyDescent="0.35">
      <c r="A231" t="s">
        <v>1211</v>
      </c>
      <c r="B231" t="s">
        <v>1401</v>
      </c>
      <c r="C231" t="s">
        <v>1995</v>
      </c>
      <c r="D231" t="s">
        <v>1810</v>
      </c>
      <c r="E231" t="s">
        <v>1999</v>
      </c>
      <c r="F231" t="s">
        <v>2002</v>
      </c>
      <c r="G231" t="s">
        <v>1742</v>
      </c>
    </row>
    <row r="232" spans="1:7" hidden="1" x14ac:dyDescent="0.35">
      <c r="A232" t="s">
        <v>1222</v>
      </c>
      <c r="B232" t="s">
        <v>1402</v>
      </c>
      <c r="C232" t="s">
        <v>1995</v>
      </c>
      <c r="D232" t="s">
        <v>2003</v>
      </c>
      <c r="E232" t="s">
        <v>2004</v>
      </c>
      <c r="F232" t="s">
        <v>1762</v>
      </c>
      <c r="G232" t="s">
        <v>1458</v>
      </c>
    </row>
    <row r="233" spans="1:7" x14ac:dyDescent="0.35">
      <c r="A233" t="s">
        <v>1403</v>
      </c>
      <c r="B233" t="s">
        <v>1404</v>
      </c>
      <c r="C233" t="s">
        <v>1995</v>
      </c>
      <c r="D233" t="s">
        <v>2005</v>
      </c>
      <c r="E233" t="s">
        <v>2006</v>
      </c>
      <c r="F233" t="s">
        <v>1463</v>
      </c>
      <c r="G233" t="s">
        <v>1742</v>
      </c>
    </row>
    <row r="234" spans="1:7" x14ac:dyDescent="0.35">
      <c r="A234" t="s">
        <v>1405</v>
      </c>
      <c r="B234" t="s">
        <v>1406</v>
      </c>
      <c r="C234" t="s">
        <v>1995</v>
      </c>
      <c r="D234" t="s">
        <v>1810</v>
      </c>
      <c r="E234" t="s">
        <v>1532</v>
      </c>
      <c r="F234" t="s">
        <v>1463</v>
      </c>
      <c r="G234" t="s">
        <v>1742</v>
      </c>
    </row>
    <row r="235" spans="1:7" x14ac:dyDescent="0.35">
      <c r="A235" t="s">
        <v>1407</v>
      </c>
      <c r="B235" t="s">
        <v>1408</v>
      </c>
      <c r="C235" t="s">
        <v>1995</v>
      </c>
      <c r="D235" t="s">
        <v>1472</v>
      </c>
      <c r="E235" t="s">
        <v>2007</v>
      </c>
      <c r="F235" t="s">
        <v>1463</v>
      </c>
      <c r="G235" t="s">
        <v>1742</v>
      </c>
    </row>
    <row r="236" spans="1:7" x14ac:dyDescent="0.35">
      <c r="A236" t="s">
        <v>1289</v>
      </c>
      <c r="B236" t="s">
        <v>1409</v>
      </c>
      <c r="C236" t="s">
        <v>1995</v>
      </c>
      <c r="D236" t="s">
        <v>1472</v>
      </c>
      <c r="E236" t="s">
        <v>2007</v>
      </c>
      <c r="F236" t="s">
        <v>1463</v>
      </c>
      <c r="G236" t="s">
        <v>1742</v>
      </c>
    </row>
    <row r="237" spans="1:7" x14ac:dyDescent="0.35">
      <c r="A237" t="s">
        <v>1410</v>
      </c>
      <c r="B237" t="s">
        <v>1411</v>
      </c>
      <c r="C237" t="s">
        <v>1995</v>
      </c>
      <c r="D237" t="s">
        <v>1472</v>
      </c>
      <c r="E237" t="s">
        <v>1976</v>
      </c>
      <c r="F237" t="s">
        <v>1463</v>
      </c>
      <c r="G237" t="s">
        <v>1742</v>
      </c>
    </row>
    <row r="238" spans="1:7" x14ac:dyDescent="0.35">
      <c r="A238" t="s">
        <v>1412</v>
      </c>
      <c r="B238" t="s">
        <v>1413</v>
      </c>
      <c r="C238" t="s">
        <v>1829</v>
      </c>
      <c r="D238" t="s">
        <v>1973</v>
      </c>
      <c r="E238" t="s">
        <v>1487</v>
      </c>
      <c r="F238" t="s">
        <v>1971</v>
      </c>
      <c r="G238" t="s">
        <v>1742</v>
      </c>
    </row>
    <row r="239" spans="1:7" x14ac:dyDescent="0.35">
      <c r="A239" t="s">
        <v>1414</v>
      </c>
      <c r="B239" t="s">
        <v>1415</v>
      </c>
      <c r="C239" t="s">
        <v>1995</v>
      </c>
      <c r="D239" t="s">
        <v>1810</v>
      </c>
      <c r="E239" t="s">
        <v>1999</v>
      </c>
      <c r="F239" t="s">
        <v>1762</v>
      </c>
      <c r="G239" t="s">
        <v>1742</v>
      </c>
    </row>
    <row r="240" spans="1:7" x14ac:dyDescent="0.35">
      <c r="A240" t="s">
        <v>1223</v>
      </c>
      <c r="B240" t="s">
        <v>1416</v>
      </c>
      <c r="C240" t="s">
        <v>1995</v>
      </c>
      <c r="D240" t="s">
        <v>1973</v>
      </c>
      <c r="E240" t="s">
        <v>1487</v>
      </c>
      <c r="F240" t="s">
        <v>2008</v>
      </c>
      <c r="G240" t="s">
        <v>1742</v>
      </c>
    </row>
    <row r="241" spans="1:7" x14ac:dyDescent="0.35">
      <c r="A241" t="s">
        <v>1417</v>
      </c>
      <c r="B241" t="s">
        <v>1408</v>
      </c>
      <c r="C241" t="s">
        <v>2009</v>
      </c>
      <c r="D241" t="s">
        <v>1472</v>
      </c>
      <c r="E241" t="s">
        <v>1487</v>
      </c>
      <c r="F241" t="s">
        <v>1594</v>
      </c>
      <c r="G241" t="s">
        <v>1742</v>
      </c>
    </row>
    <row r="242" spans="1:7" x14ac:dyDescent="0.35">
      <c r="A242" t="s">
        <v>1418</v>
      </c>
      <c r="B242" t="s">
        <v>1419</v>
      </c>
      <c r="C242" t="s">
        <v>2010</v>
      </c>
      <c r="D242" t="s">
        <v>1472</v>
      </c>
      <c r="E242" t="s">
        <v>1487</v>
      </c>
      <c r="F242" t="s">
        <v>1463</v>
      </c>
      <c r="G242" t="s">
        <v>1742</v>
      </c>
    </row>
    <row r="243" spans="1:7" x14ac:dyDescent="0.35">
      <c r="A243" t="s">
        <v>1420</v>
      </c>
      <c r="B243" t="s">
        <v>1421</v>
      </c>
      <c r="C243" t="s">
        <v>2010</v>
      </c>
      <c r="D243" t="s">
        <v>1472</v>
      </c>
      <c r="E243" t="s">
        <v>1487</v>
      </c>
      <c r="F243" t="s">
        <v>1762</v>
      </c>
      <c r="G243" t="s">
        <v>1742</v>
      </c>
    </row>
    <row r="244" spans="1:7" x14ac:dyDescent="0.35">
      <c r="A244" t="s">
        <v>1422</v>
      </c>
      <c r="B244" t="s">
        <v>1423</v>
      </c>
      <c r="C244" t="s">
        <v>1995</v>
      </c>
      <c r="E244" t="s">
        <v>2011</v>
      </c>
      <c r="F244" t="s">
        <v>1762</v>
      </c>
      <c r="G244" t="s">
        <v>1742</v>
      </c>
    </row>
    <row r="245" spans="1:7" x14ac:dyDescent="0.35">
      <c r="A245" t="s">
        <v>1312</v>
      </c>
      <c r="B245" t="s">
        <v>1424</v>
      </c>
      <c r="C245" t="s">
        <v>1995</v>
      </c>
      <c r="E245" t="s">
        <v>2011</v>
      </c>
      <c r="F245" t="s">
        <v>1762</v>
      </c>
      <c r="G245" t="s">
        <v>1742</v>
      </c>
    </row>
  </sheetData>
  <sheetProtection algorithmName="SHA-512" hashValue="PDfD7YuUdVqrxqT4RewZxIhQjrcrRU5bVGbW8inaKAeOXVrgkvIuGjuheebdctqT6ueiap2gqu/ayRzDcfKsLA==" saltValue="vqVMXPf7qvBbTUBIx+8jbg==" spinCount="100000" sheet="1" objects="1" scenarios="1" sort="0" autoFilter="0"/>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A9DE-EFF5-4FBA-8510-A90C5B567F47}">
  <sheetPr codeName="Sheet4"/>
  <dimension ref="A1:B11"/>
  <sheetViews>
    <sheetView zoomScale="85" zoomScaleNormal="85" workbookViewId="0">
      <selection activeCell="B5" sqref="B5"/>
    </sheetView>
  </sheetViews>
  <sheetFormatPr defaultRowHeight="14.5" x14ac:dyDescent="0.35"/>
  <cols>
    <col min="1" max="1" width="24.54296875" bestFit="1" customWidth="1"/>
    <col min="2" max="2" width="98.08984375" customWidth="1"/>
  </cols>
  <sheetData>
    <row r="1" spans="1:2" x14ac:dyDescent="0.35">
      <c r="A1" t="s">
        <v>44</v>
      </c>
      <c r="B1" t="s">
        <v>46</v>
      </c>
    </row>
    <row r="2" spans="1:2" ht="18.5" customHeight="1" x14ac:dyDescent="0.35">
      <c r="A2" s="2" t="s">
        <v>47</v>
      </c>
      <c r="B2" s="3" t="s">
        <v>2022</v>
      </c>
    </row>
    <row r="3" spans="1:2" ht="18.5" customHeight="1" x14ac:dyDescent="0.35">
      <c r="A3" s="2" t="s">
        <v>54</v>
      </c>
      <c r="B3" s="3" t="s">
        <v>55</v>
      </c>
    </row>
    <row r="4" spans="1:2" x14ac:dyDescent="0.35">
      <c r="A4" s="2" t="s">
        <v>48</v>
      </c>
      <c r="B4" s="3" t="s">
        <v>2020</v>
      </c>
    </row>
    <row r="5" spans="1:2" ht="158.5" customHeight="1" x14ac:dyDescent="0.35">
      <c r="A5" s="2" t="s">
        <v>49</v>
      </c>
      <c r="B5" s="3" t="s">
        <v>2021</v>
      </c>
    </row>
    <row r="6" spans="1:2" x14ac:dyDescent="0.35">
      <c r="A6" s="2" t="s">
        <v>80</v>
      </c>
      <c r="B6" s="3" t="s">
        <v>51</v>
      </c>
    </row>
    <row r="7" spans="1:2" ht="29" x14ac:dyDescent="0.35">
      <c r="A7" s="2" t="s">
        <v>326</v>
      </c>
      <c r="B7" s="3" t="s">
        <v>50</v>
      </c>
    </row>
    <row r="8" spans="1:2" x14ac:dyDescent="0.35">
      <c r="A8" s="2" t="s">
        <v>52</v>
      </c>
      <c r="B8" s="3" t="s">
        <v>2023</v>
      </c>
    </row>
    <row r="9" spans="1:2" x14ac:dyDescent="0.35">
      <c r="A9" s="2" t="s">
        <v>53</v>
      </c>
      <c r="B9" s="3" t="s">
        <v>2024</v>
      </c>
    </row>
    <row r="10" spans="1:2" x14ac:dyDescent="0.35">
      <c r="A10" s="2" t="s">
        <v>2016</v>
      </c>
      <c r="B10" s="3" t="s">
        <v>2018</v>
      </c>
    </row>
    <row r="11" spans="1:2" x14ac:dyDescent="0.35">
      <c r="A11" s="2" t="s">
        <v>2017</v>
      </c>
      <c r="B11" s="3" t="s">
        <v>2019</v>
      </c>
    </row>
  </sheetData>
  <sheetProtection algorithmName="SHA-512" hashValue="/lqVMkSRHWVqE3b+iendZDi+vvsCy8+8A8nZGzf5dnRPbFrnU+CZNupJPhp/R2GO/rSXxAu0TpHwTEQS+CbFlA==" saltValue="mWMJuX/JZWE5OIruE7JMwQ==" spinCount="100000" sheet="1" objects="1" scenarios="1" selectLockedCells="1" selectUnlockedCells="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0642-42AF-4C42-BBAF-81D9D5855BBC}">
  <dimension ref="A1:C13"/>
  <sheetViews>
    <sheetView showGridLines="0" workbookViewId="0">
      <selection activeCell="B12" sqref="B12"/>
    </sheetView>
  </sheetViews>
  <sheetFormatPr defaultRowHeight="14.5" x14ac:dyDescent="0.35"/>
  <cols>
    <col min="1" max="1" width="45.90625" style="28" bestFit="1" customWidth="1"/>
    <col min="2" max="2" width="58.90625" style="28" bestFit="1" customWidth="1"/>
    <col min="3" max="3" width="39.26953125" style="28" bestFit="1" customWidth="1"/>
    <col min="4" max="16384" width="8.7265625" style="28"/>
  </cols>
  <sheetData>
    <row r="1" spans="1:3" ht="16.5" thickBot="1" x14ac:dyDescent="0.45">
      <c r="A1" s="29" t="s">
        <v>1446</v>
      </c>
      <c r="B1" s="31"/>
      <c r="C1" s="27"/>
    </row>
    <row r="2" spans="1:3" x14ac:dyDescent="0.35">
      <c r="A2" s="30"/>
    </row>
    <row r="3" spans="1:3" x14ac:dyDescent="0.35">
      <c r="A3" s="32" t="s">
        <v>1447</v>
      </c>
    </row>
    <row r="4" spans="1:3" x14ac:dyDescent="0.35">
      <c r="A4" s="32" t="s">
        <v>1448</v>
      </c>
    </row>
    <row r="5" spans="1:3" x14ac:dyDescent="0.35">
      <c r="A5" s="30"/>
    </row>
    <row r="6" spans="1:3" ht="15" thickBot="1" x14ac:dyDescent="0.4">
      <c r="A6" s="17" t="s">
        <v>1443</v>
      </c>
      <c r="B6" s="18" t="s">
        <v>1444</v>
      </c>
      <c r="C6" s="19" t="s">
        <v>1445</v>
      </c>
    </row>
    <row r="7" spans="1:3" x14ac:dyDescent="0.35">
      <c r="A7" s="20" t="s">
        <v>1428</v>
      </c>
      <c r="B7" s="21" t="s">
        <v>1432</v>
      </c>
      <c r="C7" s="22" t="s">
        <v>1436</v>
      </c>
    </row>
    <row r="8" spans="1:3" x14ac:dyDescent="0.35">
      <c r="A8" s="23" t="s">
        <v>1429</v>
      </c>
      <c r="B8" s="24" t="s">
        <v>1433</v>
      </c>
      <c r="C8" s="25" t="s">
        <v>1437</v>
      </c>
    </row>
    <row r="9" spans="1:3" x14ac:dyDescent="0.35">
      <c r="A9" s="23" t="s">
        <v>1430</v>
      </c>
      <c r="B9" s="24" t="s">
        <v>1434</v>
      </c>
      <c r="C9" s="25" t="s">
        <v>1438</v>
      </c>
    </row>
    <row r="10" spans="1:3" x14ac:dyDescent="0.35">
      <c r="A10" s="23" t="s">
        <v>1431</v>
      </c>
      <c r="B10" s="24" t="s">
        <v>1435</v>
      </c>
      <c r="C10" s="26" t="s">
        <v>1439</v>
      </c>
    </row>
    <row r="11" spans="1:3" x14ac:dyDescent="0.35">
      <c r="A11" s="23"/>
      <c r="B11" s="24" t="s">
        <v>2014</v>
      </c>
      <c r="C11" s="25" t="s">
        <v>1440</v>
      </c>
    </row>
    <row r="12" spans="1:3" x14ac:dyDescent="0.35">
      <c r="A12" s="23"/>
      <c r="B12" s="24" t="s">
        <v>2013</v>
      </c>
      <c r="C12" s="26" t="s">
        <v>1441</v>
      </c>
    </row>
    <row r="13" spans="1:3" x14ac:dyDescent="0.35">
      <c r="A13" s="23"/>
      <c r="B13" s="24"/>
      <c r="C13" s="25" t="s">
        <v>1442</v>
      </c>
    </row>
  </sheetData>
  <sheetProtection algorithmName="SHA-512" hashValue="1QZi/ddX22g5Y+PL5U1lu/Kt7q6JBmsdWq+/sbNlwCwMgNomTF7FOWGSVB6eEE5EuRKkHDiQZxCDYqid1+zGOg==" saltValue="hCSWVank4dHfDOElWLYV/g==" spinCount="100000" sheet="1" objects="1" scenarios="1" selectLockedCells="1" selectUnlockedCell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62DAB5309715E43AF14728262CE5072" ma:contentTypeVersion="13" ma:contentTypeDescription="Create a new document." ma:contentTypeScope="" ma:versionID="607de31ab3d58ca145d171de28c7f00c">
  <xsd:schema xmlns:xsd="http://www.w3.org/2001/XMLSchema" xmlns:xs="http://www.w3.org/2001/XMLSchema" xmlns:p="http://schemas.microsoft.com/office/2006/metadata/properties" xmlns:ns2="709224dc-2f76-4c3b-a58d-b8a242d8a221" xmlns:ns3="f40ae7dc-a1da-42a5-be75-0ddbc32294b2" targetNamespace="http://schemas.microsoft.com/office/2006/metadata/properties" ma:root="true" ma:fieldsID="f68f00f5b95d7ebbf287d21d983d7bbd" ns2:_="" ns3:_="">
    <xsd:import namespace="709224dc-2f76-4c3b-a58d-b8a242d8a221"/>
    <xsd:import namespace="f40ae7dc-a1da-42a5-be75-0ddbc32294b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9224dc-2f76-4c3b-a58d-b8a242d8a2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d66e928-e9f8-4f2a-a895-b4e6fc7a28a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0ae7dc-a1da-42a5-be75-0ddbc32294b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18be9ea-86e1-4da2-8de4-19ada435a131}" ma:internalName="TaxCatchAll" ma:showField="CatchAllData" ma:web="f40ae7dc-a1da-42a5-be75-0ddbc32294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09224dc-2f76-4c3b-a58d-b8a242d8a221">
      <Terms xmlns="http://schemas.microsoft.com/office/infopath/2007/PartnerControls"/>
    </lcf76f155ced4ddcb4097134ff3c332f>
    <TaxCatchAll xmlns="f40ae7dc-a1da-42a5-be75-0ddbc32294b2" xsi:nil="true"/>
  </documentManagement>
</p:properties>
</file>

<file path=customXml/item4.xml>��
</file>

<file path=customXml/itemProps1.xml><?xml version="1.0" encoding="utf-8"?>
<ds:datastoreItem xmlns:ds="http://schemas.openxmlformats.org/officeDocument/2006/customXml" ds:itemID="{BE498D2F-27EB-4F8D-87E2-4E06D6EFC68D}">
  <ds:schemaRefs>
    <ds:schemaRef ds:uri="http://schemas.microsoft.com/sharepoint/v3/contenttype/forms"/>
  </ds:schemaRefs>
</ds:datastoreItem>
</file>

<file path=customXml/itemProps2.xml><?xml version="1.0" encoding="utf-8"?>
<ds:datastoreItem xmlns:ds="http://schemas.openxmlformats.org/officeDocument/2006/customXml" ds:itemID="{23121423-267E-4CBC-A200-1290C9E92C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9224dc-2f76-4c3b-a58d-b8a242d8a221"/>
    <ds:schemaRef ds:uri="f40ae7dc-a1da-42a5-be75-0ddbc32294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9C0A17-A7BF-45F3-864E-78F3CD944F8B}">
  <ds:schemaRefs>
    <ds:schemaRef ds:uri="http://schemas.microsoft.com/office/2006/documentManagement/types"/>
    <ds:schemaRef ds:uri="http://purl.org/dc/terms/"/>
    <ds:schemaRef ds:uri="http://purl.org/dc/dcmitype/"/>
    <ds:schemaRef ds:uri="f40ae7dc-a1da-42a5-be75-0ddbc32294b2"/>
    <ds:schemaRef ds:uri="http://purl.org/dc/elements/1.1/"/>
    <ds:schemaRef ds:uri="http://schemas.microsoft.com/office/infopath/2007/PartnerControls"/>
    <ds:schemaRef ds:uri="709224dc-2f76-4c3b-a58d-b8a242d8a221"/>
    <ds:schemaRef ds:uri="http://schemas.openxmlformats.org/package/2006/metadata/core-properties"/>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94A5F19A-351A-4792-B95A-F6318F1D88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Backend Pivots</vt:lpstr>
      <vt:lpstr>Dashboard Data</vt:lpstr>
      <vt:lpstr>Candidate Tracker</vt:lpstr>
      <vt:lpstr>Job Specs</vt:lpstr>
      <vt:lpstr>Status Definitions</vt:lpstr>
      <vt:lpstr>User Guide</vt:lpstr>
      <vt:lpstr>'Candidate Tracker'!Print_Titles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 Naidoo</dc:creator>
  <cp:lastModifiedBy>Levi Naidoo</cp:lastModifiedBy>
  <cp:lastPrinted>2026-04-30T20:42:56Z</cp:lastPrinted>
  <dcterms:created xsi:type="dcterms:W3CDTF">2026-03-03T07:49:21Z</dcterms:created>
  <dcterms:modified xsi:type="dcterms:W3CDTF">2026-05-02T00:34:37Z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0x010100662DAB5309715E43AF14728262CE5072</vt:lpwstr>
  </property>
  <property fmtid="{D5CDD505-2E9C-101B-9397-08002B2CF9AE}" pid="3" name="MediaServiceImageTags">
    <vt:lpwstr/>
  </property>
</Properties>
</file>